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tables/table3.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tables/table4.xml" ContentType="application/vnd.openxmlformats-officedocument.spreadsheetml.tab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4.xml" ContentType="application/vnd.openxmlformats-officedocument.drawing+xml"/>
  <Override PartName="/xl/slicers/slicer1.xml" ContentType="application/vnd.ms-excel.slicer+xml"/>
  <Override PartName="/xl/timelines/timeline1.xml" ContentType="application/vnd.ms-excel.timelin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https://d.docs.live.net/80d41073232aeadf/Documents/Coursera/Excel with CoPilot/Graded Projects/Automation ^0 Advanced Techniques with Copilot/"/>
    </mc:Choice>
  </mc:AlternateContent>
  <xr:revisionPtr revIDLastSave="11017" documentId="13_ncr:1_{CE6216AF-41DC-4452-8BAD-F672659BB232}" xr6:coauthVersionLast="47" xr6:coauthVersionMax="47" xr10:uidLastSave="{9EC36176-4EEF-4123-8822-59DC366A6328}"/>
  <bookViews>
    <workbookView xWindow="-120" yWindow="-120" windowWidth="29040" windowHeight="15840" firstSheet="2" activeTab="8" xr2:uid="{00000000-000D-0000-FFFF-FFFF00000000}"/>
  </bookViews>
  <sheets>
    <sheet name="Event_Data" sheetId="1" r:id="rId1"/>
    <sheet name="Assumptions" sheetId="2" r:id="rId2"/>
    <sheet name="Conference Attendance" sheetId="3" r:id="rId3"/>
    <sheet name="Event Summary" sheetId="9" r:id="rId4"/>
    <sheet name="Projections" sheetId="22" r:id="rId5"/>
    <sheet name="ForecastTicketSales" sheetId="23" r:id="rId6"/>
    <sheet name="Scenario Summary" sheetId="24" r:id="rId7"/>
    <sheet name="Pivot Data" sheetId="17" r:id="rId8"/>
    <sheet name="Event Dashboard" sheetId="12" r:id="rId9"/>
  </sheets>
  <definedNames>
    <definedName name="_xlnm._FilterDatabase" localSheetId="2" hidden="1">'Conference Attendance'!$B$6:$I$506</definedName>
    <definedName name="_xlnm._FilterDatabase" localSheetId="0" hidden="1">Event_Data!$A$1:$H$1</definedName>
    <definedName name="_xleta.EVEN" hidden="1" xlm="1">#NAME?</definedName>
    <definedName name="_xleta.MONTH" hidden="1" xlm="1">#NAME?</definedName>
    <definedName name="_xleta.TYPE" hidden="1" xlm="1">#NAME?</definedName>
    <definedName name="_xleta.XLOOKUP" hidden="1" xlm="1">#NAME?</definedName>
    <definedName name="avgtktprc_sm">Projections!#REF!</definedName>
    <definedName name="Avgtktprc1">Projections!#REF!</definedName>
    <definedName name="Avgtktprc2">Projections!#REF!</definedName>
    <definedName name="ForecaseRegistrations">Projections!#REF!</definedName>
    <definedName name="ForecastRegistration">Projections!$O$35</definedName>
    <definedName name="ForecastRegistrations">Projections!#REF!</definedName>
    <definedName name="ForecastRevenue">Projections!$O$34</definedName>
    <definedName name="NativeTimeline_Registration_Date">#N/A</definedName>
    <definedName name="reg_sm">Projections!#REF!</definedName>
    <definedName name="Regist1">Projections!#REF!</definedName>
    <definedName name="Regist2">Projections!#REF!</definedName>
    <definedName name="Registration">Projections!#REF!</definedName>
    <definedName name="Slicer_Attendance_Type">#N/A</definedName>
    <definedName name="Slicer_Session_Preference">#N/A</definedName>
    <definedName name="TargetProfit">Projections!$O$32</definedName>
    <definedName name="TicketPrice">Projections!$O$36</definedName>
    <definedName name="TotalCost">Projections!$O$33</definedName>
    <definedName name="totcost_sm">Projections!#REF!</definedName>
    <definedName name="totcost1">Projections!#REF!</definedName>
    <definedName name="totcost2">Projections!#REF!</definedName>
  </definedNames>
  <calcPr calcId="191029"/>
  <pivotCaches>
    <pivotCache cacheId="6" r:id="rId10"/>
  </pivotCaches>
  <extLst>
    <ext xmlns:x14="http://schemas.microsoft.com/office/spreadsheetml/2009/9/main" uri="{BBE1A952-AA13-448e-AADC-164F8A28A991}">
      <x14:slicerCaches>
        <x14:slicerCache r:id="rId11"/>
        <x14:slicerCache r:id="rId12"/>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3"/>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18" roundtripDataChecksum="12vlSWq8ZfqZzDFEmFhuqueMtYU2rPg3dxhMX10QuCQ="/>
    </ext>
  </extLst>
</workbook>
</file>

<file path=xl/calcChain.xml><?xml version="1.0" encoding="utf-8"?>
<calcChain xmlns="http://schemas.openxmlformats.org/spreadsheetml/2006/main">
  <c r="C37" i="9" l="1"/>
  <c r="D37" i="9"/>
  <c r="O34" i="22"/>
  <c r="O32" i="22" s="1"/>
  <c r="P24" i="22"/>
  <c r="P22" i="22" s="1"/>
  <c r="O24" i="22"/>
  <c r="O22" i="22" s="1"/>
  <c r="L27" i="22"/>
  <c r="L26" i="22"/>
  <c r="L22" i="22"/>
  <c r="L21" i="22"/>
  <c r="B51" i="23"/>
  <c r="B51" i="22"/>
  <c r="I21" i="22" s="1"/>
  <c r="B53" i="23"/>
  <c r="D42" i="23"/>
  <c r="D37" i="23"/>
  <c r="C43" i="23"/>
  <c r="D44" i="23"/>
  <c r="C37" i="23"/>
  <c r="D50" i="23"/>
  <c r="D38" i="23"/>
  <c r="C40" i="23"/>
  <c r="D43" i="23"/>
  <c r="C50" i="23"/>
  <c r="D48" i="23"/>
  <c r="C49" i="23"/>
  <c r="C38" i="23"/>
  <c r="C47" i="23"/>
  <c r="D45" i="23"/>
  <c r="C44" i="23"/>
  <c r="D49" i="23"/>
  <c r="D46" i="23"/>
  <c r="D39" i="23"/>
  <c r="C48" i="23"/>
  <c r="C46" i="23"/>
  <c r="D47" i="23"/>
  <c r="C45" i="23"/>
  <c r="D40" i="23"/>
  <c r="D41" i="23"/>
  <c r="C41" i="23"/>
  <c r="C42" i="23"/>
  <c r="C39" i="23"/>
  <c r="D51" i="23" l="1"/>
  <c r="C51" i="23"/>
  <c r="I26" i="22" s="1"/>
  <c r="C53" i="23"/>
  <c r="H26" i="22" s="1"/>
  <c r="D53" i="23"/>
  <c r="L28" i="22"/>
  <c r="H23" i="22"/>
  <c r="L23" i="22"/>
  <c r="H22" i="22"/>
  <c r="B53" i="22"/>
  <c r="E29" i="17"/>
  <c r="E28" i="17"/>
  <c r="M824" i="2"/>
  <c r="N824" i="2"/>
  <c r="O824" i="2"/>
  <c r="P824" i="2"/>
  <c r="M825" i="2"/>
  <c r="N825" i="2"/>
  <c r="O825" i="2"/>
  <c r="P825" i="2"/>
  <c r="M826" i="2"/>
  <c r="N826" i="2"/>
  <c r="O826" i="2"/>
  <c r="P826" i="2"/>
  <c r="M827" i="2"/>
  <c r="N827" i="2"/>
  <c r="O827" i="2"/>
  <c r="P827" i="2"/>
  <c r="M828" i="2"/>
  <c r="N828" i="2"/>
  <c r="O828" i="2"/>
  <c r="P828" i="2"/>
  <c r="M829" i="2"/>
  <c r="N829" i="2"/>
  <c r="O829" i="2"/>
  <c r="P829" i="2"/>
  <c r="M830" i="2"/>
  <c r="N830" i="2"/>
  <c r="O830" i="2"/>
  <c r="P830" i="2"/>
  <c r="M831" i="2"/>
  <c r="N831" i="2"/>
  <c r="O831" i="2"/>
  <c r="P831" i="2"/>
  <c r="M832" i="2"/>
  <c r="N832" i="2"/>
  <c r="O832" i="2"/>
  <c r="P832" i="2"/>
  <c r="M833" i="2"/>
  <c r="N833" i="2"/>
  <c r="O833" i="2"/>
  <c r="P833" i="2"/>
  <c r="M834" i="2"/>
  <c r="N834" i="2"/>
  <c r="O834" i="2"/>
  <c r="P834" i="2"/>
  <c r="M835" i="2"/>
  <c r="N835" i="2"/>
  <c r="O835" i="2"/>
  <c r="P835" i="2"/>
  <c r="M836" i="2"/>
  <c r="N836" i="2"/>
  <c r="O836" i="2"/>
  <c r="P836" i="2"/>
  <c r="M837" i="2"/>
  <c r="N837" i="2"/>
  <c r="O837" i="2"/>
  <c r="P837" i="2"/>
  <c r="M838" i="2"/>
  <c r="N838" i="2"/>
  <c r="O838" i="2"/>
  <c r="P838" i="2"/>
  <c r="M839" i="2"/>
  <c r="N839" i="2"/>
  <c r="O839" i="2"/>
  <c r="P839" i="2"/>
  <c r="M840" i="2"/>
  <c r="N840" i="2"/>
  <c r="O840" i="2"/>
  <c r="P840" i="2"/>
  <c r="M841" i="2"/>
  <c r="N841" i="2"/>
  <c r="O841" i="2"/>
  <c r="P841" i="2"/>
  <c r="M842" i="2"/>
  <c r="N842" i="2"/>
  <c r="O842" i="2"/>
  <c r="P842" i="2"/>
  <c r="M843" i="2"/>
  <c r="N843" i="2"/>
  <c r="O843" i="2"/>
  <c r="P843" i="2"/>
  <c r="M844" i="2"/>
  <c r="N844" i="2"/>
  <c r="O844" i="2"/>
  <c r="P844" i="2"/>
  <c r="M845" i="2"/>
  <c r="N845" i="2"/>
  <c r="O845" i="2"/>
  <c r="P845" i="2"/>
  <c r="M846" i="2"/>
  <c r="N846" i="2"/>
  <c r="O846" i="2"/>
  <c r="P846" i="2"/>
  <c r="M847" i="2"/>
  <c r="N847" i="2"/>
  <c r="O847" i="2"/>
  <c r="P847" i="2"/>
  <c r="M848" i="2"/>
  <c r="N848" i="2"/>
  <c r="O848" i="2"/>
  <c r="P848" i="2"/>
  <c r="M849" i="2"/>
  <c r="N849" i="2"/>
  <c r="O849" i="2"/>
  <c r="P849" i="2"/>
  <c r="M850" i="2"/>
  <c r="N850" i="2"/>
  <c r="O850" i="2"/>
  <c r="P850" i="2"/>
  <c r="M851" i="2"/>
  <c r="N851" i="2"/>
  <c r="O851" i="2"/>
  <c r="P851" i="2"/>
  <c r="M852" i="2"/>
  <c r="N852" i="2"/>
  <c r="O852" i="2"/>
  <c r="P852" i="2"/>
  <c r="M853" i="2"/>
  <c r="N853" i="2"/>
  <c r="O853" i="2"/>
  <c r="P853" i="2"/>
  <c r="M854" i="2"/>
  <c r="N854" i="2"/>
  <c r="O854" i="2"/>
  <c r="P854" i="2"/>
  <c r="M855" i="2"/>
  <c r="N855" i="2"/>
  <c r="O855" i="2"/>
  <c r="P855" i="2"/>
  <c r="M856" i="2"/>
  <c r="N856" i="2"/>
  <c r="O856" i="2"/>
  <c r="P856" i="2"/>
  <c r="M857" i="2"/>
  <c r="N857" i="2"/>
  <c r="O857" i="2"/>
  <c r="P857" i="2"/>
  <c r="M858" i="2"/>
  <c r="N858" i="2"/>
  <c r="O858" i="2"/>
  <c r="P858" i="2"/>
  <c r="M859" i="2"/>
  <c r="N859" i="2"/>
  <c r="O859" i="2"/>
  <c r="P859" i="2"/>
  <c r="M860" i="2"/>
  <c r="N860" i="2"/>
  <c r="O860" i="2"/>
  <c r="P860" i="2"/>
  <c r="M861" i="2"/>
  <c r="N861" i="2"/>
  <c r="O861" i="2"/>
  <c r="P861" i="2"/>
  <c r="M862" i="2"/>
  <c r="N862" i="2"/>
  <c r="O862" i="2"/>
  <c r="P862" i="2"/>
  <c r="M863" i="2"/>
  <c r="N863" i="2"/>
  <c r="O863" i="2"/>
  <c r="P863" i="2"/>
  <c r="M864" i="2"/>
  <c r="N864" i="2"/>
  <c r="O864" i="2"/>
  <c r="P864" i="2"/>
  <c r="M865" i="2"/>
  <c r="N865" i="2"/>
  <c r="O865" i="2"/>
  <c r="P865" i="2"/>
  <c r="M866" i="2"/>
  <c r="N866" i="2"/>
  <c r="O866" i="2"/>
  <c r="P866" i="2"/>
  <c r="M867" i="2"/>
  <c r="N867" i="2"/>
  <c r="O867" i="2"/>
  <c r="P867" i="2"/>
  <c r="M868" i="2"/>
  <c r="N868" i="2"/>
  <c r="O868" i="2"/>
  <c r="P868" i="2"/>
  <c r="M869" i="2"/>
  <c r="N869" i="2"/>
  <c r="O869" i="2"/>
  <c r="P869" i="2"/>
  <c r="M870" i="2"/>
  <c r="N870" i="2"/>
  <c r="O870" i="2"/>
  <c r="P870" i="2"/>
  <c r="M871" i="2"/>
  <c r="N871" i="2"/>
  <c r="O871" i="2"/>
  <c r="P871" i="2"/>
  <c r="M872" i="2"/>
  <c r="N872" i="2"/>
  <c r="O872" i="2"/>
  <c r="P872" i="2"/>
  <c r="M873" i="2"/>
  <c r="N873" i="2"/>
  <c r="O873" i="2"/>
  <c r="P873" i="2"/>
  <c r="M874" i="2"/>
  <c r="N874" i="2"/>
  <c r="O874" i="2"/>
  <c r="P874" i="2"/>
  <c r="M875" i="2"/>
  <c r="N875" i="2"/>
  <c r="O875" i="2"/>
  <c r="P875" i="2"/>
  <c r="M876" i="2"/>
  <c r="N876" i="2"/>
  <c r="O876" i="2"/>
  <c r="P876" i="2"/>
  <c r="M877" i="2"/>
  <c r="N877" i="2"/>
  <c r="O877" i="2"/>
  <c r="P877" i="2"/>
  <c r="M878" i="2"/>
  <c r="N878" i="2"/>
  <c r="O878" i="2"/>
  <c r="P878" i="2"/>
  <c r="M879" i="2"/>
  <c r="N879" i="2"/>
  <c r="O879" i="2"/>
  <c r="P879" i="2"/>
  <c r="M880" i="2"/>
  <c r="N880" i="2"/>
  <c r="O880" i="2"/>
  <c r="P880" i="2"/>
  <c r="M881" i="2"/>
  <c r="N881" i="2"/>
  <c r="O881" i="2"/>
  <c r="P881" i="2"/>
  <c r="M882" i="2"/>
  <c r="N882" i="2"/>
  <c r="O882" i="2"/>
  <c r="P882" i="2"/>
  <c r="M883" i="2"/>
  <c r="N883" i="2"/>
  <c r="O883" i="2"/>
  <c r="P883" i="2"/>
  <c r="M884" i="2"/>
  <c r="N884" i="2"/>
  <c r="O884" i="2"/>
  <c r="P884" i="2"/>
  <c r="M885" i="2"/>
  <c r="N885" i="2"/>
  <c r="O885" i="2"/>
  <c r="P885" i="2"/>
  <c r="M886" i="2"/>
  <c r="N886" i="2"/>
  <c r="O886" i="2"/>
  <c r="P886" i="2"/>
  <c r="M887" i="2"/>
  <c r="N887" i="2"/>
  <c r="O887" i="2"/>
  <c r="P887" i="2"/>
  <c r="M888" i="2"/>
  <c r="N888" i="2"/>
  <c r="O888" i="2"/>
  <c r="P888" i="2"/>
  <c r="M889" i="2"/>
  <c r="N889" i="2"/>
  <c r="O889" i="2"/>
  <c r="P889" i="2"/>
  <c r="M890" i="2"/>
  <c r="N890" i="2"/>
  <c r="O890" i="2"/>
  <c r="P890" i="2"/>
  <c r="M891" i="2"/>
  <c r="N891" i="2"/>
  <c r="O891" i="2"/>
  <c r="P891" i="2"/>
  <c r="M892" i="2"/>
  <c r="N892" i="2"/>
  <c r="O892" i="2"/>
  <c r="P892" i="2"/>
  <c r="M893" i="2"/>
  <c r="N893" i="2"/>
  <c r="O893" i="2"/>
  <c r="P893" i="2"/>
  <c r="M894" i="2"/>
  <c r="N894" i="2"/>
  <c r="O894" i="2"/>
  <c r="P894" i="2"/>
  <c r="M895" i="2"/>
  <c r="N895" i="2"/>
  <c r="O895" i="2"/>
  <c r="P895" i="2"/>
  <c r="M896" i="2"/>
  <c r="N896" i="2"/>
  <c r="O896" i="2"/>
  <c r="P896" i="2"/>
  <c r="M897" i="2"/>
  <c r="N897" i="2"/>
  <c r="O897" i="2"/>
  <c r="P897" i="2"/>
  <c r="M898" i="2"/>
  <c r="N898" i="2"/>
  <c r="O898" i="2"/>
  <c r="P898" i="2"/>
  <c r="M899" i="2"/>
  <c r="N899" i="2"/>
  <c r="O899" i="2"/>
  <c r="P899" i="2"/>
  <c r="M900" i="2"/>
  <c r="N900" i="2"/>
  <c r="O900" i="2"/>
  <c r="P900" i="2"/>
  <c r="M901" i="2"/>
  <c r="N901" i="2"/>
  <c r="O901" i="2"/>
  <c r="P901" i="2"/>
  <c r="M902" i="2"/>
  <c r="N902" i="2"/>
  <c r="O902" i="2"/>
  <c r="P902" i="2"/>
  <c r="M903" i="2"/>
  <c r="N903" i="2"/>
  <c r="O903" i="2"/>
  <c r="P903" i="2"/>
  <c r="M904" i="2"/>
  <c r="N904" i="2"/>
  <c r="O904" i="2"/>
  <c r="P904" i="2"/>
  <c r="M905" i="2"/>
  <c r="N905" i="2"/>
  <c r="O905" i="2"/>
  <c r="P905" i="2"/>
  <c r="M906" i="2"/>
  <c r="N906" i="2"/>
  <c r="O906" i="2"/>
  <c r="P906" i="2"/>
  <c r="M907" i="2"/>
  <c r="N907" i="2"/>
  <c r="O907" i="2"/>
  <c r="P907" i="2"/>
  <c r="M908" i="2"/>
  <c r="N908" i="2"/>
  <c r="O908" i="2"/>
  <c r="P908" i="2"/>
  <c r="M909" i="2"/>
  <c r="N909" i="2"/>
  <c r="O909" i="2"/>
  <c r="P909" i="2"/>
  <c r="M910" i="2"/>
  <c r="N910" i="2"/>
  <c r="O910" i="2"/>
  <c r="P910" i="2"/>
  <c r="M911" i="2"/>
  <c r="N911" i="2"/>
  <c r="O911" i="2"/>
  <c r="P911" i="2"/>
  <c r="M912" i="2"/>
  <c r="N912" i="2"/>
  <c r="O912" i="2"/>
  <c r="P912" i="2"/>
  <c r="M913" i="2"/>
  <c r="N913" i="2"/>
  <c r="O913" i="2"/>
  <c r="P913" i="2"/>
  <c r="M914" i="2"/>
  <c r="N914" i="2"/>
  <c r="O914" i="2"/>
  <c r="P914" i="2"/>
  <c r="M915" i="2"/>
  <c r="N915" i="2"/>
  <c r="O915" i="2"/>
  <c r="P915" i="2"/>
  <c r="M916" i="2"/>
  <c r="N916" i="2"/>
  <c r="O916" i="2"/>
  <c r="P916" i="2"/>
  <c r="M917" i="2"/>
  <c r="N917" i="2"/>
  <c r="O917" i="2"/>
  <c r="P917" i="2"/>
  <c r="M918" i="2"/>
  <c r="N918" i="2"/>
  <c r="O918" i="2"/>
  <c r="P918" i="2"/>
  <c r="M919" i="2"/>
  <c r="N919" i="2"/>
  <c r="O919" i="2"/>
  <c r="P919" i="2"/>
  <c r="M920" i="2"/>
  <c r="N920" i="2"/>
  <c r="O920" i="2"/>
  <c r="P920" i="2"/>
  <c r="M921" i="2"/>
  <c r="N921" i="2"/>
  <c r="O921" i="2"/>
  <c r="P921" i="2"/>
  <c r="M922" i="2"/>
  <c r="N922" i="2"/>
  <c r="O922" i="2"/>
  <c r="P922" i="2"/>
  <c r="M923" i="2"/>
  <c r="N923" i="2"/>
  <c r="O923" i="2"/>
  <c r="P923" i="2"/>
  <c r="M924" i="2"/>
  <c r="N924" i="2"/>
  <c r="O924" i="2"/>
  <c r="P924" i="2"/>
  <c r="M925" i="2"/>
  <c r="N925" i="2"/>
  <c r="O925" i="2"/>
  <c r="P925" i="2"/>
  <c r="M926" i="2"/>
  <c r="N926" i="2"/>
  <c r="O926" i="2"/>
  <c r="P926" i="2"/>
  <c r="M927" i="2"/>
  <c r="N927" i="2"/>
  <c r="O927" i="2"/>
  <c r="P927" i="2"/>
  <c r="M928" i="2"/>
  <c r="N928" i="2"/>
  <c r="O928" i="2"/>
  <c r="P928" i="2"/>
  <c r="M929" i="2"/>
  <c r="N929" i="2"/>
  <c r="O929" i="2"/>
  <c r="P929" i="2"/>
  <c r="M930" i="2"/>
  <c r="N930" i="2"/>
  <c r="O930" i="2"/>
  <c r="P930" i="2"/>
  <c r="M931" i="2"/>
  <c r="N931" i="2"/>
  <c r="O931" i="2"/>
  <c r="P931" i="2"/>
  <c r="M932" i="2"/>
  <c r="N932" i="2"/>
  <c r="O932" i="2"/>
  <c r="P932" i="2"/>
  <c r="M933" i="2"/>
  <c r="N933" i="2"/>
  <c r="O933" i="2"/>
  <c r="P933" i="2"/>
  <c r="M934" i="2"/>
  <c r="N934" i="2"/>
  <c r="O934" i="2"/>
  <c r="P934" i="2"/>
  <c r="M935" i="2"/>
  <c r="N935" i="2"/>
  <c r="O935" i="2"/>
  <c r="P935" i="2"/>
  <c r="M936" i="2"/>
  <c r="N936" i="2"/>
  <c r="O936" i="2"/>
  <c r="P936" i="2"/>
  <c r="M937" i="2"/>
  <c r="N937" i="2"/>
  <c r="O937" i="2"/>
  <c r="P937" i="2"/>
  <c r="M938" i="2"/>
  <c r="N938" i="2"/>
  <c r="O938" i="2"/>
  <c r="P938" i="2"/>
  <c r="M939" i="2"/>
  <c r="N939" i="2"/>
  <c r="O939" i="2"/>
  <c r="P939" i="2"/>
  <c r="M940" i="2"/>
  <c r="N940" i="2"/>
  <c r="O940" i="2"/>
  <c r="P940" i="2"/>
  <c r="M941" i="2"/>
  <c r="N941" i="2"/>
  <c r="O941" i="2"/>
  <c r="P941" i="2"/>
  <c r="M942" i="2"/>
  <c r="N942" i="2"/>
  <c r="O942" i="2"/>
  <c r="P942" i="2"/>
  <c r="M943" i="2"/>
  <c r="N943" i="2"/>
  <c r="O943" i="2"/>
  <c r="P943" i="2"/>
  <c r="M944" i="2"/>
  <c r="N944" i="2"/>
  <c r="O944" i="2"/>
  <c r="P944" i="2"/>
  <c r="M945" i="2"/>
  <c r="N945" i="2"/>
  <c r="O945" i="2"/>
  <c r="P945" i="2"/>
  <c r="M946" i="2"/>
  <c r="N946" i="2"/>
  <c r="O946" i="2"/>
  <c r="P946" i="2"/>
  <c r="M947" i="2"/>
  <c r="N947" i="2"/>
  <c r="O947" i="2"/>
  <c r="P947" i="2"/>
  <c r="M948" i="2"/>
  <c r="N948" i="2"/>
  <c r="O948" i="2"/>
  <c r="P948" i="2"/>
  <c r="M949" i="2"/>
  <c r="N949" i="2"/>
  <c r="O949" i="2"/>
  <c r="P949" i="2"/>
  <c r="M950" i="2"/>
  <c r="N950" i="2"/>
  <c r="O950" i="2"/>
  <c r="P950" i="2"/>
  <c r="M951" i="2"/>
  <c r="N951" i="2"/>
  <c r="O951" i="2"/>
  <c r="P951" i="2"/>
  <c r="M952" i="2"/>
  <c r="N952" i="2"/>
  <c r="O952" i="2"/>
  <c r="P952" i="2"/>
  <c r="M953" i="2"/>
  <c r="N953" i="2"/>
  <c r="O953" i="2"/>
  <c r="P953" i="2"/>
  <c r="M954" i="2"/>
  <c r="N954" i="2"/>
  <c r="O954" i="2"/>
  <c r="P954" i="2"/>
  <c r="M955" i="2"/>
  <c r="N955" i="2"/>
  <c r="O955" i="2"/>
  <c r="P955" i="2"/>
  <c r="M956" i="2"/>
  <c r="N956" i="2"/>
  <c r="O956" i="2"/>
  <c r="P956" i="2"/>
  <c r="M957" i="2"/>
  <c r="N957" i="2"/>
  <c r="O957" i="2"/>
  <c r="P957" i="2"/>
  <c r="M958" i="2"/>
  <c r="N958" i="2"/>
  <c r="O958" i="2"/>
  <c r="P958" i="2"/>
  <c r="M959" i="2"/>
  <c r="N959" i="2"/>
  <c r="O959" i="2"/>
  <c r="P959" i="2"/>
  <c r="M960" i="2"/>
  <c r="N960" i="2"/>
  <c r="O960" i="2"/>
  <c r="P960" i="2"/>
  <c r="M961" i="2"/>
  <c r="N961" i="2"/>
  <c r="O961" i="2"/>
  <c r="P961" i="2"/>
  <c r="M962" i="2"/>
  <c r="N962" i="2"/>
  <c r="O962" i="2"/>
  <c r="P962" i="2"/>
  <c r="M963" i="2"/>
  <c r="N963" i="2"/>
  <c r="O963" i="2"/>
  <c r="P963" i="2"/>
  <c r="M964" i="2"/>
  <c r="N964" i="2"/>
  <c r="O964" i="2"/>
  <c r="P964" i="2"/>
  <c r="M965" i="2"/>
  <c r="N965" i="2"/>
  <c r="O965" i="2"/>
  <c r="P965" i="2"/>
  <c r="M966" i="2"/>
  <c r="N966" i="2"/>
  <c r="O966" i="2"/>
  <c r="P966" i="2"/>
  <c r="M967" i="2"/>
  <c r="N967" i="2"/>
  <c r="O967" i="2"/>
  <c r="P967" i="2"/>
  <c r="M968" i="2"/>
  <c r="N968" i="2"/>
  <c r="O968" i="2"/>
  <c r="P968" i="2"/>
  <c r="M969" i="2"/>
  <c r="N969" i="2"/>
  <c r="O969" i="2"/>
  <c r="P969" i="2"/>
  <c r="M970" i="2"/>
  <c r="N970" i="2"/>
  <c r="O970" i="2"/>
  <c r="P970" i="2"/>
  <c r="M971" i="2"/>
  <c r="N971" i="2"/>
  <c r="O971" i="2"/>
  <c r="P971" i="2"/>
  <c r="M972" i="2"/>
  <c r="N972" i="2"/>
  <c r="O972" i="2"/>
  <c r="P972" i="2"/>
  <c r="M973" i="2"/>
  <c r="N973" i="2"/>
  <c r="O973" i="2"/>
  <c r="P973" i="2"/>
  <c r="M974" i="2"/>
  <c r="N974" i="2"/>
  <c r="O974" i="2"/>
  <c r="P974" i="2"/>
  <c r="M975" i="2"/>
  <c r="N975" i="2"/>
  <c r="O975" i="2"/>
  <c r="P975" i="2"/>
  <c r="M976" i="2"/>
  <c r="N976" i="2"/>
  <c r="O976" i="2"/>
  <c r="P976" i="2"/>
  <c r="M977" i="2"/>
  <c r="N977" i="2"/>
  <c r="O977" i="2"/>
  <c r="P977" i="2"/>
  <c r="M978" i="2"/>
  <c r="N978" i="2"/>
  <c r="O978" i="2"/>
  <c r="P978" i="2"/>
  <c r="M979" i="2"/>
  <c r="N979" i="2"/>
  <c r="O979" i="2"/>
  <c r="P979" i="2"/>
  <c r="M980" i="2"/>
  <c r="N980" i="2"/>
  <c r="O980" i="2"/>
  <c r="P980" i="2"/>
  <c r="M981" i="2"/>
  <c r="N981" i="2"/>
  <c r="O981" i="2"/>
  <c r="P981" i="2"/>
  <c r="M982" i="2"/>
  <c r="N982" i="2"/>
  <c r="O982" i="2"/>
  <c r="P982" i="2"/>
  <c r="M983" i="2"/>
  <c r="N983" i="2"/>
  <c r="O983" i="2"/>
  <c r="P983" i="2"/>
  <c r="M984" i="2"/>
  <c r="N984" i="2"/>
  <c r="O984" i="2"/>
  <c r="P984" i="2"/>
  <c r="M985" i="2"/>
  <c r="N985" i="2"/>
  <c r="O985" i="2"/>
  <c r="P985" i="2"/>
  <c r="M986" i="2"/>
  <c r="N986" i="2"/>
  <c r="O986" i="2"/>
  <c r="P986" i="2"/>
  <c r="M987" i="2"/>
  <c r="N987" i="2"/>
  <c r="O987" i="2"/>
  <c r="P987" i="2"/>
  <c r="M988" i="2"/>
  <c r="N988" i="2"/>
  <c r="O988" i="2"/>
  <c r="P988" i="2"/>
  <c r="M989" i="2"/>
  <c r="N989" i="2"/>
  <c r="O989" i="2"/>
  <c r="P989" i="2"/>
  <c r="M990" i="2"/>
  <c r="N990" i="2"/>
  <c r="O990" i="2"/>
  <c r="P990" i="2"/>
  <c r="M991" i="2"/>
  <c r="N991" i="2"/>
  <c r="O991" i="2"/>
  <c r="P991" i="2"/>
  <c r="M992" i="2"/>
  <c r="N992" i="2"/>
  <c r="O992" i="2"/>
  <c r="P992" i="2"/>
  <c r="M993" i="2"/>
  <c r="N993" i="2"/>
  <c r="O993" i="2"/>
  <c r="P993" i="2"/>
  <c r="M994" i="2"/>
  <c r="N994" i="2"/>
  <c r="O994" i="2"/>
  <c r="P994" i="2"/>
  <c r="M995" i="2"/>
  <c r="N995" i="2"/>
  <c r="O995" i="2"/>
  <c r="P995" i="2"/>
  <c r="M996" i="2"/>
  <c r="N996" i="2"/>
  <c r="O996" i="2"/>
  <c r="P996" i="2"/>
  <c r="M997" i="2"/>
  <c r="N997" i="2"/>
  <c r="O997" i="2"/>
  <c r="P997" i="2"/>
  <c r="M998" i="2"/>
  <c r="N998" i="2"/>
  <c r="O998" i="2"/>
  <c r="P998" i="2"/>
  <c r="M999" i="2"/>
  <c r="N999" i="2"/>
  <c r="O999" i="2"/>
  <c r="P999" i="2"/>
  <c r="M1000" i="2"/>
  <c r="N1000" i="2"/>
  <c r="O1000" i="2"/>
  <c r="P1000" i="2"/>
  <c r="M1001" i="2"/>
  <c r="N1001" i="2"/>
  <c r="O1001" i="2"/>
  <c r="P1001" i="2"/>
  <c r="M1002" i="2"/>
  <c r="N1002" i="2"/>
  <c r="O1002" i="2"/>
  <c r="P1002" i="2"/>
  <c r="M1003" i="2"/>
  <c r="N1003" i="2"/>
  <c r="O1003" i="2"/>
  <c r="P1003" i="2"/>
  <c r="M1004" i="2"/>
  <c r="N1004" i="2"/>
  <c r="O1004" i="2"/>
  <c r="P1004" i="2"/>
  <c r="M1005" i="2"/>
  <c r="N1005" i="2"/>
  <c r="O1005" i="2"/>
  <c r="P1005" i="2"/>
  <c r="M1006" i="2"/>
  <c r="N1006" i="2"/>
  <c r="O1006" i="2"/>
  <c r="P1006" i="2"/>
  <c r="M1007" i="2"/>
  <c r="N1007" i="2"/>
  <c r="O1007" i="2"/>
  <c r="P1007" i="2"/>
  <c r="M1008" i="2"/>
  <c r="N1008" i="2"/>
  <c r="O1008" i="2"/>
  <c r="P1008" i="2"/>
  <c r="M1009" i="2"/>
  <c r="N1009" i="2"/>
  <c r="O1009" i="2"/>
  <c r="P1009" i="2"/>
  <c r="M1010" i="2"/>
  <c r="N1010" i="2"/>
  <c r="O1010" i="2"/>
  <c r="P1010" i="2"/>
  <c r="M1011" i="2"/>
  <c r="N1011" i="2"/>
  <c r="O1011" i="2"/>
  <c r="P1011" i="2"/>
  <c r="M1012" i="2"/>
  <c r="N1012" i="2"/>
  <c r="O1012" i="2"/>
  <c r="P1012" i="2"/>
  <c r="M1013" i="2"/>
  <c r="N1013" i="2"/>
  <c r="O1013" i="2"/>
  <c r="P1013" i="2"/>
  <c r="M1014" i="2"/>
  <c r="N1014" i="2"/>
  <c r="O1014" i="2"/>
  <c r="P1014" i="2"/>
  <c r="M1015" i="2"/>
  <c r="N1015" i="2"/>
  <c r="O1015" i="2"/>
  <c r="P1015" i="2"/>
  <c r="M1016" i="2"/>
  <c r="N1016" i="2"/>
  <c r="O1016" i="2"/>
  <c r="P1016" i="2"/>
  <c r="M1017" i="2"/>
  <c r="N1017" i="2"/>
  <c r="O1017" i="2"/>
  <c r="P1017" i="2"/>
  <c r="M1018" i="2"/>
  <c r="N1018" i="2"/>
  <c r="O1018" i="2"/>
  <c r="P1018" i="2"/>
  <c r="M1019" i="2"/>
  <c r="N1019" i="2"/>
  <c r="O1019" i="2"/>
  <c r="P1019" i="2"/>
  <c r="M1020" i="2"/>
  <c r="N1020" i="2"/>
  <c r="O1020" i="2"/>
  <c r="P1020" i="2"/>
  <c r="M1021" i="2"/>
  <c r="N1021" i="2"/>
  <c r="O1021" i="2"/>
  <c r="P1021" i="2"/>
  <c r="M1022" i="2"/>
  <c r="N1022" i="2"/>
  <c r="O1022" i="2"/>
  <c r="P1022" i="2"/>
  <c r="M1023" i="2"/>
  <c r="N1023" i="2"/>
  <c r="O1023" i="2"/>
  <c r="P1023" i="2"/>
  <c r="M1024" i="2"/>
  <c r="N1024" i="2"/>
  <c r="O1024" i="2"/>
  <c r="P1024" i="2"/>
  <c r="M1025" i="2"/>
  <c r="N1025" i="2"/>
  <c r="O1025" i="2"/>
  <c r="P1025" i="2"/>
  <c r="M1026" i="2"/>
  <c r="N1026" i="2"/>
  <c r="O1026" i="2"/>
  <c r="P1026" i="2"/>
  <c r="M1027" i="2"/>
  <c r="N1027" i="2"/>
  <c r="O1027" i="2"/>
  <c r="P1027" i="2"/>
  <c r="M1028" i="2"/>
  <c r="N1028" i="2"/>
  <c r="O1028" i="2"/>
  <c r="P1028" i="2"/>
  <c r="M1029" i="2"/>
  <c r="N1029" i="2"/>
  <c r="O1029" i="2"/>
  <c r="P1029" i="2"/>
  <c r="M1030" i="2"/>
  <c r="N1030" i="2"/>
  <c r="O1030" i="2"/>
  <c r="P1030" i="2"/>
  <c r="M1031" i="2"/>
  <c r="N1031" i="2"/>
  <c r="O1031" i="2"/>
  <c r="P1031" i="2"/>
  <c r="M1032" i="2"/>
  <c r="N1032" i="2"/>
  <c r="O1032" i="2"/>
  <c r="P1032" i="2"/>
  <c r="M1033" i="2"/>
  <c r="N1033" i="2"/>
  <c r="O1033" i="2"/>
  <c r="P1033" i="2"/>
  <c r="M1034" i="2"/>
  <c r="N1034" i="2"/>
  <c r="O1034" i="2"/>
  <c r="P1034" i="2"/>
  <c r="M1035" i="2"/>
  <c r="N1035" i="2"/>
  <c r="O1035" i="2"/>
  <c r="P1035" i="2"/>
  <c r="M1036" i="2"/>
  <c r="N1036" i="2"/>
  <c r="O1036" i="2"/>
  <c r="P1036" i="2"/>
  <c r="M1037" i="2"/>
  <c r="N1037" i="2"/>
  <c r="O1037" i="2"/>
  <c r="P1037" i="2"/>
  <c r="M1038" i="2"/>
  <c r="N1038" i="2"/>
  <c r="O1038" i="2"/>
  <c r="P1038" i="2"/>
  <c r="M1039" i="2"/>
  <c r="N1039" i="2"/>
  <c r="O1039" i="2"/>
  <c r="P1039" i="2"/>
  <c r="M1040" i="2"/>
  <c r="N1040" i="2"/>
  <c r="O1040" i="2"/>
  <c r="P1040" i="2"/>
  <c r="M1041" i="2"/>
  <c r="N1041" i="2"/>
  <c r="O1041" i="2"/>
  <c r="P1041" i="2"/>
  <c r="M1042" i="2"/>
  <c r="N1042" i="2"/>
  <c r="O1042" i="2"/>
  <c r="P1042" i="2"/>
  <c r="M1043" i="2"/>
  <c r="N1043" i="2"/>
  <c r="O1043" i="2"/>
  <c r="P1043" i="2"/>
  <c r="M1044" i="2"/>
  <c r="N1044" i="2"/>
  <c r="O1044" i="2"/>
  <c r="P1044" i="2"/>
  <c r="M1045" i="2"/>
  <c r="N1045" i="2"/>
  <c r="O1045" i="2"/>
  <c r="P1045" i="2"/>
  <c r="M1046" i="2"/>
  <c r="N1046" i="2"/>
  <c r="O1046" i="2"/>
  <c r="P1046" i="2"/>
  <c r="M1047" i="2"/>
  <c r="N1047" i="2"/>
  <c r="O1047" i="2"/>
  <c r="P1047" i="2"/>
  <c r="M1048" i="2"/>
  <c r="N1048" i="2"/>
  <c r="O1048" i="2"/>
  <c r="P1048" i="2"/>
  <c r="M1049" i="2"/>
  <c r="N1049" i="2"/>
  <c r="O1049" i="2"/>
  <c r="P1049" i="2"/>
  <c r="M1050" i="2"/>
  <c r="N1050" i="2"/>
  <c r="O1050" i="2"/>
  <c r="P1050" i="2"/>
  <c r="M1051" i="2"/>
  <c r="N1051" i="2"/>
  <c r="O1051" i="2"/>
  <c r="P1051" i="2"/>
  <c r="M1052" i="2"/>
  <c r="N1052" i="2"/>
  <c r="O1052" i="2"/>
  <c r="P1052" i="2"/>
  <c r="M1053" i="2"/>
  <c r="N1053" i="2"/>
  <c r="O1053" i="2"/>
  <c r="P1053" i="2"/>
  <c r="M1054" i="2"/>
  <c r="N1054" i="2"/>
  <c r="O1054" i="2"/>
  <c r="P1054" i="2"/>
  <c r="M1055" i="2"/>
  <c r="N1055" i="2"/>
  <c r="O1055" i="2"/>
  <c r="P1055" i="2"/>
  <c r="M1056" i="2"/>
  <c r="N1056" i="2"/>
  <c r="O1056" i="2"/>
  <c r="P1056" i="2"/>
  <c r="M1057" i="2"/>
  <c r="N1057" i="2"/>
  <c r="O1057" i="2"/>
  <c r="P1057" i="2"/>
  <c r="M1058" i="2"/>
  <c r="N1058" i="2"/>
  <c r="O1058" i="2"/>
  <c r="P1058" i="2"/>
  <c r="M1059" i="2"/>
  <c r="N1059" i="2"/>
  <c r="O1059" i="2"/>
  <c r="P1059" i="2"/>
  <c r="M1060" i="2"/>
  <c r="N1060" i="2"/>
  <c r="O1060" i="2"/>
  <c r="P1060" i="2"/>
  <c r="M1061" i="2"/>
  <c r="N1061" i="2"/>
  <c r="O1061" i="2"/>
  <c r="P1061" i="2"/>
  <c r="M1062" i="2"/>
  <c r="N1062" i="2"/>
  <c r="O1062" i="2"/>
  <c r="P1062" i="2"/>
  <c r="M1063" i="2"/>
  <c r="N1063" i="2"/>
  <c r="O1063" i="2"/>
  <c r="P1063" i="2"/>
  <c r="M1064" i="2"/>
  <c r="N1064" i="2"/>
  <c r="O1064" i="2"/>
  <c r="P1064" i="2"/>
  <c r="M1065" i="2"/>
  <c r="N1065" i="2"/>
  <c r="O1065" i="2"/>
  <c r="P1065" i="2"/>
  <c r="M1066" i="2"/>
  <c r="N1066" i="2"/>
  <c r="O1066" i="2"/>
  <c r="P1066" i="2"/>
  <c r="M1067" i="2"/>
  <c r="N1067" i="2"/>
  <c r="O1067" i="2"/>
  <c r="P1067" i="2"/>
  <c r="M1068" i="2"/>
  <c r="N1068" i="2"/>
  <c r="O1068" i="2"/>
  <c r="P1068" i="2"/>
  <c r="M1069" i="2"/>
  <c r="N1069" i="2"/>
  <c r="O1069" i="2"/>
  <c r="P1069" i="2"/>
  <c r="M1070" i="2"/>
  <c r="N1070" i="2"/>
  <c r="O1070" i="2"/>
  <c r="P1070" i="2"/>
  <c r="M1071" i="2"/>
  <c r="N1071" i="2"/>
  <c r="O1071" i="2"/>
  <c r="P1071" i="2"/>
  <c r="M1072" i="2"/>
  <c r="N1072" i="2"/>
  <c r="O1072" i="2"/>
  <c r="P1072" i="2"/>
  <c r="M1073" i="2"/>
  <c r="N1073" i="2"/>
  <c r="O1073" i="2"/>
  <c r="P1073" i="2"/>
  <c r="M1074" i="2"/>
  <c r="N1074" i="2"/>
  <c r="O1074" i="2"/>
  <c r="P1074" i="2"/>
  <c r="M1075" i="2"/>
  <c r="N1075" i="2"/>
  <c r="O1075" i="2"/>
  <c r="P1075" i="2"/>
  <c r="M1076" i="2"/>
  <c r="N1076" i="2"/>
  <c r="O1076" i="2"/>
  <c r="P1076" i="2"/>
  <c r="M1077" i="2"/>
  <c r="N1077" i="2"/>
  <c r="O1077" i="2"/>
  <c r="P1077" i="2"/>
  <c r="M1078" i="2"/>
  <c r="N1078" i="2"/>
  <c r="O1078" i="2"/>
  <c r="P1078" i="2"/>
  <c r="M1079" i="2"/>
  <c r="N1079" i="2"/>
  <c r="O1079" i="2"/>
  <c r="P1079" i="2"/>
  <c r="M1080" i="2"/>
  <c r="N1080" i="2"/>
  <c r="O1080" i="2"/>
  <c r="P1080" i="2"/>
  <c r="M1081" i="2"/>
  <c r="N1081" i="2"/>
  <c r="O1081" i="2"/>
  <c r="P1081" i="2"/>
  <c r="M1082" i="2"/>
  <c r="N1082" i="2"/>
  <c r="O1082" i="2"/>
  <c r="P1082" i="2"/>
  <c r="M1083" i="2"/>
  <c r="N1083" i="2"/>
  <c r="O1083" i="2"/>
  <c r="P1083" i="2"/>
  <c r="M1084" i="2"/>
  <c r="N1084" i="2"/>
  <c r="O1084" i="2"/>
  <c r="P1084" i="2"/>
  <c r="M1085" i="2"/>
  <c r="N1085" i="2"/>
  <c r="O1085" i="2"/>
  <c r="P1085" i="2"/>
  <c r="M1086" i="2"/>
  <c r="N1086" i="2"/>
  <c r="O1086" i="2"/>
  <c r="P1086" i="2"/>
  <c r="M1087" i="2"/>
  <c r="N1087" i="2"/>
  <c r="O1087" i="2"/>
  <c r="P1087" i="2"/>
  <c r="M1088" i="2"/>
  <c r="N1088" i="2"/>
  <c r="O1088" i="2"/>
  <c r="P1088" i="2"/>
  <c r="M1089" i="2"/>
  <c r="N1089" i="2"/>
  <c r="O1089" i="2"/>
  <c r="P1089" i="2"/>
  <c r="M1090" i="2"/>
  <c r="N1090" i="2"/>
  <c r="O1090" i="2"/>
  <c r="P1090" i="2"/>
  <c r="M1091" i="2"/>
  <c r="N1091" i="2"/>
  <c r="O1091" i="2"/>
  <c r="P1091" i="2"/>
  <c r="M1092" i="2"/>
  <c r="N1092" i="2"/>
  <c r="O1092" i="2"/>
  <c r="P1092" i="2"/>
  <c r="M1093" i="2"/>
  <c r="N1093" i="2"/>
  <c r="O1093" i="2"/>
  <c r="P1093" i="2"/>
  <c r="M1094" i="2"/>
  <c r="N1094" i="2"/>
  <c r="O1094" i="2"/>
  <c r="P1094" i="2"/>
  <c r="M1095" i="2"/>
  <c r="N1095" i="2"/>
  <c r="O1095" i="2"/>
  <c r="P1095" i="2"/>
  <c r="M1096" i="2"/>
  <c r="N1096" i="2"/>
  <c r="O1096" i="2"/>
  <c r="P1096" i="2"/>
  <c r="M1097" i="2"/>
  <c r="N1097" i="2"/>
  <c r="O1097" i="2"/>
  <c r="P1097" i="2"/>
  <c r="M1098" i="2"/>
  <c r="N1098" i="2"/>
  <c r="O1098" i="2"/>
  <c r="P1098" i="2"/>
  <c r="M1099" i="2"/>
  <c r="N1099" i="2"/>
  <c r="O1099" i="2"/>
  <c r="P1099" i="2"/>
  <c r="M1100" i="2"/>
  <c r="N1100" i="2"/>
  <c r="O1100" i="2"/>
  <c r="P1100" i="2"/>
  <c r="M1101" i="2"/>
  <c r="N1101" i="2"/>
  <c r="O1101" i="2"/>
  <c r="P1101" i="2"/>
  <c r="M1102" i="2"/>
  <c r="N1102" i="2"/>
  <c r="O1102" i="2"/>
  <c r="P1102" i="2"/>
  <c r="M1103" i="2"/>
  <c r="N1103" i="2"/>
  <c r="O1103" i="2"/>
  <c r="P1103" i="2"/>
  <c r="M1104" i="2"/>
  <c r="N1104" i="2"/>
  <c r="O1104" i="2"/>
  <c r="P1104" i="2"/>
  <c r="M1105" i="2"/>
  <c r="N1105" i="2"/>
  <c r="O1105" i="2"/>
  <c r="P1105" i="2"/>
  <c r="M1106" i="2"/>
  <c r="N1106" i="2"/>
  <c r="O1106" i="2"/>
  <c r="P1106" i="2"/>
  <c r="M1107" i="2"/>
  <c r="N1107" i="2"/>
  <c r="O1107" i="2"/>
  <c r="P1107" i="2"/>
  <c r="M1108" i="2"/>
  <c r="N1108" i="2"/>
  <c r="O1108" i="2"/>
  <c r="P1108" i="2"/>
  <c r="M1109" i="2"/>
  <c r="N1109" i="2"/>
  <c r="O1109" i="2"/>
  <c r="P1109" i="2"/>
  <c r="M1110" i="2"/>
  <c r="N1110" i="2"/>
  <c r="O1110" i="2"/>
  <c r="P1110" i="2"/>
  <c r="M1111" i="2"/>
  <c r="N1111" i="2"/>
  <c r="O1111" i="2"/>
  <c r="P1111" i="2"/>
  <c r="M1112" i="2"/>
  <c r="N1112" i="2"/>
  <c r="O1112" i="2"/>
  <c r="P1112" i="2"/>
  <c r="M1113" i="2"/>
  <c r="N1113" i="2"/>
  <c r="O1113" i="2"/>
  <c r="P1113" i="2"/>
  <c r="M1114" i="2"/>
  <c r="N1114" i="2"/>
  <c r="O1114" i="2"/>
  <c r="P1114" i="2"/>
  <c r="M1115" i="2"/>
  <c r="N1115" i="2"/>
  <c r="O1115" i="2"/>
  <c r="P1115" i="2"/>
  <c r="M1116" i="2"/>
  <c r="N1116" i="2"/>
  <c r="O1116" i="2"/>
  <c r="P1116" i="2"/>
  <c r="M1117" i="2"/>
  <c r="N1117" i="2"/>
  <c r="O1117" i="2"/>
  <c r="P1117" i="2"/>
  <c r="M1118" i="2"/>
  <c r="N1118" i="2"/>
  <c r="O1118" i="2"/>
  <c r="P1118" i="2"/>
  <c r="M1119" i="2"/>
  <c r="N1119" i="2"/>
  <c r="O1119" i="2"/>
  <c r="P1119" i="2"/>
  <c r="M1120" i="2"/>
  <c r="N1120" i="2"/>
  <c r="O1120" i="2"/>
  <c r="P1120" i="2"/>
  <c r="M1121" i="2"/>
  <c r="N1121" i="2"/>
  <c r="O1121" i="2"/>
  <c r="P1121" i="2"/>
  <c r="M1122" i="2"/>
  <c r="N1122" i="2"/>
  <c r="O1122" i="2"/>
  <c r="P1122" i="2"/>
  <c r="M1123" i="2"/>
  <c r="N1123" i="2"/>
  <c r="O1123" i="2"/>
  <c r="P1123" i="2"/>
  <c r="M1124" i="2"/>
  <c r="N1124" i="2"/>
  <c r="O1124" i="2"/>
  <c r="P1124" i="2"/>
  <c r="M1125" i="2"/>
  <c r="N1125" i="2"/>
  <c r="O1125" i="2"/>
  <c r="P1125" i="2"/>
  <c r="M1126" i="2"/>
  <c r="N1126" i="2"/>
  <c r="O1126" i="2"/>
  <c r="P1126" i="2"/>
  <c r="M1127" i="2"/>
  <c r="N1127" i="2"/>
  <c r="O1127" i="2"/>
  <c r="P1127" i="2"/>
  <c r="M1128" i="2"/>
  <c r="N1128" i="2"/>
  <c r="O1128" i="2"/>
  <c r="P1128" i="2"/>
  <c r="M1129" i="2"/>
  <c r="N1129" i="2"/>
  <c r="O1129" i="2"/>
  <c r="P1129" i="2"/>
  <c r="M1130" i="2"/>
  <c r="N1130" i="2"/>
  <c r="O1130" i="2"/>
  <c r="P1130" i="2"/>
  <c r="M1131" i="2"/>
  <c r="N1131" i="2"/>
  <c r="O1131" i="2"/>
  <c r="P1131" i="2"/>
  <c r="M1132" i="2"/>
  <c r="N1132" i="2"/>
  <c r="O1132" i="2"/>
  <c r="P1132" i="2"/>
  <c r="M1133" i="2"/>
  <c r="N1133" i="2"/>
  <c r="O1133" i="2"/>
  <c r="P1133" i="2"/>
  <c r="M1134" i="2"/>
  <c r="N1134" i="2"/>
  <c r="O1134" i="2"/>
  <c r="P1134" i="2"/>
  <c r="M1135" i="2"/>
  <c r="N1135" i="2"/>
  <c r="O1135" i="2"/>
  <c r="P1135" i="2"/>
  <c r="M1136" i="2"/>
  <c r="N1136" i="2"/>
  <c r="O1136" i="2"/>
  <c r="P1136" i="2"/>
  <c r="M1137" i="2"/>
  <c r="N1137" i="2"/>
  <c r="O1137" i="2"/>
  <c r="P1137" i="2"/>
  <c r="M1138" i="2"/>
  <c r="N1138" i="2"/>
  <c r="O1138" i="2"/>
  <c r="P1138" i="2"/>
  <c r="M1139" i="2"/>
  <c r="N1139" i="2"/>
  <c r="O1139" i="2"/>
  <c r="P1139" i="2"/>
  <c r="M1140" i="2"/>
  <c r="N1140" i="2"/>
  <c r="O1140" i="2"/>
  <c r="P1140" i="2"/>
  <c r="M1141" i="2"/>
  <c r="N1141" i="2"/>
  <c r="O1141" i="2"/>
  <c r="P1141" i="2"/>
  <c r="M1142" i="2"/>
  <c r="N1142" i="2"/>
  <c r="O1142" i="2"/>
  <c r="P1142" i="2"/>
  <c r="M1143" i="2"/>
  <c r="N1143" i="2"/>
  <c r="O1143" i="2"/>
  <c r="P1143" i="2"/>
  <c r="M1144" i="2"/>
  <c r="N1144" i="2"/>
  <c r="O1144" i="2"/>
  <c r="P1144" i="2"/>
  <c r="M1145" i="2"/>
  <c r="N1145" i="2"/>
  <c r="O1145" i="2"/>
  <c r="P1145" i="2"/>
  <c r="M1146" i="2"/>
  <c r="N1146" i="2"/>
  <c r="O1146" i="2"/>
  <c r="P1146" i="2"/>
  <c r="M1147" i="2"/>
  <c r="N1147" i="2"/>
  <c r="O1147" i="2"/>
  <c r="P1147" i="2"/>
  <c r="M1148" i="2"/>
  <c r="N1148" i="2"/>
  <c r="O1148" i="2"/>
  <c r="P1148" i="2"/>
  <c r="M1149" i="2"/>
  <c r="N1149" i="2"/>
  <c r="O1149" i="2"/>
  <c r="P1149" i="2"/>
  <c r="M1150" i="2"/>
  <c r="N1150" i="2"/>
  <c r="O1150" i="2"/>
  <c r="P1150" i="2"/>
  <c r="M1151" i="2"/>
  <c r="N1151" i="2"/>
  <c r="O1151" i="2"/>
  <c r="P1151" i="2"/>
  <c r="M1152" i="2"/>
  <c r="N1152" i="2"/>
  <c r="O1152" i="2"/>
  <c r="P1152" i="2"/>
  <c r="M1153" i="2"/>
  <c r="N1153" i="2"/>
  <c r="O1153" i="2"/>
  <c r="P1153" i="2"/>
  <c r="M1154" i="2"/>
  <c r="N1154" i="2"/>
  <c r="O1154" i="2"/>
  <c r="P1154" i="2"/>
  <c r="M1155" i="2"/>
  <c r="N1155" i="2"/>
  <c r="O1155" i="2"/>
  <c r="P1155" i="2"/>
  <c r="M1156" i="2"/>
  <c r="N1156" i="2"/>
  <c r="O1156" i="2"/>
  <c r="P1156" i="2"/>
  <c r="M1157" i="2"/>
  <c r="N1157" i="2"/>
  <c r="O1157" i="2"/>
  <c r="P1157" i="2"/>
  <c r="M1158" i="2"/>
  <c r="N1158" i="2"/>
  <c r="O1158" i="2"/>
  <c r="P1158" i="2"/>
  <c r="M1159" i="2"/>
  <c r="N1159" i="2"/>
  <c r="O1159" i="2"/>
  <c r="P1159" i="2"/>
  <c r="M1160" i="2"/>
  <c r="N1160" i="2"/>
  <c r="O1160" i="2"/>
  <c r="P1160" i="2"/>
  <c r="M1161" i="2"/>
  <c r="N1161" i="2"/>
  <c r="O1161" i="2"/>
  <c r="P1161" i="2"/>
  <c r="M1162" i="2"/>
  <c r="N1162" i="2"/>
  <c r="O1162" i="2"/>
  <c r="P1162" i="2"/>
  <c r="M1163" i="2"/>
  <c r="N1163" i="2"/>
  <c r="O1163" i="2"/>
  <c r="P1163" i="2"/>
  <c r="M1164" i="2"/>
  <c r="N1164" i="2"/>
  <c r="O1164" i="2"/>
  <c r="P1164" i="2"/>
  <c r="M1165" i="2"/>
  <c r="N1165" i="2"/>
  <c r="O1165" i="2"/>
  <c r="P1165" i="2"/>
  <c r="M1166" i="2"/>
  <c r="N1166" i="2"/>
  <c r="O1166" i="2"/>
  <c r="P1166" i="2"/>
  <c r="M1167" i="2"/>
  <c r="N1167" i="2"/>
  <c r="O1167" i="2"/>
  <c r="P1167" i="2"/>
  <c r="M1168" i="2"/>
  <c r="N1168" i="2"/>
  <c r="O1168" i="2"/>
  <c r="P1168" i="2"/>
  <c r="M1169" i="2"/>
  <c r="N1169" i="2"/>
  <c r="O1169" i="2"/>
  <c r="P1169" i="2"/>
  <c r="M1170" i="2"/>
  <c r="N1170" i="2"/>
  <c r="O1170" i="2"/>
  <c r="P1170" i="2"/>
  <c r="M1171" i="2"/>
  <c r="N1171" i="2"/>
  <c r="O1171" i="2"/>
  <c r="P1171" i="2"/>
  <c r="M1172" i="2"/>
  <c r="N1172" i="2"/>
  <c r="O1172" i="2"/>
  <c r="P1172" i="2"/>
  <c r="M1173" i="2"/>
  <c r="N1173" i="2"/>
  <c r="O1173" i="2"/>
  <c r="P1173" i="2"/>
  <c r="M1174" i="2"/>
  <c r="N1174" i="2"/>
  <c r="O1174" i="2"/>
  <c r="P1174" i="2"/>
  <c r="M1175" i="2"/>
  <c r="N1175" i="2"/>
  <c r="O1175" i="2"/>
  <c r="P1175" i="2"/>
  <c r="M1176" i="2"/>
  <c r="N1176" i="2"/>
  <c r="O1176" i="2"/>
  <c r="P1176" i="2"/>
  <c r="M1177" i="2"/>
  <c r="N1177" i="2"/>
  <c r="O1177" i="2"/>
  <c r="P1177" i="2"/>
  <c r="M1178" i="2"/>
  <c r="N1178" i="2"/>
  <c r="O1178" i="2"/>
  <c r="P1178" i="2"/>
  <c r="M1179" i="2"/>
  <c r="N1179" i="2"/>
  <c r="O1179" i="2"/>
  <c r="P1179" i="2"/>
  <c r="M1180" i="2"/>
  <c r="N1180" i="2"/>
  <c r="O1180" i="2"/>
  <c r="P1180" i="2"/>
  <c r="M1181" i="2"/>
  <c r="N1181" i="2"/>
  <c r="O1181" i="2"/>
  <c r="P1181" i="2"/>
  <c r="M1182" i="2"/>
  <c r="N1182" i="2"/>
  <c r="O1182" i="2"/>
  <c r="P1182" i="2"/>
  <c r="M1183" i="2"/>
  <c r="N1183" i="2"/>
  <c r="O1183" i="2"/>
  <c r="P1183" i="2"/>
  <c r="M1184" i="2"/>
  <c r="N1184" i="2"/>
  <c r="O1184" i="2"/>
  <c r="P1184" i="2"/>
  <c r="M1185" i="2"/>
  <c r="N1185" i="2"/>
  <c r="O1185" i="2"/>
  <c r="P1185" i="2"/>
  <c r="M1186" i="2"/>
  <c r="N1186" i="2"/>
  <c r="O1186" i="2"/>
  <c r="P1186" i="2"/>
  <c r="M1187" i="2"/>
  <c r="N1187" i="2"/>
  <c r="O1187" i="2"/>
  <c r="P1187" i="2"/>
  <c r="M1188" i="2"/>
  <c r="N1188" i="2"/>
  <c r="O1188" i="2"/>
  <c r="P1188" i="2"/>
  <c r="M1189" i="2"/>
  <c r="N1189" i="2"/>
  <c r="O1189" i="2"/>
  <c r="P1189" i="2"/>
  <c r="M1190" i="2"/>
  <c r="N1190" i="2"/>
  <c r="O1190" i="2"/>
  <c r="P1190" i="2"/>
  <c r="M1191" i="2"/>
  <c r="N1191" i="2"/>
  <c r="O1191" i="2"/>
  <c r="P1191" i="2"/>
  <c r="M1192" i="2"/>
  <c r="N1192" i="2"/>
  <c r="O1192" i="2"/>
  <c r="P1192" i="2"/>
  <c r="M1193" i="2"/>
  <c r="N1193" i="2"/>
  <c r="O1193" i="2"/>
  <c r="P1193" i="2"/>
  <c r="M1194" i="2"/>
  <c r="N1194" i="2"/>
  <c r="O1194" i="2"/>
  <c r="P1194" i="2"/>
  <c r="M1195" i="2"/>
  <c r="N1195" i="2"/>
  <c r="O1195" i="2"/>
  <c r="P1195" i="2"/>
  <c r="M1196" i="2"/>
  <c r="N1196" i="2"/>
  <c r="O1196" i="2"/>
  <c r="P1196" i="2"/>
  <c r="M1197" i="2"/>
  <c r="N1197" i="2"/>
  <c r="O1197" i="2"/>
  <c r="P1197" i="2"/>
  <c r="M1198" i="2"/>
  <c r="N1198" i="2"/>
  <c r="O1198" i="2"/>
  <c r="P1198" i="2"/>
  <c r="M1199" i="2"/>
  <c r="N1199" i="2"/>
  <c r="O1199" i="2"/>
  <c r="P1199" i="2"/>
  <c r="M1200" i="2"/>
  <c r="N1200" i="2"/>
  <c r="O1200" i="2"/>
  <c r="P1200" i="2"/>
  <c r="M1201" i="2"/>
  <c r="N1201" i="2"/>
  <c r="O1201" i="2"/>
  <c r="P1201" i="2"/>
  <c r="M1202" i="2"/>
  <c r="N1202" i="2"/>
  <c r="O1202" i="2"/>
  <c r="P1202" i="2"/>
  <c r="M1203" i="2"/>
  <c r="N1203" i="2"/>
  <c r="O1203" i="2"/>
  <c r="P1203" i="2"/>
  <c r="M1204" i="2"/>
  <c r="N1204" i="2"/>
  <c r="O1204" i="2"/>
  <c r="P1204" i="2"/>
  <c r="M1205" i="2"/>
  <c r="N1205" i="2"/>
  <c r="O1205" i="2"/>
  <c r="P1205" i="2"/>
  <c r="M1206" i="2"/>
  <c r="N1206" i="2"/>
  <c r="O1206" i="2"/>
  <c r="P1206" i="2"/>
  <c r="M1207" i="2"/>
  <c r="N1207" i="2"/>
  <c r="O1207" i="2"/>
  <c r="P1207" i="2"/>
  <c r="M1208" i="2"/>
  <c r="N1208" i="2"/>
  <c r="O1208" i="2"/>
  <c r="P1208" i="2"/>
  <c r="M1209" i="2"/>
  <c r="N1209" i="2"/>
  <c r="O1209" i="2"/>
  <c r="P1209" i="2"/>
  <c r="M1210" i="2"/>
  <c r="N1210" i="2"/>
  <c r="O1210" i="2"/>
  <c r="P1210" i="2"/>
  <c r="M1211" i="2"/>
  <c r="N1211" i="2"/>
  <c r="O1211" i="2"/>
  <c r="P1211" i="2"/>
  <c r="M1212" i="2"/>
  <c r="N1212" i="2"/>
  <c r="O1212" i="2"/>
  <c r="P1212" i="2"/>
  <c r="M1213" i="2"/>
  <c r="N1213" i="2"/>
  <c r="O1213" i="2"/>
  <c r="P1213" i="2"/>
  <c r="M1214" i="2"/>
  <c r="N1214" i="2"/>
  <c r="O1214" i="2"/>
  <c r="P1214" i="2"/>
  <c r="M1215" i="2"/>
  <c r="N1215" i="2"/>
  <c r="O1215" i="2"/>
  <c r="P1215" i="2"/>
  <c r="M1216" i="2"/>
  <c r="N1216" i="2"/>
  <c r="O1216" i="2"/>
  <c r="P1216" i="2"/>
  <c r="M1217" i="2"/>
  <c r="N1217" i="2"/>
  <c r="O1217" i="2"/>
  <c r="P1217" i="2"/>
  <c r="M1218" i="2"/>
  <c r="N1218" i="2"/>
  <c r="O1218" i="2"/>
  <c r="P1218" i="2"/>
  <c r="M1219" i="2"/>
  <c r="N1219" i="2"/>
  <c r="O1219" i="2"/>
  <c r="P1219" i="2"/>
  <c r="M1220" i="2"/>
  <c r="N1220" i="2"/>
  <c r="O1220" i="2"/>
  <c r="P1220" i="2"/>
  <c r="M1221" i="2"/>
  <c r="N1221" i="2"/>
  <c r="O1221" i="2"/>
  <c r="P1221" i="2"/>
  <c r="M1222" i="2"/>
  <c r="N1222" i="2"/>
  <c r="O1222" i="2"/>
  <c r="P1222" i="2"/>
  <c r="M1223" i="2"/>
  <c r="N1223" i="2"/>
  <c r="O1223" i="2"/>
  <c r="P1223" i="2"/>
  <c r="M1224" i="2"/>
  <c r="N1224" i="2"/>
  <c r="O1224" i="2"/>
  <c r="P1224" i="2"/>
  <c r="M1225" i="2"/>
  <c r="N1225" i="2"/>
  <c r="O1225" i="2"/>
  <c r="P1225" i="2"/>
  <c r="M1226" i="2"/>
  <c r="N1226" i="2"/>
  <c r="O1226" i="2"/>
  <c r="P1226" i="2"/>
  <c r="M1227" i="2"/>
  <c r="N1227" i="2"/>
  <c r="O1227" i="2"/>
  <c r="P1227" i="2"/>
  <c r="M1228" i="2"/>
  <c r="N1228" i="2"/>
  <c r="O1228" i="2"/>
  <c r="P1228" i="2"/>
  <c r="M1229" i="2"/>
  <c r="N1229" i="2"/>
  <c r="O1229" i="2"/>
  <c r="P1229" i="2"/>
  <c r="M1230" i="2"/>
  <c r="N1230" i="2"/>
  <c r="O1230" i="2"/>
  <c r="P1230" i="2"/>
  <c r="M1231" i="2"/>
  <c r="N1231" i="2"/>
  <c r="O1231" i="2"/>
  <c r="P1231" i="2"/>
  <c r="M1232" i="2"/>
  <c r="N1232" i="2"/>
  <c r="O1232" i="2"/>
  <c r="P1232" i="2"/>
  <c r="M1233" i="2"/>
  <c r="N1233" i="2"/>
  <c r="O1233" i="2"/>
  <c r="P1233" i="2"/>
  <c r="M1234" i="2"/>
  <c r="N1234" i="2"/>
  <c r="O1234" i="2"/>
  <c r="P1234" i="2"/>
  <c r="M1235" i="2"/>
  <c r="N1235" i="2"/>
  <c r="O1235" i="2"/>
  <c r="P1235" i="2"/>
  <c r="M1236" i="2"/>
  <c r="N1236" i="2"/>
  <c r="O1236" i="2"/>
  <c r="P1236" i="2"/>
  <c r="M1237" i="2"/>
  <c r="N1237" i="2"/>
  <c r="O1237" i="2"/>
  <c r="P1237" i="2"/>
  <c r="M1238" i="2"/>
  <c r="N1238" i="2"/>
  <c r="O1238" i="2"/>
  <c r="P1238" i="2"/>
  <c r="M1239" i="2"/>
  <c r="N1239" i="2"/>
  <c r="O1239" i="2"/>
  <c r="P1239" i="2"/>
  <c r="M1240" i="2"/>
  <c r="N1240" i="2"/>
  <c r="O1240" i="2"/>
  <c r="P1240" i="2"/>
  <c r="M1241" i="2"/>
  <c r="N1241" i="2"/>
  <c r="O1241" i="2"/>
  <c r="P1241" i="2"/>
  <c r="M1242" i="2"/>
  <c r="N1242" i="2"/>
  <c r="O1242" i="2"/>
  <c r="P1242" i="2"/>
  <c r="M1243" i="2"/>
  <c r="N1243" i="2"/>
  <c r="O1243" i="2"/>
  <c r="P1243" i="2"/>
  <c r="M1244" i="2"/>
  <c r="N1244" i="2"/>
  <c r="O1244" i="2"/>
  <c r="P1244" i="2"/>
  <c r="M1245" i="2"/>
  <c r="N1245" i="2"/>
  <c r="O1245" i="2"/>
  <c r="P1245" i="2"/>
  <c r="M1246" i="2"/>
  <c r="N1246" i="2"/>
  <c r="O1246" i="2"/>
  <c r="P1246" i="2"/>
  <c r="M1247" i="2"/>
  <c r="N1247" i="2"/>
  <c r="O1247" i="2"/>
  <c r="P1247" i="2"/>
  <c r="M1248" i="2"/>
  <c r="N1248" i="2"/>
  <c r="O1248" i="2"/>
  <c r="P1248" i="2"/>
  <c r="M1249" i="2"/>
  <c r="N1249" i="2"/>
  <c r="O1249" i="2"/>
  <c r="P1249" i="2"/>
  <c r="M1250" i="2"/>
  <c r="N1250" i="2"/>
  <c r="O1250" i="2"/>
  <c r="P1250" i="2"/>
  <c r="M1251" i="2"/>
  <c r="N1251" i="2"/>
  <c r="O1251" i="2"/>
  <c r="P1251" i="2"/>
  <c r="M1252" i="2"/>
  <c r="N1252" i="2"/>
  <c r="O1252" i="2"/>
  <c r="P1252" i="2"/>
  <c r="M1253" i="2"/>
  <c r="N1253" i="2"/>
  <c r="O1253" i="2"/>
  <c r="P1253" i="2"/>
  <c r="M1254" i="2"/>
  <c r="N1254" i="2"/>
  <c r="O1254" i="2"/>
  <c r="P1254" i="2"/>
  <c r="M1255" i="2"/>
  <c r="N1255" i="2"/>
  <c r="O1255" i="2"/>
  <c r="P1255" i="2"/>
  <c r="M1256" i="2"/>
  <c r="N1256" i="2"/>
  <c r="O1256" i="2"/>
  <c r="P1256" i="2"/>
  <c r="M1257" i="2"/>
  <c r="N1257" i="2"/>
  <c r="O1257" i="2"/>
  <c r="P1257" i="2"/>
  <c r="M1258" i="2"/>
  <c r="N1258" i="2"/>
  <c r="O1258" i="2"/>
  <c r="P1258" i="2"/>
  <c r="M1259" i="2"/>
  <c r="N1259" i="2"/>
  <c r="O1259" i="2"/>
  <c r="P1259" i="2"/>
  <c r="M1260" i="2"/>
  <c r="N1260" i="2"/>
  <c r="O1260" i="2"/>
  <c r="P1260" i="2"/>
  <c r="M1261" i="2"/>
  <c r="N1261" i="2"/>
  <c r="O1261" i="2"/>
  <c r="P1261" i="2"/>
  <c r="M1262" i="2"/>
  <c r="N1262" i="2"/>
  <c r="O1262" i="2"/>
  <c r="P1262" i="2"/>
  <c r="M1263" i="2"/>
  <c r="N1263" i="2"/>
  <c r="O1263" i="2"/>
  <c r="P1263" i="2"/>
  <c r="M1264" i="2"/>
  <c r="N1264" i="2"/>
  <c r="O1264" i="2"/>
  <c r="P1264" i="2"/>
  <c r="M1265" i="2"/>
  <c r="N1265" i="2"/>
  <c r="O1265" i="2"/>
  <c r="P1265" i="2"/>
  <c r="M1266" i="2"/>
  <c r="N1266" i="2"/>
  <c r="O1266" i="2"/>
  <c r="P1266" i="2"/>
  <c r="M1267" i="2"/>
  <c r="N1267" i="2"/>
  <c r="O1267" i="2"/>
  <c r="P1267" i="2"/>
  <c r="M1268" i="2"/>
  <c r="N1268" i="2"/>
  <c r="O1268" i="2"/>
  <c r="P1268" i="2"/>
  <c r="M1269" i="2"/>
  <c r="N1269" i="2"/>
  <c r="O1269" i="2"/>
  <c r="P1269" i="2"/>
  <c r="M1270" i="2"/>
  <c r="N1270" i="2"/>
  <c r="O1270" i="2"/>
  <c r="P1270" i="2"/>
  <c r="M1271" i="2"/>
  <c r="N1271" i="2"/>
  <c r="O1271" i="2"/>
  <c r="P1271" i="2"/>
  <c r="M1272" i="2"/>
  <c r="N1272" i="2"/>
  <c r="O1272" i="2"/>
  <c r="P1272" i="2"/>
  <c r="M1273" i="2"/>
  <c r="N1273" i="2"/>
  <c r="O1273" i="2"/>
  <c r="P1273" i="2"/>
  <c r="M1274" i="2"/>
  <c r="N1274" i="2"/>
  <c r="O1274" i="2"/>
  <c r="P1274" i="2"/>
  <c r="M1275" i="2"/>
  <c r="N1275" i="2"/>
  <c r="O1275" i="2"/>
  <c r="P1275" i="2"/>
  <c r="M1276" i="2"/>
  <c r="N1276" i="2"/>
  <c r="O1276" i="2"/>
  <c r="P1276" i="2"/>
  <c r="M1277" i="2"/>
  <c r="N1277" i="2"/>
  <c r="O1277" i="2"/>
  <c r="P1277" i="2"/>
  <c r="M1278" i="2"/>
  <c r="N1278" i="2"/>
  <c r="O1278" i="2"/>
  <c r="P1278" i="2"/>
  <c r="M1279" i="2"/>
  <c r="N1279" i="2"/>
  <c r="O1279" i="2"/>
  <c r="P1279" i="2"/>
  <c r="M1280" i="2"/>
  <c r="N1280" i="2"/>
  <c r="O1280" i="2"/>
  <c r="P1280" i="2"/>
  <c r="M1281" i="2"/>
  <c r="N1281" i="2"/>
  <c r="O1281" i="2"/>
  <c r="P1281" i="2"/>
  <c r="M1282" i="2"/>
  <c r="N1282" i="2"/>
  <c r="O1282" i="2"/>
  <c r="P1282" i="2"/>
  <c r="M1283" i="2"/>
  <c r="N1283" i="2"/>
  <c r="O1283" i="2"/>
  <c r="P1283" i="2"/>
  <c r="M1284" i="2"/>
  <c r="N1284" i="2"/>
  <c r="O1284" i="2"/>
  <c r="P1284" i="2"/>
  <c r="M1285" i="2"/>
  <c r="N1285" i="2"/>
  <c r="O1285" i="2"/>
  <c r="P1285" i="2"/>
  <c r="M1286" i="2"/>
  <c r="N1286" i="2"/>
  <c r="O1286" i="2"/>
  <c r="P1286" i="2"/>
  <c r="M1287" i="2"/>
  <c r="N1287" i="2"/>
  <c r="O1287" i="2"/>
  <c r="P1287" i="2"/>
  <c r="M1288" i="2"/>
  <c r="N1288" i="2"/>
  <c r="O1288" i="2"/>
  <c r="P1288" i="2"/>
  <c r="M1289" i="2"/>
  <c r="N1289" i="2"/>
  <c r="O1289" i="2"/>
  <c r="P1289" i="2"/>
  <c r="M1290" i="2"/>
  <c r="N1290" i="2"/>
  <c r="O1290" i="2"/>
  <c r="P1290" i="2"/>
  <c r="M1291" i="2"/>
  <c r="N1291" i="2"/>
  <c r="O1291" i="2"/>
  <c r="P1291" i="2"/>
  <c r="M1292" i="2"/>
  <c r="N1292" i="2"/>
  <c r="O1292" i="2"/>
  <c r="P1292" i="2"/>
  <c r="M1293" i="2"/>
  <c r="N1293" i="2"/>
  <c r="O1293" i="2"/>
  <c r="P1293" i="2"/>
  <c r="M1294" i="2"/>
  <c r="N1294" i="2"/>
  <c r="O1294" i="2"/>
  <c r="P1294" i="2"/>
  <c r="M1295" i="2"/>
  <c r="N1295" i="2"/>
  <c r="O1295" i="2"/>
  <c r="P1295" i="2"/>
  <c r="M1296" i="2"/>
  <c r="N1296" i="2"/>
  <c r="O1296" i="2"/>
  <c r="P1296" i="2"/>
  <c r="M1297" i="2"/>
  <c r="N1297" i="2"/>
  <c r="O1297" i="2"/>
  <c r="P1297" i="2"/>
  <c r="M1298" i="2"/>
  <c r="N1298" i="2"/>
  <c r="O1298" i="2"/>
  <c r="P1298" i="2"/>
  <c r="M1299" i="2"/>
  <c r="N1299" i="2"/>
  <c r="O1299" i="2"/>
  <c r="P1299" i="2"/>
  <c r="M1300" i="2"/>
  <c r="N1300" i="2"/>
  <c r="O1300" i="2"/>
  <c r="P1300" i="2"/>
  <c r="M1301" i="2"/>
  <c r="N1301" i="2"/>
  <c r="O1301" i="2"/>
  <c r="P1301" i="2"/>
  <c r="M1302" i="2"/>
  <c r="N1302" i="2"/>
  <c r="O1302" i="2"/>
  <c r="P1302" i="2"/>
  <c r="M1303" i="2"/>
  <c r="N1303" i="2"/>
  <c r="O1303" i="2"/>
  <c r="P1303" i="2"/>
  <c r="M1304" i="2"/>
  <c r="N1304" i="2"/>
  <c r="O1304" i="2"/>
  <c r="P1304" i="2"/>
  <c r="M1305" i="2"/>
  <c r="N1305" i="2"/>
  <c r="O1305" i="2"/>
  <c r="P1305" i="2"/>
  <c r="M1306" i="2"/>
  <c r="N1306" i="2"/>
  <c r="O1306" i="2"/>
  <c r="P1306" i="2"/>
  <c r="M1307" i="2"/>
  <c r="N1307" i="2"/>
  <c r="O1307" i="2"/>
  <c r="P1307" i="2"/>
  <c r="M1308" i="2"/>
  <c r="N1308" i="2"/>
  <c r="O1308" i="2"/>
  <c r="P1308" i="2"/>
  <c r="M1309" i="2"/>
  <c r="N1309" i="2"/>
  <c r="O1309" i="2"/>
  <c r="P1309" i="2"/>
  <c r="M1310" i="2"/>
  <c r="N1310" i="2"/>
  <c r="O1310" i="2"/>
  <c r="P1310" i="2"/>
  <c r="M1311" i="2"/>
  <c r="N1311" i="2"/>
  <c r="O1311" i="2"/>
  <c r="P1311" i="2"/>
  <c r="M1312" i="2"/>
  <c r="N1312" i="2"/>
  <c r="O1312" i="2"/>
  <c r="P1312" i="2"/>
  <c r="M1313" i="2"/>
  <c r="N1313" i="2"/>
  <c r="O1313" i="2"/>
  <c r="P1313" i="2"/>
  <c r="M1314" i="2"/>
  <c r="N1314" i="2"/>
  <c r="O1314" i="2"/>
  <c r="P1314" i="2"/>
  <c r="M1315" i="2"/>
  <c r="N1315" i="2"/>
  <c r="O1315" i="2"/>
  <c r="P1315" i="2"/>
  <c r="M1316" i="2"/>
  <c r="N1316" i="2"/>
  <c r="O1316" i="2"/>
  <c r="P1316" i="2"/>
  <c r="M1317" i="2"/>
  <c r="N1317" i="2"/>
  <c r="O1317" i="2"/>
  <c r="P1317" i="2"/>
  <c r="M1318" i="2"/>
  <c r="N1318" i="2"/>
  <c r="O1318" i="2"/>
  <c r="P1318" i="2"/>
  <c r="M1319" i="2"/>
  <c r="N1319" i="2"/>
  <c r="O1319" i="2"/>
  <c r="P1319" i="2"/>
  <c r="M1320" i="2"/>
  <c r="N1320" i="2"/>
  <c r="O1320" i="2"/>
  <c r="P1320" i="2"/>
  <c r="M1321" i="2"/>
  <c r="N1321" i="2"/>
  <c r="O1321" i="2"/>
  <c r="P1321" i="2"/>
  <c r="M1322" i="2"/>
  <c r="N1322" i="2"/>
  <c r="O1322" i="2"/>
  <c r="P1322" i="2"/>
  <c r="M1323" i="2"/>
  <c r="N1323" i="2"/>
  <c r="O1323" i="2"/>
  <c r="P1323" i="2"/>
  <c r="M1324" i="2"/>
  <c r="N1324" i="2"/>
  <c r="O1324" i="2"/>
  <c r="P1324" i="2"/>
  <c r="M1325" i="2"/>
  <c r="N1325" i="2"/>
  <c r="O1325" i="2"/>
  <c r="P1325" i="2"/>
  <c r="M1326" i="2"/>
  <c r="N1326" i="2"/>
  <c r="O1326" i="2"/>
  <c r="P1326" i="2"/>
  <c r="M1327" i="2"/>
  <c r="N1327" i="2"/>
  <c r="O1327" i="2"/>
  <c r="P1327" i="2"/>
  <c r="M1328" i="2"/>
  <c r="N1328" i="2"/>
  <c r="O1328" i="2"/>
  <c r="P1328" i="2"/>
  <c r="M1329" i="2"/>
  <c r="N1329" i="2"/>
  <c r="O1329" i="2"/>
  <c r="P1329" i="2"/>
  <c r="M1330" i="2"/>
  <c r="N1330" i="2"/>
  <c r="O1330" i="2"/>
  <c r="P1330" i="2"/>
  <c r="M1331" i="2"/>
  <c r="N1331" i="2"/>
  <c r="O1331" i="2"/>
  <c r="P1331" i="2"/>
  <c r="M1332" i="2"/>
  <c r="N1332" i="2"/>
  <c r="O1332" i="2"/>
  <c r="P1332" i="2"/>
  <c r="M1333" i="2"/>
  <c r="N1333" i="2"/>
  <c r="O1333" i="2"/>
  <c r="P1333" i="2"/>
  <c r="M1334" i="2"/>
  <c r="N1334" i="2"/>
  <c r="O1334" i="2"/>
  <c r="P1334" i="2"/>
  <c r="M1335" i="2"/>
  <c r="N1335" i="2"/>
  <c r="O1335" i="2"/>
  <c r="P1335" i="2"/>
  <c r="M1336" i="2"/>
  <c r="N1336" i="2"/>
  <c r="O1336" i="2"/>
  <c r="P1336" i="2"/>
  <c r="M1337" i="2"/>
  <c r="N1337" i="2"/>
  <c r="O1337" i="2"/>
  <c r="P1337" i="2"/>
  <c r="M1338" i="2"/>
  <c r="N1338" i="2"/>
  <c r="O1338" i="2"/>
  <c r="P1338" i="2"/>
  <c r="M1339" i="2"/>
  <c r="N1339" i="2"/>
  <c r="O1339" i="2"/>
  <c r="P1339" i="2"/>
  <c r="M1340" i="2"/>
  <c r="N1340" i="2"/>
  <c r="O1340" i="2"/>
  <c r="P1340" i="2"/>
  <c r="M1341" i="2"/>
  <c r="N1341" i="2"/>
  <c r="O1341" i="2"/>
  <c r="P1341" i="2"/>
  <c r="M1342" i="2"/>
  <c r="N1342" i="2"/>
  <c r="O1342" i="2"/>
  <c r="P1342" i="2"/>
  <c r="M1343" i="2"/>
  <c r="N1343" i="2"/>
  <c r="O1343" i="2"/>
  <c r="P1343" i="2"/>
  <c r="M1344" i="2"/>
  <c r="N1344" i="2"/>
  <c r="O1344" i="2"/>
  <c r="P1344" i="2"/>
  <c r="M1345" i="2"/>
  <c r="N1345" i="2"/>
  <c r="O1345" i="2"/>
  <c r="P1345" i="2"/>
  <c r="M1346" i="2"/>
  <c r="N1346" i="2"/>
  <c r="O1346" i="2"/>
  <c r="P1346" i="2"/>
  <c r="M1347" i="2"/>
  <c r="N1347" i="2"/>
  <c r="O1347" i="2"/>
  <c r="P1347" i="2"/>
  <c r="M1348" i="2"/>
  <c r="N1348" i="2"/>
  <c r="O1348" i="2"/>
  <c r="P1348" i="2"/>
  <c r="M1349" i="2"/>
  <c r="N1349" i="2"/>
  <c r="O1349" i="2"/>
  <c r="P1349" i="2"/>
  <c r="M1350" i="2"/>
  <c r="N1350" i="2"/>
  <c r="O1350" i="2"/>
  <c r="P1350" i="2"/>
  <c r="M1351" i="2"/>
  <c r="N1351" i="2"/>
  <c r="O1351" i="2"/>
  <c r="P1351" i="2"/>
  <c r="M1352" i="2"/>
  <c r="N1352" i="2"/>
  <c r="O1352" i="2"/>
  <c r="P1352" i="2"/>
  <c r="M1353" i="2"/>
  <c r="N1353" i="2"/>
  <c r="O1353" i="2"/>
  <c r="P1353" i="2"/>
  <c r="M1354" i="2"/>
  <c r="N1354" i="2"/>
  <c r="O1354" i="2"/>
  <c r="P1354" i="2"/>
  <c r="M1355" i="2"/>
  <c r="N1355" i="2"/>
  <c r="O1355" i="2"/>
  <c r="P1355" i="2"/>
  <c r="M1356" i="2"/>
  <c r="N1356" i="2"/>
  <c r="O1356" i="2"/>
  <c r="P1356" i="2"/>
  <c r="M1357" i="2"/>
  <c r="N1357" i="2"/>
  <c r="O1357" i="2"/>
  <c r="P1357" i="2"/>
  <c r="M1358" i="2"/>
  <c r="N1358" i="2"/>
  <c r="O1358" i="2"/>
  <c r="P1358" i="2"/>
  <c r="M1359" i="2"/>
  <c r="N1359" i="2"/>
  <c r="O1359" i="2"/>
  <c r="P1359" i="2"/>
  <c r="M1360" i="2"/>
  <c r="N1360" i="2"/>
  <c r="O1360" i="2"/>
  <c r="P1360" i="2"/>
  <c r="M1361" i="2"/>
  <c r="N1361" i="2"/>
  <c r="O1361" i="2"/>
  <c r="P1361" i="2"/>
  <c r="M1362" i="2"/>
  <c r="N1362" i="2"/>
  <c r="O1362" i="2"/>
  <c r="P1362" i="2"/>
  <c r="M1363" i="2"/>
  <c r="N1363" i="2"/>
  <c r="O1363" i="2"/>
  <c r="P1363" i="2"/>
  <c r="M1364" i="2"/>
  <c r="N1364" i="2"/>
  <c r="O1364" i="2"/>
  <c r="P1364" i="2"/>
  <c r="M1365" i="2"/>
  <c r="N1365" i="2"/>
  <c r="O1365" i="2"/>
  <c r="P1365" i="2"/>
  <c r="M1366" i="2"/>
  <c r="N1366" i="2"/>
  <c r="O1366" i="2"/>
  <c r="P1366" i="2"/>
  <c r="M1367" i="2"/>
  <c r="N1367" i="2"/>
  <c r="O1367" i="2"/>
  <c r="P1367" i="2"/>
  <c r="M1368" i="2"/>
  <c r="N1368" i="2"/>
  <c r="O1368" i="2"/>
  <c r="P1368" i="2"/>
  <c r="M1369" i="2"/>
  <c r="N1369" i="2"/>
  <c r="O1369" i="2"/>
  <c r="P1369" i="2"/>
  <c r="M1370" i="2"/>
  <c r="N1370" i="2"/>
  <c r="O1370" i="2"/>
  <c r="P1370" i="2"/>
  <c r="M1371" i="2"/>
  <c r="N1371" i="2"/>
  <c r="O1371" i="2"/>
  <c r="P1371" i="2"/>
  <c r="M1372" i="2"/>
  <c r="N1372" i="2"/>
  <c r="O1372" i="2"/>
  <c r="P1372" i="2"/>
  <c r="M1373" i="2"/>
  <c r="N1373" i="2"/>
  <c r="O1373" i="2"/>
  <c r="P1373" i="2"/>
  <c r="M1374" i="2"/>
  <c r="N1374" i="2"/>
  <c r="O1374" i="2"/>
  <c r="P1374" i="2"/>
  <c r="M1375" i="2"/>
  <c r="N1375" i="2"/>
  <c r="O1375" i="2"/>
  <c r="P1375" i="2"/>
  <c r="M1376" i="2"/>
  <c r="N1376" i="2"/>
  <c r="O1376" i="2"/>
  <c r="P1376" i="2"/>
  <c r="M1377" i="2"/>
  <c r="N1377" i="2"/>
  <c r="O1377" i="2"/>
  <c r="P1377" i="2"/>
  <c r="M1378" i="2"/>
  <c r="N1378" i="2"/>
  <c r="O1378" i="2"/>
  <c r="P1378" i="2"/>
  <c r="M1379" i="2"/>
  <c r="N1379" i="2"/>
  <c r="O1379" i="2"/>
  <c r="P1379" i="2"/>
  <c r="M1380" i="2"/>
  <c r="N1380" i="2"/>
  <c r="O1380" i="2"/>
  <c r="P1380" i="2"/>
  <c r="M1381" i="2"/>
  <c r="N1381" i="2"/>
  <c r="O1381" i="2"/>
  <c r="P1381" i="2"/>
  <c r="M1382" i="2"/>
  <c r="N1382" i="2"/>
  <c r="O1382" i="2"/>
  <c r="P1382" i="2"/>
  <c r="M1383" i="2"/>
  <c r="N1383" i="2"/>
  <c r="O1383" i="2"/>
  <c r="P1383" i="2"/>
  <c r="M1384" i="2"/>
  <c r="N1384" i="2"/>
  <c r="O1384" i="2"/>
  <c r="P1384" i="2"/>
  <c r="M1385" i="2"/>
  <c r="N1385" i="2"/>
  <c r="O1385" i="2"/>
  <c r="P1385" i="2"/>
  <c r="M1386" i="2"/>
  <c r="N1386" i="2"/>
  <c r="O1386" i="2"/>
  <c r="P1386" i="2"/>
  <c r="M1387" i="2"/>
  <c r="N1387" i="2"/>
  <c r="O1387" i="2"/>
  <c r="P1387" i="2"/>
  <c r="M1388" i="2"/>
  <c r="N1388" i="2"/>
  <c r="O1388" i="2"/>
  <c r="P1388" i="2"/>
  <c r="M1389" i="2"/>
  <c r="N1389" i="2"/>
  <c r="O1389" i="2"/>
  <c r="P1389" i="2"/>
  <c r="M1390" i="2"/>
  <c r="N1390" i="2"/>
  <c r="O1390" i="2"/>
  <c r="P1390" i="2"/>
  <c r="M1391" i="2"/>
  <c r="N1391" i="2"/>
  <c r="O1391" i="2"/>
  <c r="P1391" i="2"/>
  <c r="M1392" i="2"/>
  <c r="N1392" i="2"/>
  <c r="O1392" i="2"/>
  <c r="P1392" i="2"/>
  <c r="M1393" i="2"/>
  <c r="N1393" i="2"/>
  <c r="O1393" i="2"/>
  <c r="P1393" i="2"/>
  <c r="M1394" i="2"/>
  <c r="N1394" i="2"/>
  <c r="O1394" i="2"/>
  <c r="P1394" i="2"/>
  <c r="M1395" i="2"/>
  <c r="N1395" i="2"/>
  <c r="O1395" i="2"/>
  <c r="P1395" i="2"/>
  <c r="M1396" i="2"/>
  <c r="N1396" i="2"/>
  <c r="O1396" i="2"/>
  <c r="P1396" i="2"/>
  <c r="M1397" i="2"/>
  <c r="N1397" i="2"/>
  <c r="O1397" i="2"/>
  <c r="P1397" i="2"/>
  <c r="M1398" i="2"/>
  <c r="N1398" i="2"/>
  <c r="O1398" i="2"/>
  <c r="P1398" i="2"/>
  <c r="M1399" i="2"/>
  <c r="N1399" i="2"/>
  <c r="O1399" i="2"/>
  <c r="P1399" i="2"/>
  <c r="M1400" i="2"/>
  <c r="N1400" i="2"/>
  <c r="O1400" i="2"/>
  <c r="P1400" i="2"/>
  <c r="M1401" i="2"/>
  <c r="N1401" i="2"/>
  <c r="O1401" i="2"/>
  <c r="P1401" i="2"/>
  <c r="M1402" i="2"/>
  <c r="N1402" i="2"/>
  <c r="O1402" i="2"/>
  <c r="P1402" i="2"/>
  <c r="M1403" i="2"/>
  <c r="N1403" i="2"/>
  <c r="O1403" i="2"/>
  <c r="P1403" i="2"/>
  <c r="M1404" i="2"/>
  <c r="N1404" i="2"/>
  <c r="O1404" i="2"/>
  <c r="P1404" i="2"/>
  <c r="M1405" i="2"/>
  <c r="N1405" i="2"/>
  <c r="O1405" i="2"/>
  <c r="P1405" i="2"/>
  <c r="M1406" i="2"/>
  <c r="N1406" i="2"/>
  <c r="O1406" i="2"/>
  <c r="P1406" i="2"/>
  <c r="M1407" i="2"/>
  <c r="N1407" i="2"/>
  <c r="O1407" i="2"/>
  <c r="P1407" i="2"/>
  <c r="M1408" i="2"/>
  <c r="N1408" i="2"/>
  <c r="O1408" i="2"/>
  <c r="P1408" i="2"/>
  <c r="M1409" i="2"/>
  <c r="N1409" i="2"/>
  <c r="O1409" i="2"/>
  <c r="P1409" i="2"/>
  <c r="M1410" i="2"/>
  <c r="N1410" i="2"/>
  <c r="O1410" i="2"/>
  <c r="P1410" i="2"/>
  <c r="M1411" i="2"/>
  <c r="N1411" i="2"/>
  <c r="O1411" i="2"/>
  <c r="P1411" i="2"/>
  <c r="M1412" i="2"/>
  <c r="N1412" i="2"/>
  <c r="O1412" i="2"/>
  <c r="P1412" i="2"/>
  <c r="M1413" i="2"/>
  <c r="N1413" i="2"/>
  <c r="O1413" i="2"/>
  <c r="P1413" i="2"/>
  <c r="M1414" i="2"/>
  <c r="N1414" i="2"/>
  <c r="O1414" i="2"/>
  <c r="P1414" i="2"/>
  <c r="M1415" i="2"/>
  <c r="N1415" i="2"/>
  <c r="O1415" i="2"/>
  <c r="P1415" i="2"/>
  <c r="M1416" i="2"/>
  <c r="N1416" i="2"/>
  <c r="O1416" i="2"/>
  <c r="P1416" i="2"/>
  <c r="M1417" i="2"/>
  <c r="N1417" i="2"/>
  <c r="O1417" i="2"/>
  <c r="P1417" i="2"/>
  <c r="M1418" i="2"/>
  <c r="N1418" i="2"/>
  <c r="O1418" i="2"/>
  <c r="P1418" i="2"/>
  <c r="M1419" i="2"/>
  <c r="N1419" i="2"/>
  <c r="O1419" i="2"/>
  <c r="P1419" i="2"/>
  <c r="M1420" i="2"/>
  <c r="N1420" i="2"/>
  <c r="O1420" i="2"/>
  <c r="P1420" i="2"/>
  <c r="M1421" i="2"/>
  <c r="N1421" i="2"/>
  <c r="O1421" i="2"/>
  <c r="P1421" i="2"/>
  <c r="M1422" i="2"/>
  <c r="N1422" i="2"/>
  <c r="O1422" i="2"/>
  <c r="P1422" i="2"/>
  <c r="M1423" i="2"/>
  <c r="N1423" i="2"/>
  <c r="O1423" i="2"/>
  <c r="P1423" i="2"/>
  <c r="M1424" i="2"/>
  <c r="N1424" i="2"/>
  <c r="O1424" i="2"/>
  <c r="P1424" i="2"/>
  <c r="M1425" i="2"/>
  <c r="N1425" i="2"/>
  <c r="O1425" i="2"/>
  <c r="P1425" i="2"/>
  <c r="M1426" i="2"/>
  <c r="N1426" i="2"/>
  <c r="O1426" i="2"/>
  <c r="P1426" i="2"/>
  <c r="M1427" i="2"/>
  <c r="N1427" i="2"/>
  <c r="O1427" i="2"/>
  <c r="P1427" i="2"/>
  <c r="M1428" i="2"/>
  <c r="N1428" i="2"/>
  <c r="O1428" i="2"/>
  <c r="P1428" i="2"/>
  <c r="M1429" i="2"/>
  <c r="N1429" i="2"/>
  <c r="O1429" i="2"/>
  <c r="P1429" i="2"/>
  <c r="M1430" i="2"/>
  <c r="N1430" i="2"/>
  <c r="O1430" i="2"/>
  <c r="P1430" i="2"/>
  <c r="M1431" i="2"/>
  <c r="N1431" i="2"/>
  <c r="O1431" i="2"/>
  <c r="P1431" i="2"/>
  <c r="M1432" i="2"/>
  <c r="N1432" i="2"/>
  <c r="O1432" i="2"/>
  <c r="P1432" i="2"/>
  <c r="M1433" i="2"/>
  <c r="N1433" i="2"/>
  <c r="O1433" i="2"/>
  <c r="P1433" i="2"/>
  <c r="M1434" i="2"/>
  <c r="N1434" i="2"/>
  <c r="O1434" i="2"/>
  <c r="P1434" i="2"/>
  <c r="M1435" i="2"/>
  <c r="N1435" i="2"/>
  <c r="O1435" i="2"/>
  <c r="P1435" i="2"/>
  <c r="M1436" i="2"/>
  <c r="N1436" i="2"/>
  <c r="O1436" i="2"/>
  <c r="P1436" i="2"/>
  <c r="M1437" i="2"/>
  <c r="N1437" i="2"/>
  <c r="O1437" i="2"/>
  <c r="P1437" i="2"/>
  <c r="M1438" i="2"/>
  <c r="N1438" i="2"/>
  <c r="O1438" i="2"/>
  <c r="P1438" i="2"/>
  <c r="M1439" i="2"/>
  <c r="N1439" i="2"/>
  <c r="O1439" i="2"/>
  <c r="P1439" i="2"/>
  <c r="M1440" i="2"/>
  <c r="N1440" i="2"/>
  <c r="O1440" i="2"/>
  <c r="P1440" i="2"/>
  <c r="M1441" i="2"/>
  <c r="N1441" i="2"/>
  <c r="O1441" i="2"/>
  <c r="P1441" i="2"/>
  <c r="M1442" i="2"/>
  <c r="N1442" i="2"/>
  <c r="O1442" i="2"/>
  <c r="P1442" i="2"/>
  <c r="M1443" i="2"/>
  <c r="N1443" i="2"/>
  <c r="O1443" i="2"/>
  <c r="P1443" i="2"/>
  <c r="M1444" i="2"/>
  <c r="N1444" i="2"/>
  <c r="O1444" i="2"/>
  <c r="P1444" i="2"/>
  <c r="M1445" i="2"/>
  <c r="N1445" i="2"/>
  <c r="O1445" i="2"/>
  <c r="P1445" i="2"/>
  <c r="M1446" i="2"/>
  <c r="N1446" i="2"/>
  <c r="O1446" i="2"/>
  <c r="P1446" i="2"/>
  <c r="M1447" i="2"/>
  <c r="N1447" i="2"/>
  <c r="O1447" i="2"/>
  <c r="P1447" i="2"/>
  <c r="M1448" i="2"/>
  <c r="N1448" i="2"/>
  <c r="O1448" i="2"/>
  <c r="P1448" i="2"/>
  <c r="M1449" i="2"/>
  <c r="N1449" i="2"/>
  <c r="O1449" i="2"/>
  <c r="P1449" i="2"/>
  <c r="M1450" i="2"/>
  <c r="N1450" i="2"/>
  <c r="O1450" i="2"/>
  <c r="P1450" i="2"/>
  <c r="M1451" i="2"/>
  <c r="N1451" i="2"/>
  <c r="O1451" i="2"/>
  <c r="P1451" i="2"/>
  <c r="M1452" i="2"/>
  <c r="N1452" i="2"/>
  <c r="O1452" i="2"/>
  <c r="P1452" i="2"/>
  <c r="M1453" i="2"/>
  <c r="N1453" i="2"/>
  <c r="O1453" i="2"/>
  <c r="P1453" i="2"/>
  <c r="M1454" i="2"/>
  <c r="N1454" i="2"/>
  <c r="O1454" i="2"/>
  <c r="P1454" i="2"/>
  <c r="M1455" i="2"/>
  <c r="N1455" i="2"/>
  <c r="O1455" i="2"/>
  <c r="P1455" i="2"/>
  <c r="M1456" i="2"/>
  <c r="N1456" i="2"/>
  <c r="O1456" i="2"/>
  <c r="P1456" i="2"/>
  <c r="M1457" i="2"/>
  <c r="N1457" i="2"/>
  <c r="O1457" i="2"/>
  <c r="P1457" i="2"/>
  <c r="M1458" i="2"/>
  <c r="N1458" i="2"/>
  <c r="O1458" i="2"/>
  <c r="P1458" i="2"/>
  <c r="M1459" i="2"/>
  <c r="N1459" i="2"/>
  <c r="O1459" i="2"/>
  <c r="P1459" i="2"/>
  <c r="M1460" i="2"/>
  <c r="N1460" i="2"/>
  <c r="O1460" i="2"/>
  <c r="P1460" i="2"/>
  <c r="M1461" i="2"/>
  <c r="N1461" i="2"/>
  <c r="O1461" i="2"/>
  <c r="P1461" i="2"/>
  <c r="M1462" i="2"/>
  <c r="N1462" i="2"/>
  <c r="O1462" i="2"/>
  <c r="P1462" i="2"/>
  <c r="M1463" i="2"/>
  <c r="N1463" i="2"/>
  <c r="O1463" i="2"/>
  <c r="P1463" i="2"/>
  <c r="M1464" i="2"/>
  <c r="N1464" i="2"/>
  <c r="O1464" i="2"/>
  <c r="P1464" i="2"/>
  <c r="M1465" i="2"/>
  <c r="N1465" i="2"/>
  <c r="O1465" i="2"/>
  <c r="P1465" i="2"/>
  <c r="M1466" i="2"/>
  <c r="N1466" i="2"/>
  <c r="O1466" i="2"/>
  <c r="P1466" i="2"/>
  <c r="M1467" i="2"/>
  <c r="N1467" i="2"/>
  <c r="O1467" i="2"/>
  <c r="P1467" i="2"/>
  <c r="M1468" i="2"/>
  <c r="N1468" i="2"/>
  <c r="O1468" i="2"/>
  <c r="P1468" i="2"/>
  <c r="M1469" i="2"/>
  <c r="N1469" i="2"/>
  <c r="O1469" i="2"/>
  <c r="P1469" i="2"/>
  <c r="M1470" i="2"/>
  <c r="N1470" i="2"/>
  <c r="O1470" i="2"/>
  <c r="P1470" i="2"/>
  <c r="M1471" i="2"/>
  <c r="N1471" i="2"/>
  <c r="O1471" i="2"/>
  <c r="P1471" i="2"/>
  <c r="M1472" i="2"/>
  <c r="N1472" i="2"/>
  <c r="O1472" i="2"/>
  <c r="P1472" i="2"/>
  <c r="M1473" i="2"/>
  <c r="N1473" i="2"/>
  <c r="O1473" i="2"/>
  <c r="P1473" i="2"/>
  <c r="M1474" i="2"/>
  <c r="N1474" i="2"/>
  <c r="O1474" i="2"/>
  <c r="P1474" i="2"/>
  <c r="M1475" i="2"/>
  <c r="N1475" i="2"/>
  <c r="O1475" i="2"/>
  <c r="P1475" i="2"/>
  <c r="M1476" i="2"/>
  <c r="N1476" i="2"/>
  <c r="O1476" i="2"/>
  <c r="P1476" i="2"/>
  <c r="M1477" i="2"/>
  <c r="N1477" i="2"/>
  <c r="O1477" i="2"/>
  <c r="P1477" i="2"/>
  <c r="M1478" i="2"/>
  <c r="N1478" i="2"/>
  <c r="O1478" i="2"/>
  <c r="P1478" i="2"/>
  <c r="M1479" i="2"/>
  <c r="N1479" i="2"/>
  <c r="O1479" i="2"/>
  <c r="P1479" i="2"/>
  <c r="M1480" i="2"/>
  <c r="N1480" i="2"/>
  <c r="O1480" i="2"/>
  <c r="P1480" i="2"/>
  <c r="M1481" i="2"/>
  <c r="N1481" i="2"/>
  <c r="O1481" i="2"/>
  <c r="P1481" i="2"/>
  <c r="M1482" i="2"/>
  <c r="N1482" i="2"/>
  <c r="O1482" i="2"/>
  <c r="P1482" i="2"/>
  <c r="M1483" i="2"/>
  <c r="N1483" i="2"/>
  <c r="O1483" i="2"/>
  <c r="P1483" i="2"/>
  <c r="M1484" i="2"/>
  <c r="N1484" i="2"/>
  <c r="O1484" i="2"/>
  <c r="P1484" i="2"/>
  <c r="M1485" i="2"/>
  <c r="N1485" i="2"/>
  <c r="O1485" i="2"/>
  <c r="P1485" i="2"/>
  <c r="M1486" i="2"/>
  <c r="N1486" i="2"/>
  <c r="O1486" i="2"/>
  <c r="P1486" i="2"/>
  <c r="M1487" i="2"/>
  <c r="N1487" i="2"/>
  <c r="O1487" i="2"/>
  <c r="P1487" i="2"/>
  <c r="M1488" i="2"/>
  <c r="N1488" i="2"/>
  <c r="O1488" i="2"/>
  <c r="P1488" i="2"/>
  <c r="M1489" i="2"/>
  <c r="N1489" i="2"/>
  <c r="O1489" i="2"/>
  <c r="P1489" i="2"/>
  <c r="M1490" i="2"/>
  <c r="N1490" i="2"/>
  <c r="O1490" i="2"/>
  <c r="P1490" i="2"/>
  <c r="M1491" i="2"/>
  <c r="N1491" i="2"/>
  <c r="O1491" i="2"/>
  <c r="P1491" i="2"/>
  <c r="M1492" i="2"/>
  <c r="N1492" i="2"/>
  <c r="O1492" i="2"/>
  <c r="P1492" i="2"/>
  <c r="M1493" i="2"/>
  <c r="N1493" i="2"/>
  <c r="O1493" i="2"/>
  <c r="P1493" i="2"/>
  <c r="M1494" i="2"/>
  <c r="N1494" i="2"/>
  <c r="O1494" i="2"/>
  <c r="P1494" i="2"/>
  <c r="M1495" i="2"/>
  <c r="N1495" i="2"/>
  <c r="O1495" i="2"/>
  <c r="P1495" i="2"/>
  <c r="M1496" i="2"/>
  <c r="N1496" i="2"/>
  <c r="O1496" i="2"/>
  <c r="P1496" i="2"/>
  <c r="M1497" i="2"/>
  <c r="N1497" i="2"/>
  <c r="O1497" i="2"/>
  <c r="P1497" i="2"/>
  <c r="M1498" i="2"/>
  <c r="N1498" i="2"/>
  <c r="O1498" i="2"/>
  <c r="P1498" i="2"/>
  <c r="M1499" i="2"/>
  <c r="N1499" i="2"/>
  <c r="O1499" i="2"/>
  <c r="P1499" i="2"/>
  <c r="M1500" i="2"/>
  <c r="N1500" i="2"/>
  <c r="O1500" i="2"/>
  <c r="P1500" i="2"/>
  <c r="M1501" i="2"/>
  <c r="N1501" i="2"/>
  <c r="O1501" i="2"/>
  <c r="P1501" i="2"/>
  <c r="M1502" i="2"/>
  <c r="N1502" i="2"/>
  <c r="O1502" i="2"/>
  <c r="P1502" i="2"/>
  <c r="M1503" i="2"/>
  <c r="N1503" i="2"/>
  <c r="O1503" i="2"/>
  <c r="P1503" i="2"/>
  <c r="M1504" i="2"/>
  <c r="N1504" i="2"/>
  <c r="O1504" i="2"/>
  <c r="P1504" i="2"/>
  <c r="M1505" i="2"/>
  <c r="N1505" i="2"/>
  <c r="O1505" i="2"/>
  <c r="P1505" i="2"/>
  <c r="M1506" i="2"/>
  <c r="N1506" i="2"/>
  <c r="O1506" i="2"/>
  <c r="P1506" i="2"/>
  <c r="M1507" i="2"/>
  <c r="N1507" i="2"/>
  <c r="O1507" i="2"/>
  <c r="P1507" i="2"/>
  <c r="M1508" i="2"/>
  <c r="N1508" i="2"/>
  <c r="O1508" i="2"/>
  <c r="P1508" i="2"/>
  <c r="M1509" i="2"/>
  <c r="N1509" i="2"/>
  <c r="O1509" i="2"/>
  <c r="P1509" i="2"/>
  <c r="M1510" i="2"/>
  <c r="N1510" i="2"/>
  <c r="O1510" i="2"/>
  <c r="P1510" i="2"/>
  <c r="M1511" i="2"/>
  <c r="N1511" i="2"/>
  <c r="O1511" i="2"/>
  <c r="P1511" i="2"/>
  <c r="M1512" i="2"/>
  <c r="N1512" i="2"/>
  <c r="O1512" i="2"/>
  <c r="P1512" i="2"/>
  <c r="M1513" i="2"/>
  <c r="N1513" i="2"/>
  <c r="O1513" i="2"/>
  <c r="P1513" i="2"/>
  <c r="M1514" i="2"/>
  <c r="N1514" i="2"/>
  <c r="O1514" i="2"/>
  <c r="P1514" i="2"/>
  <c r="M1515" i="2"/>
  <c r="N1515" i="2"/>
  <c r="O1515" i="2"/>
  <c r="P1515" i="2"/>
  <c r="M1516" i="2"/>
  <c r="N1516" i="2"/>
  <c r="O1516" i="2"/>
  <c r="P1516" i="2"/>
  <c r="M1517" i="2"/>
  <c r="N1517" i="2"/>
  <c r="O1517" i="2"/>
  <c r="P1517" i="2"/>
  <c r="M1518" i="2"/>
  <c r="N1518" i="2"/>
  <c r="O1518" i="2"/>
  <c r="P1518" i="2"/>
  <c r="M1519" i="2"/>
  <c r="N1519" i="2"/>
  <c r="O1519" i="2"/>
  <c r="P1519" i="2"/>
  <c r="M1520" i="2"/>
  <c r="N1520" i="2"/>
  <c r="O1520" i="2"/>
  <c r="P1520" i="2"/>
  <c r="M1521" i="2"/>
  <c r="N1521" i="2"/>
  <c r="O1521" i="2"/>
  <c r="P1521" i="2"/>
  <c r="M1522" i="2"/>
  <c r="N1522" i="2"/>
  <c r="O1522" i="2"/>
  <c r="P1522" i="2"/>
  <c r="M1523" i="2"/>
  <c r="N1523" i="2"/>
  <c r="O1523" i="2"/>
  <c r="P1523" i="2"/>
  <c r="M524" i="2"/>
  <c r="N524" i="2"/>
  <c r="O524" i="2"/>
  <c r="P524" i="2"/>
  <c r="M525" i="2"/>
  <c r="N525" i="2"/>
  <c r="O525" i="2"/>
  <c r="P525" i="2"/>
  <c r="M526" i="2"/>
  <c r="N526" i="2"/>
  <c r="O526" i="2"/>
  <c r="P526" i="2"/>
  <c r="M527" i="2"/>
  <c r="N527" i="2"/>
  <c r="O527" i="2"/>
  <c r="P527" i="2"/>
  <c r="M528" i="2"/>
  <c r="N528" i="2"/>
  <c r="O528" i="2"/>
  <c r="P528" i="2"/>
  <c r="M529" i="2"/>
  <c r="N529" i="2"/>
  <c r="O529" i="2"/>
  <c r="P529" i="2"/>
  <c r="M530" i="2"/>
  <c r="N530" i="2"/>
  <c r="O530" i="2"/>
  <c r="P530" i="2"/>
  <c r="M531" i="2"/>
  <c r="N531" i="2"/>
  <c r="O531" i="2"/>
  <c r="P531" i="2"/>
  <c r="M532" i="2"/>
  <c r="N532" i="2"/>
  <c r="O532" i="2"/>
  <c r="P532" i="2"/>
  <c r="M533" i="2"/>
  <c r="N533" i="2"/>
  <c r="O533" i="2"/>
  <c r="P533" i="2"/>
  <c r="M534" i="2"/>
  <c r="N534" i="2"/>
  <c r="O534" i="2"/>
  <c r="P534" i="2"/>
  <c r="M535" i="2"/>
  <c r="N535" i="2"/>
  <c r="O535" i="2"/>
  <c r="P535" i="2"/>
  <c r="M536" i="2"/>
  <c r="N536" i="2"/>
  <c r="O536" i="2"/>
  <c r="P536" i="2"/>
  <c r="M537" i="2"/>
  <c r="N537" i="2"/>
  <c r="O537" i="2"/>
  <c r="P537" i="2"/>
  <c r="M538" i="2"/>
  <c r="N538" i="2"/>
  <c r="O538" i="2"/>
  <c r="P538" i="2"/>
  <c r="M539" i="2"/>
  <c r="N539" i="2"/>
  <c r="O539" i="2"/>
  <c r="P539" i="2"/>
  <c r="M540" i="2"/>
  <c r="N540" i="2"/>
  <c r="O540" i="2"/>
  <c r="P540" i="2"/>
  <c r="M541" i="2"/>
  <c r="N541" i="2"/>
  <c r="O541" i="2"/>
  <c r="P541" i="2"/>
  <c r="M542" i="2"/>
  <c r="N542" i="2"/>
  <c r="O542" i="2"/>
  <c r="P542" i="2"/>
  <c r="M543" i="2"/>
  <c r="N543" i="2"/>
  <c r="O543" i="2"/>
  <c r="P543" i="2"/>
  <c r="M544" i="2"/>
  <c r="N544" i="2"/>
  <c r="O544" i="2"/>
  <c r="P544" i="2"/>
  <c r="M545" i="2"/>
  <c r="N545" i="2"/>
  <c r="O545" i="2"/>
  <c r="P545" i="2"/>
  <c r="M546" i="2"/>
  <c r="N546" i="2"/>
  <c r="O546" i="2"/>
  <c r="P546" i="2"/>
  <c r="M547" i="2"/>
  <c r="N547" i="2"/>
  <c r="O547" i="2"/>
  <c r="P547" i="2"/>
  <c r="M548" i="2"/>
  <c r="N548" i="2"/>
  <c r="O548" i="2"/>
  <c r="P548" i="2"/>
  <c r="M549" i="2"/>
  <c r="N549" i="2"/>
  <c r="O549" i="2"/>
  <c r="P549" i="2"/>
  <c r="M550" i="2"/>
  <c r="N550" i="2"/>
  <c r="O550" i="2"/>
  <c r="P550" i="2"/>
  <c r="M551" i="2"/>
  <c r="N551" i="2"/>
  <c r="O551" i="2"/>
  <c r="P551" i="2"/>
  <c r="M552" i="2"/>
  <c r="N552" i="2"/>
  <c r="O552" i="2"/>
  <c r="P552" i="2"/>
  <c r="M553" i="2"/>
  <c r="N553" i="2"/>
  <c r="O553" i="2"/>
  <c r="P553" i="2"/>
  <c r="M554" i="2"/>
  <c r="N554" i="2"/>
  <c r="O554" i="2"/>
  <c r="P554" i="2"/>
  <c r="M555" i="2"/>
  <c r="N555" i="2"/>
  <c r="O555" i="2"/>
  <c r="P555" i="2"/>
  <c r="M556" i="2"/>
  <c r="N556" i="2"/>
  <c r="O556" i="2"/>
  <c r="P556" i="2"/>
  <c r="M557" i="2"/>
  <c r="N557" i="2"/>
  <c r="O557" i="2"/>
  <c r="P557" i="2"/>
  <c r="M558" i="2"/>
  <c r="N558" i="2"/>
  <c r="O558" i="2"/>
  <c r="P558" i="2"/>
  <c r="M559" i="2"/>
  <c r="N559" i="2"/>
  <c r="O559" i="2"/>
  <c r="P559" i="2"/>
  <c r="M560" i="2"/>
  <c r="N560" i="2"/>
  <c r="O560" i="2"/>
  <c r="P560" i="2"/>
  <c r="M561" i="2"/>
  <c r="N561" i="2"/>
  <c r="O561" i="2"/>
  <c r="P561" i="2"/>
  <c r="M562" i="2"/>
  <c r="N562" i="2"/>
  <c r="O562" i="2"/>
  <c r="P562" i="2"/>
  <c r="M563" i="2"/>
  <c r="N563" i="2"/>
  <c r="O563" i="2"/>
  <c r="P563" i="2"/>
  <c r="M564" i="2"/>
  <c r="N564" i="2"/>
  <c r="O564" i="2"/>
  <c r="P564" i="2"/>
  <c r="M565" i="2"/>
  <c r="N565" i="2"/>
  <c r="O565" i="2"/>
  <c r="P565" i="2"/>
  <c r="M566" i="2"/>
  <c r="N566" i="2"/>
  <c r="O566" i="2"/>
  <c r="P566" i="2"/>
  <c r="M567" i="2"/>
  <c r="N567" i="2"/>
  <c r="O567" i="2"/>
  <c r="P567" i="2"/>
  <c r="M568" i="2"/>
  <c r="N568" i="2"/>
  <c r="O568" i="2"/>
  <c r="P568" i="2"/>
  <c r="M569" i="2"/>
  <c r="N569" i="2"/>
  <c r="O569" i="2"/>
  <c r="P569" i="2"/>
  <c r="M570" i="2"/>
  <c r="N570" i="2"/>
  <c r="O570" i="2"/>
  <c r="P570" i="2"/>
  <c r="M571" i="2"/>
  <c r="N571" i="2"/>
  <c r="O571" i="2"/>
  <c r="P571" i="2"/>
  <c r="M572" i="2"/>
  <c r="N572" i="2"/>
  <c r="O572" i="2"/>
  <c r="P572" i="2"/>
  <c r="M573" i="2"/>
  <c r="N573" i="2"/>
  <c r="O573" i="2"/>
  <c r="P573" i="2"/>
  <c r="M574" i="2"/>
  <c r="N574" i="2"/>
  <c r="O574" i="2"/>
  <c r="P574" i="2"/>
  <c r="M575" i="2"/>
  <c r="N575" i="2"/>
  <c r="O575" i="2"/>
  <c r="P575" i="2"/>
  <c r="M576" i="2"/>
  <c r="N576" i="2"/>
  <c r="O576" i="2"/>
  <c r="P576" i="2"/>
  <c r="M577" i="2"/>
  <c r="N577" i="2"/>
  <c r="O577" i="2"/>
  <c r="P577" i="2"/>
  <c r="M578" i="2"/>
  <c r="N578" i="2"/>
  <c r="O578" i="2"/>
  <c r="P578" i="2"/>
  <c r="M579" i="2"/>
  <c r="N579" i="2"/>
  <c r="O579" i="2"/>
  <c r="P579" i="2"/>
  <c r="M580" i="2"/>
  <c r="N580" i="2"/>
  <c r="O580" i="2"/>
  <c r="P580" i="2"/>
  <c r="M581" i="2"/>
  <c r="N581" i="2"/>
  <c r="O581" i="2"/>
  <c r="P581" i="2"/>
  <c r="M582" i="2"/>
  <c r="N582" i="2"/>
  <c r="O582" i="2"/>
  <c r="P582" i="2"/>
  <c r="M583" i="2"/>
  <c r="N583" i="2"/>
  <c r="O583" i="2"/>
  <c r="P583" i="2"/>
  <c r="M584" i="2"/>
  <c r="N584" i="2"/>
  <c r="O584" i="2"/>
  <c r="P584" i="2"/>
  <c r="M585" i="2"/>
  <c r="N585" i="2"/>
  <c r="O585" i="2"/>
  <c r="P585" i="2"/>
  <c r="M586" i="2"/>
  <c r="N586" i="2"/>
  <c r="O586" i="2"/>
  <c r="P586" i="2"/>
  <c r="M587" i="2"/>
  <c r="N587" i="2"/>
  <c r="O587" i="2"/>
  <c r="P587" i="2"/>
  <c r="M588" i="2"/>
  <c r="N588" i="2"/>
  <c r="O588" i="2"/>
  <c r="P588" i="2"/>
  <c r="M589" i="2"/>
  <c r="N589" i="2"/>
  <c r="O589" i="2"/>
  <c r="P589" i="2"/>
  <c r="M590" i="2"/>
  <c r="N590" i="2"/>
  <c r="O590" i="2"/>
  <c r="P590" i="2"/>
  <c r="M591" i="2"/>
  <c r="N591" i="2"/>
  <c r="O591" i="2"/>
  <c r="P591" i="2"/>
  <c r="M592" i="2"/>
  <c r="N592" i="2"/>
  <c r="O592" i="2"/>
  <c r="P592" i="2"/>
  <c r="M593" i="2"/>
  <c r="N593" i="2"/>
  <c r="O593" i="2"/>
  <c r="P593" i="2"/>
  <c r="M594" i="2"/>
  <c r="N594" i="2"/>
  <c r="O594" i="2"/>
  <c r="P594" i="2"/>
  <c r="M595" i="2"/>
  <c r="N595" i="2"/>
  <c r="O595" i="2"/>
  <c r="P595" i="2"/>
  <c r="M596" i="2"/>
  <c r="N596" i="2"/>
  <c r="O596" i="2"/>
  <c r="P596" i="2"/>
  <c r="M597" i="2"/>
  <c r="N597" i="2"/>
  <c r="O597" i="2"/>
  <c r="P597" i="2"/>
  <c r="M598" i="2"/>
  <c r="N598" i="2"/>
  <c r="O598" i="2"/>
  <c r="P598" i="2"/>
  <c r="M599" i="2"/>
  <c r="N599" i="2"/>
  <c r="O599" i="2"/>
  <c r="P599" i="2"/>
  <c r="M600" i="2"/>
  <c r="N600" i="2"/>
  <c r="O600" i="2"/>
  <c r="P600" i="2"/>
  <c r="M601" i="2"/>
  <c r="N601" i="2"/>
  <c r="O601" i="2"/>
  <c r="P601" i="2"/>
  <c r="M602" i="2"/>
  <c r="N602" i="2"/>
  <c r="O602" i="2"/>
  <c r="P602" i="2"/>
  <c r="M603" i="2"/>
  <c r="N603" i="2"/>
  <c r="O603" i="2"/>
  <c r="P603" i="2"/>
  <c r="M604" i="2"/>
  <c r="N604" i="2"/>
  <c r="O604" i="2"/>
  <c r="P604" i="2"/>
  <c r="M605" i="2"/>
  <c r="N605" i="2"/>
  <c r="O605" i="2"/>
  <c r="P605" i="2"/>
  <c r="M606" i="2"/>
  <c r="N606" i="2"/>
  <c r="O606" i="2"/>
  <c r="P606" i="2"/>
  <c r="M607" i="2"/>
  <c r="N607" i="2"/>
  <c r="O607" i="2"/>
  <c r="P607" i="2"/>
  <c r="M608" i="2"/>
  <c r="N608" i="2"/>
  <c r="O608" i="2"/>
  <c r="P608" i="2"/>
  <c r="M609" i="2"/>
  <c r="N609" i="2"/>
  <c r="O609" i="2"/>
  <c r="P609" i="2"/>
  <c r="M610" i="2"/>
  <c r="N610" i="2"/>
  <c r="O610" i="2"/>
  <c r="P610" i="2"/>
  <c r="M611" i="2"/>
  <c r="N611" i="2"/>
  <c r="O611" i="2"/>
  <c r="P611" i="2"/>
  <c r="M612" i="2"/>
  <c r="N612" i="2"/>
  <c r="O612" i="2"/>
  <c r="P612" i="2"/>
  <c r="M613" i="2"/>
  <c r="N613" i="2"/>
  <c r="O613" i="2"/>
  <c r="P613" i="2"/>
  <c r="M614" i="2"/>
  <c r="N614" i="2"/>
  <c r="O614" i="2"/>
  <c r="P614" i="2"/>
  <c r="M615" i="2"/>
  <c r="N615" i="2"/>
  <c r="O615" i="2"/>
  <c r="P615" i="2"/>
  <c r="M616" i="2"/>
  <c r="N616" i="2"/>
  <c r="O616" i="2"/>
  <c r="P616" i="2"/>
  <c r="M617" i="2"/>
  <c r="N617" i="2"/>
  <c r="O617" i="2"/>
  <c r="P617" i="2"/>
  <c r="M618" i="2"/>
  <c r="N618" i="2"/>
  <c r="O618" i="2"/>
  <c r="P618" i="2"/>
  <c r="M619" i="2"/>
  <c r="N619" i="2"/>
  <c r="O619" i="2"/>
  <c r="P619" i="2"/>
  <c r="M620" i="2"/>
  <c r="N620" i="2"/>
  <c r="O620" i="2"/>
  <c r="P620" i="2"/>
  <c r="M621" i="2"/>
  <c r="N621" i="2"/>
  <c r="O621" i="2"/>
  <c r="P621" i="2"/>
  <c r="M622" i="2"/>
  <c r="N622" i="2"/>
  <c r="O622" i="2"/>
  <c r="P622" i="2"/>
  <c r="M623" i="2"/>
  <c r="N623" i="2"/>
  <c r="O623" i="2"/>
  <c r="P623" i="2"/>
  <c r="M624" i="2"/>
  <c r="N624" i="2"/>
  <c r="O624" i="2"/>
  <c r="P624" i="2"/>
  <c r="M625" i="2"/>
  <c r="N625" i="2"/>
  <c r="O625" i="2"/>
  <c r="P625" i="2"/>
  <c r="M626" i="2"/>
  <c r="N626" i="2"/>
  <c r="O626" i="2"/>
  <c r="P626" i="2"/>
  <c r="M627" i="2"/>
  <c r="N627" i="2"/>
  <c r="O627" i="2"/>
  <c r="P627" i="2"/>
  <c r="M628" i="2"/>
  <c r="N628" i="2"/>
  <c r="O628" i="2"/>
  <c r="P628" i="2"/>
  <c r="M629" i="2"/>
  <c r="N629" i="2"/>
  <c r="O629" i="2"/>
  <c r="P629" i="2"/>
  <c r="M630" i="2"/>
  <c r="N630" i="2"/>
  <c r="O630" i="2"/>
  <c r="P630" i="2"/>
  <c r="M631" i="2"/>
  <c r="N631" i="2"/>
  <c r="O631" i="2"/>
  <c r="P631" i="2"/>
  <c r="M632" i="2"/>
  <c r="N632" i="2"/>
  <c r="O632" i="2"/>
  <c r="P632" i="2"/>
  <c r="M633" i="2"/>
  <c r="N633" i="2"/>
  <c r="O633" i="2"/>
  <c r="P633" i="2"/>
  <c r="M634" i="2"/>
  <c r="N634" i="2"/>
  <c r="O634" i="2"/>
  <c r="P634" i="2"/>
  <c r="M635" i="2"/>
  <c r="N635" i="2"/>
  <c r="O635" i="2"/>
  <c r="P635" i="2"/>
  <c r="M636" i="2"/>
  <c r="N636" i="2"/>
  <c r="O636" i="2"/>
  <c r="P636" i="2"/>
  <c r="M637" i="2"/>
  <c r="N637" i="2"/>
  <c r="O637" i="2"/>
  <c r="P637" i="2"/>
  <c r="M638" i="2"/>
  <c r="N638" i="2"/>
  <c r="O638" i="2"/>
  <c r="P638" i="2"/>
  <c r="M639" i="2"/>
  <c r="N639" i="2"/>
  <c r="O639" i="2"/>
  <c r="P639" i="2"/>
  <c r="M640" i="2"/>
  <c r="N640" i="2"/>
  <c r="O640" i="2"/>
  <c r="P640" i="2"/>
  <c r="M641" i="2"/>
  <c r="N641" i="2"/>
  <c r="O641" i="2"/>
  <c r="P641" i="2"/>
  <c r="M642" i="2"/>
  <c r="N642" i="2"/>
  <c r="O642" i="2"/>
  <c r="P642" i="2"/>
  <c r="M643" i="2"/>
  <c r="N643" i="2"/>
  <c r="O643" i="2"/>
  <c r="P643" i="2"/>
  <c r="M644" i="2"/>
  <c r="N644" i="2"/>
  <c r="O644" i="2"/>
  <c r="P644" i="2"/>
  <c r="M645" i="2"/>
  <c r="N645" i="2"/>
  <c r="O645" i="2"/>
  <c r="P645" i="2"/>
  <c r="M646" i="2"/>
  <c r="N646" i="2"/>
  <c r="O646" i="2"/>
  <c r="P646" i="2"/>
  <c r="M647" i="2"/>
  <c r="N647" i="2"/>
  <c r="O647" i="2"/>
  <c r="P647" i="2"/>
  <c r="M648" i="2"/>
  <c r="N648" i="2"/>
  <c r="O648" i="2"/>
  <c r="P648" i="2"/>
  <c r="M649" i="2"/>
  <c r="N649" i="2"/>
  <c r="O649" i="2"/>
  <c r="P649" i="2"/>
  <c r="M650" i="2"/>
  <c r="N650" i="2"/>
  <c r="O650" i="2"/>
  <c r="P650" i="2"/>
  <c r="M651" i="2"/>
  <c r="N651" i="2"/>
  <c r="O651" i="2"/>
  <c r="P651" i="2"/>
  <c r="M652" i="2"/>
  <c r="N652" i="2"/>
  <c r="O652" i="2"/>
  <c r="P652" i="2"/>
  <c r="M653" i="2"/>
  <c r="N653" i="2"/>
  <c r="O653" i="2"/>
  <c r="P653" i="2"/>
  <c r="M654" i="2"/>
  <c r="N654" i="2"/>
  <c r="O654" i="2"/>
  <c r="P654" i="2"/>
  <c r="M655" i="2"/>
  <c r="N655" i="2"/>
  <c r="O655" i="2"/>
  <c r="P655" i="2"/>
  <c r="M656" i="2"/>
  <c r="N656" i="2"/>
  <c r="O656" i="2"/>
  <c r="P656" i="2"/>
  <c r="M657" i="2"/>
  <c r="N657" i="2"/>
  <c r="O657" i="2"/>
  <c r="P657" i="2"/>
  <c r="M658" i="2"/>
  <c r="N658" i="2"/>
  <c r="O658" i="2"/>
  <c r="P658" i="2"/>
  <c r="M659" i="2"/>
  <c r="N659" i="2"/>
  <c r="O659" i="2"/>
  <c r="P659" i="2"/>
  <c r="M660" i="2"/>
  <c r="N660" i="2"/>
  <c r="O660" i="2"/>
  <c r="P660" i="2"/>
  <c r="M661" i="2"/>
  <c r="N661" i="2"/>
  <c r="O661" i="2"/>
  <c r="P661" i="2"/>
  <c r="M662" i="2"/>
  <c r="N662" i="2"/>
  <c r="O662" i="2"/>
  <c r="P662" i="2"/>
  <c r="M663" i="2"/>
  <c r="N663" i="2"/>
  <c r="O663" i="2"/>
  <c r="P663" i="2"/>
  <c r="M664" i="2"/>
  <c r="N664" i="2"/>
  <c r="O664" i="2"/>
  <c r="P664" i="2"/>
  <c r="M665" i="2"/>
  <c r="N665" i="2"/>
  <c r="O665" i="2"/>
  <c r="P665" i="2"/>
  <c r="M666" i="2"/>
  <c r="N666" i="2"/>
  <c r="O666" i="2"/>
  <c r="P666" i="2"/>
  <c r="M667" i="2"/>
  <c r="N667" i="2"/>
  <c r="O667" i="2"/>
  <c r="P667" i="2"/>
  <c r="M668" i="2"/>
  <c r="N668" i="2"/>
  <c r="O668" i="2"/>
  <c r="P668" i="2"/>
  <c r="M669" i="2"/>
  <c r="N669" i="2"/>
  <c r="O669" i="2"/>
  <c r="P669" i="2"/>
  <c r="M670" i="2"/>
  <c r="N670" i="2"/>
  <c r="O670" i="2"/>
  <c r="P670" i="2"/>
  <c r="M671" i="2"/>
  <c r="N671" i="2"/>
  <c r="O671" i="2"/>
  <c r="P671" i="2"/>
  <c r="M672" i="2"/>
  <c r="N672" i="2"/>
  <c r="O672" i="2"/>
  <c r="P672" i="2"/>
  <c r="M673" i="2"/>
  <c r="N673" i="2"/>
  <c r="O673" i="2"/>
  <c r="P673" i="2"/>
  <c r="M674" i="2"/>
  <c r="N674" i="2"/>
  <c r="O674" i="2"/>
  <c r="P674" i="2"/>
  <c r="M675" i="2"/>
  <c r="N675" i="2"/>
  <c r="O675" i="2"/>
  <c r="P675" i="2"/>
  <c r="M676" i="2"/>
  <c r="N676" i="2"/>
  <c r="O676" i="2"/>
  <c r="P676" i="2"/>
  <c r="M677" i="2"/>
  <c r="N677" i="2"/>
  <c r="O677" i="2"/>
  <c r="P677" i="2"/>
  <c r="M678" i="2"/>
  <c r="N678" i="2"/>
  <c r="O678" i="2"/>
  <c r="P678" i="2"/>
  <c r="M679" i="2"/>
  <c r="N679" i="2"/>
  <c r="O679" i="2"/>
  <c r="P679" i="2"/>
  <c r="M680" i="2"/>
  <c r="N680" i="2"/>
  <c r="O680" i="2"/>
  <c r="P680" i="2"/>
  <c r="M681" i="2"/>
  <c r="N681" i="2"/>
  <c r="O681" i="2"/>
  <c r="P681" i="2"/>
  <c r="M682" i="2"/>
  <c r="N682" i="2"/>
  <c r="O682" i="2"/>
  <c r="P682" i="2"/>
  <c r="M683" i="2"/>
  <c r="N683" i="2"/>
  <c r="O683" i="2"/>
  <c r="P683" i="2"/>
  <c r="M684" i="2"/>
  <c r="N684" i="2"/>
  <c r="O684" i="2"/>
  <c r="P684" i="2"/>
  <c r="M685" i="2"/>
  <c r="N685" i="2"/>
  <c r="O685" i="2"/>
  <c r="P685" i="2"/>
  <c r="M686" i="2"/>
  <c r="N686" i="2"/>
  <c r="O686" i="2"/>
  <c r="P686" i="2"/>
  <c r="M687" i="2"/>
  <c r="N687" i="2"/>
  <c r="O687" i="2"/>
  <c r="P687" i="2"/>
  <c r="M688" i="2"/>
  <c r="N688" i="2"/>
  <c r="O688" i="2"/>
  <c r="P688" i="2"/>
  <c r="M689" i="2"/>
  <c r="N689" i="2"/>
  <c r="O689" i="2"/>
  <c r="P689" i="2"/>
  <c r="M690" i="2"/>
  <c r="N690" i="2"/>
  <c r="O690" i="2"/>
  <c r="P690" i="2"/>
  <c r="M691" i="2"/>
  <c r="N691" i="2"/>
  <c r="O691" i="2"/>
  <c r="P691" i="2"/>
  <c r="M692" i="2"/>
  <c r="N692" i="2"/>
  <c r="O692" i="2"/>
  <c r="P692" i="2"/>
  <c r="M693" i="2"/>
  <c r="N693" i="2"/>
  <c r="O693" i="2"/>
  <c r="P693" i="2"/>
  <c r="M694" i="2"/>
  <c r="N694" i="2"/>
  <c r="O694" i="2"/>
  <c r="P694" i="2"/>
  <c r="M695" i="2"/>
  <c r="N695" i="2"/>
  <c r="O695" i="2"/>
  <c r="P695" i="2"/>
  <c r="M696" i="2"/>
  <c r="N696" i="2"/>
  <c r="O696" i="2"/>
  <c r="P696" i="2"/>
  <c r="M697" i="2"/>
  <c r="N697" i="2"/>
  <c r="O697" i="2"/>
  <c r="P697" i="2"/>
  <c r="M698" i="2"/>
  <c r="N698" i="2"/>
  <c r="O698" i="2"/>
  <c r="P698" i="2"/>
  <c r="M699" i="2"/>
  <c r="N699" i="2"/>
  <c r="O699" i="2"/>
  <c r="P699" i="2"/>
  <c r="M700" i="2"/>
  <c r="N700" i="2"/>
  <c r="O700" i="2"/>
  <c r="P700" i="2"/>
  <c r="M701" i="2"/>
  <c r="N701" i="2"/>
  <c r="O701" i="2"/>
  <c r="P701" i="2"/>
  <c r="M702" i="2"/>
  <c r="N702" i="2"/>
  <c r="O702" i="2"/>
  <c r="P702" i="2"/>
  <c r="M703" i="2"/>
  <c r="N703" i="2"/>
  <c r="O703" i="2"/>
  <c r="P703" i="2"/>
  <c r="M704" i="2"/>
  <c r="N704" i="2"/>
  <c r="O704" i="2"/>
  <c r="P704" i="2"/>
  <c r="M705" i="2"/>
  <c r="N705" i="2"/>
  <c r="O705" i="2"/>
  <c r="P705" i="2"/>
  <c r="M706" i="2"/>
  <c r="N706" i="2"/>
  <c r="O706" i="2"/>
  <c r="P706" i="2"/>
  <c r="M707" i="2"/>
  <c r="N707" i="2"/>
  <c r="O707" i="2"/>
  <c r="P707" i="2"/>
  <c r="M708" i="2"/>
  <c r="N708" i="2"/>
  <c r="O708" i="2"/>
  <c r="P708" i="2"/>
  <c r="M709" i="2"/>
  <c r="N709" i="2"/>
  <c r="O709" i="2"/>
  <c r="P709" i="2"/>
  <c r="M710" i="2"/>
  <c r="N710" i="2"/>
  <c r="O710" i="2"/>
  <c r="P710" i="2"/>
  <c r="M711" i="2"/>
  <c r="N711" i="2"/>
  <c r="O711" i="2"/>
  <c r="P711" i="2"/>
  <c r="M712" i="2"/>
  <c r="N712" i="2"/>
  <c r="O712" i="2"/>
  <c r="P712" i="2"/>
  <c r="M713" i="2"/>
  <c r="N713" i="2"/>
  <c r="O713" i="2"/>
  <c r="P713" i="2"/>
  <c r="M714" i="2"/>
  <c r="N714" i="2"/>
  <c r="O714" i="2"/>
  <c r="P714" i="2"/>
  <c r="M715" i="2"/>
  <c r="N715" i="2"/>
  <c r="O715" i="2"/>
  <c r="P715" i="2"/>
  <c r="M716" i="2"/>
  <c r="N716" i="2"/>
  <c r="O716" i="2"/>
  <c r="P716" i="2"/>
  <c r="M717" i="2"/>
  <c r="N717" i="2"/>
  <c r="O717" i="2"/>
  <c r="P717" i="2"/>
  <c r="M718" i="2"/>
  <c r="N718" i="2"/>
  <c r="O718" i="2"/>
  <c r="P718" i="2"/>
  <c r="M719" i="2"/>
  <c r="N719" i="2"/>
  <c r="O719" i="2"/>
  <c r="P719" i="2"/>
  <c r="M720" i="2"/>
  <c r="N720" i="2"/>
  <c r="O720" i="2"/>
  <c r="P720" i="2"/>
  <c r="M721" i="2"/>
  <c r="N721" i="2"/>
  <c r="O721" i="2"/>
  <c r="P721" i="2"/>
  <c r="M722" i="2"/>
  <c r="N722" i="2"/>
  <c r="O722" i="2"/>
  <c r="P722" i="2"/>
  <c r="M723" i="2"/>
  <c r="N723" i="2"/>
  <c r="O723" i="2"/>
  <c r="P723" i="2"/>
  <c r="M724" i="2"/>
  <c r="N724" i="2"/>
  <c r="O724" i="2"/>
  <c r="P724" i="2"/>
  <c r="M725" i="2"/>
  <c r="N725" i="2"/>
  <c r="O725" i="2"/>
  <c r="P725" i="2"/>
  <c r="M726" i="2"/>
  <c r="N726" i="2"/>
  <c r="O726" i="2"/>
  <c r="P726" i="2"/>
  <c r="M727" i="2"/>
  <c r="N727" i="2"/>
  <c r="O727" i="2"/>
  <c r="P727" i="2"/>
  <c r="M728" i="2"/>
  <c r="N728" i="2"/>
  <c r="O728" i="2"/>
  <c r="P728" i="2"/>
  <c r="M729" i="2"/>
  <c r="N729" i="2"/>
  <c r="O729" i="2"/>
  <c r="P729" i="2"/>
  <c r="M730" i="2"/>
  <c r="N730" i="2"/>
  <c r="O730" i="2"/>
  <c r="P730" i="2"/>
  <c r="M731" i="2"/>
  <c r="N731" i="2"/>
  <c r="O731" i="2"/>
  <c r="P731" i="2"/>
  <c r="M732" i="2"/>
  <c r="N732" i="2"/>
  <c r="O732" i="2"/>
  <c r="P732" i="2"/>
  <c r="M733" i="2"/>
  <c r="N733" i="2"/>
  <c r="O733" i="2"/>
  <c r="P733" i="2"/>
  <c r="M734" i="2"/>
  <c r="N734" i="2"/>
  <c r="O734" i="2"/>
  <c r="P734" i="2"/>
  <c r="M735" i="2"/>
  <c r="N735" i="2"/>
  <c r="O735" i="2"/>
  <c r="P735" i="2"/>
  <c r="M736" i="2"/>
  <c r="N736" i="2"/>
  <c r="O736" i="2"/>
  <c r="P736" i="2"/>
  <c r="M737" i="2"/>
  <c r="N737" i="2"/>
  <c r="O737" i="2"/>
  <c r="P737" i="2"/>
  <c r="M738" i="2"/>
  <c r="N738" i="2"/>
  <c r="O738" i="2"/>
  <c r="P738" i="2"/>
  <c r="M739" i="2"/>
  <c r="N739" i="2"/>
  <c r="O739" i="2"/>
  <c r="P739" i="2"/>
  <c r="M740" i="2"/>
  <c r="N740" i="2"/>
  <c r="O740" i="2"/>
  <c r="P740" i="2"/>
  <c r="M741" i="2"/>
  <c r="N741" i="2"/>
  <c r="O741" i="2"/>
  <c r="P741" i="2"/>
  <c r="M742" i="2"/>
  <c r="N742" i="2"/>
  <c r="O742" i="2"/>
  <c r="P742" i="2"/>
  <c r="M743" i="2"/>
  <c r="N743" i="2"/>
  <c r="O743" i="2"/>
  <c r="P743" i="2"/>
  <c r="M744" i="2"/>
  <c r="N744" i="2"/>
  <c r="O744" i="2"/>
  <c r="P744" i="2"/>
  <c r="M745" i="2"/>
  <c r="N745" i="2"/>
  <c r="O745" i="2"/>
  <c r="P745" i="2"/>
  <c r="M746" i="2"/>
  <c r="N746" i="2"/>
  <c r="O746" i="2"/>
  <c r="P746" i="2"/>
  <c r="M747" i="2"/>
  <c r="N747" i="2"/>
  <c r="O747" i="2"/>
  <c r="P747" i="2"/>
  <c r="M748" i="2"/>
  <c r="N748" i="2"/>
  <c r="O748" i="2"/>
  <c r="P748" i="2"/>
  <c r="M749" i="2"/>
  <c r="N749" i="2"/>
  <c r="O749" i="2"/>
  <c r="P749" i="2"/>
  <c r="M750" i="2"/>
  <c r="N750" i="2"/>
  <c r="O750" i="2"/>
  <c r="P750" i="2"/>
  <c r="M751" i="2"/>
  <c r="N751" i="2"/>
  <c r="O751" i="2"/>
  <c r="P751" i="2"/>
  <c r="M752" i="2"/>
  <c r="N752" i="2"/>
  <c r="O752" i="2"/>
  <c r="P752" i="2"/>
  <c r="M753" i="2"/>
  <c r="N753" i="2"/>
  <c r="O753" i="2"/>
  <c r="P753" i="2"/>
  <c r="M754" i="2"/>
  <c r="N754" i="2"/>
  <c r="O754" i="2"/>
  <c r="P754" i="2"/>
  <c r="M755" i="2"/>
  <c r="N755" i="2"/>
  <c r="O755" i="2"/>
  <c r="P755" i="2"/>
  <c r="M756" i="2"/>
  <c r="N756" i="2"/>
  <c r="O756" i="2"/>
  <c r="P756" i="2"/>
  <c r="M757" i="2"/>
  <c r="N757" i="2"/>
  <c r="O757" i="2"/>
  <c r="P757" i="2"/>
  <c r="M758" i="2"/>
  <c r="N758" i="2"/>
  <c r="O758" i="2"/>
  <c r="P758" i="2"/>
  <c r="M759" i="2"/>
  <c r="N759" i="2"/>
  <c r="O759" i="2"/>
  <c r="P759" i="2"/>
  <c r="M760" i="2"/>
  <c r="N760" i="2"/>
  <c r="O760" i="2"/>
  <c r="P760" i="2"/>
  <c r="M761" i="2"/>
  <c r="N761" i="2"/>
  <c r="O761" i="2"/>
  <c r="P761" i="2"/>
  <c r="M762" i="2"/>
  <c r="N762" i="2"/>
  <c r="O762" i="2"/>
  <c r="P762" i="2"/>
  <c r="M763" i="2"/>
  <c r="N763" i="2"/>
  <c r="O763" i="2"/>
  <c r="P763" i="2"/>
  <c r="M764" i="2"/>
  <c r="N764" i="2"/>
  <c r="O764" i="2"/>
  <c r="P764" i="2"/>
  <c r="M765" i="2"/>
  <c r="N765" i="2"/>
  <c r="O765" i="2"/>
  <c r="P765" i="2"/>
  <c r="M766" i="2"/>
  <c r="N766" i="2"/>
  <c r="O766" i="2"/>
  <c r="P766" i="2"/>
  <c r="M767" i="2"/>
  <c r="N767" i="2"/>
  <c r="O767" i="2"/>
  <c r="P767" i="2"/>
  <c r="M768" i="2"/>
  <c r="N768" i="2"/>
  <c r="O768" i="2"/>
  <c r="P768" i="2"/>
  <c r="M769" i="2"/>
  <c r="N769" i="2"/>
  <c r="O769" i="2"/>
  <c r="P769" i="2"/>
  <c r="M770" i="2"/>
  <c r="N770" i="2"/>
  <c r="O770" i="2"/>
  <c r="P770" i="2"/>
  <c r="M771" i="2"/>
  <c r="N771" i="2"/>
  <c r="O771" i="2"/>
  <c r="P771" i="2"/>
  <c r="M772" i="2"/>
  <c r="N772" i="2"/>
  <c r="O772" i="2"/>
  <c r="P772" i="2"/>
  <c r="M773" i="2"/>
  <c r="N773" i="2"/>
  <c r="O773" i="2"/>
  <c r="P773" i="2"/>
  <c r="M774" i="2"/>
  <c r="N774" i="2"/>
  <c r="O774" i="2"/>
  <c r="P774" i="2"/>
  <c r="M775" i="2"/>
  <c r="N775" i="2"/>
  <c r="O775" i="2"/>
  <c r="P775" i="2"/>
  <c r="M776" i="2"/>
  <c r="N776" i="2"/>
  <c r="O776" i="2"/>
  <c r="P776" i="2"/>
  <c r="M777" i="2"/>
  <c r="N777" i="2"/>
  <c r="O777" i="2"/>
  <c r="P777" i="2"/>
  <c r="M778" i="2"/>
  <c r="N778" i="2"/>
  <c r="O778" i="2"/>
  <c r="P778" i="2"/>
  <c r="M779" i="2"/>
  <c r="N779" i="2"/>
  <c r="O779" i="2"/>
  <c r="P779" i="2"/>
  <c r="M780" i="2"/>
  <c r="N780" i="2"/>
  <c r="O780" i="2"/>
  <c r="P780" i="2"/>
  <c r="M781" i="2"/>
  <c r="N781" i="2"/>
  <c r="O781" i="2"/>
  <c r="P781" i="2"/>
  <c r="M782" i="2"/>
  <c r="N782" i="2"/>
  <c r="O782" i="2"/>
  <c r="P782" i="2"/>
  <c r="M783" i="2"/>
  <c r="N783" i="2"/>
  <c r="O783" i="2"/>
  <c r="P783" i="2"/>
  <c r="M784" i="2"/>
  <c r="N784" i="2"/>
  <c r="O784" i="2"/>
  <c r="P784" i="2"/>
  <c r="M785" i="2"/>
  <c r="N785" i="2"/>
  <c r="O785" i="2"/>
  <c r="P785" i="2"/>
  <c r="M786" i="2"/>
  <c r="N786" i="2"/>
  <c r="O786" i="2"/>
  <c r="P786" i="2"/>
  <c r="M787" i="2"/>
  <c r="N787" i="2"/>
  <c r="O787" i="2"/>
  <c r="P787" i="2"/>
  <c r="M788" i="2"/>
  <c r="N788" i="2"/>
  <c r="O788" i="2"/>
  <c r="P788" i="2"/>
  <c r="M789" i="2"/>
  <c r="N789" i="2"/>
  <c r="O789" i="2"/>
  <c r="P789" i="2"/>
  <c r="M790" i="2"/>
  <c r="N790" i="2"/>
  <c r="O790" i="2"/>
  <c r="P790" i="2"/>
  <c r="M791" i="2"/>
  <c r="N791" i="2"/>
  <c r="O791" i="2"/>
  <c r="P791" i="2"/>
  <c r="M792" i="2"/>
  <c r="N792" i="2"/>
  <c r="O792" i="2"/>
  <c r="P792" i="2"/>
  <c r="M793" i="2"/>
  <c r="N793" i="2"/>
  <c r="O793" i="2"/>
  <c r="P793" i="2"/>
  <c r="M794" i="2"/>
  <c r="N794" i="2"/>
  <c r="O794" i="2"/>
  <c r="P794" i="2"/>
  <c r="M795" i="2"/>
  <c r="N795" i="2"/>
  <c r="O795" i="2"/>
  <c r="P795" i="2"/>
  <c r="M796" i="2"/>
  <c r="N796" i="2"/>
  <c r="O796" i="2"/>
  <c r="P796" i="2"/>
  <c r="M797" i="2"/>
  <c r="N797" i="2"/>
  <c r="O797" i="2"/>
  <c r="P797" i="2"/>
  <c r="M798" i="2"/>
  <c r="N798" i="2"/>
  <c r="O798" i="2"/>
  <c r="P798" i="2"/>
  <c r="M799" i="2"/>
  <c r="N799" i="2"/>
  <c r="O799" i="2"/>
  <c r="P799" i="2"/>
  <c r="M800" i="2"/>
  <c r="N800" i="2"/>
  <c r="O800" i="2"/>
  <c r="P800" i="2"/>
  <c r="M801" i="2"/>
  <c r="N801" i="2"/>
  <c r="O801" i="2"/>
  <c r="P801" i="2"/>
  <c r="M802" i="2"/>
  <c r="N802" i="2"/>
  <c r="O802" i="2"/>
  <c r="P802" i="2"/>
  <c r="M803" i="2"/>
  <c r="N803" i="2"/>
  <c r="O803" i="2"/>
  <c r="P803" i="2"/>
  <c r="M804" i="2"/>
  <c r="N804" i="2"/>
  <c r="O804" i="2"/>
  <c r="P804" i="2"/>
  <c r="M805" i="2"/>
  <c r="N805" i="2"/>
  <c r="O805" i="2"/>
  <c r="P805" i="2"/>
  <c r="M806" i="2"/>
  <c r="N806" i="2"/>
  <c r="O806" i="2"/>
  <c r="P806" i="2"/>
  <c r="M807" i="2"/>
  <c r="N807" i="2"/>
  <c r="O807" i="2"/>
  <c r="P807" i="2"/>
  <c r="M808" i="2"/>
  <c r="N808" i="2"/>
  <c r="O808" i="2"/>
  <c r="P808" i="2"/>
  <c r="M809" i="2"/>
  <c r="N809" i="2"/>
  <c r="O809" i="2"/>
  <c r="P809" i="2"/>
  <c r="M810" i="2"/>
  <c r="N810" i="2"/>
  <c r="O810" i="2"/>
  <c r="P810" i="2"/>
  <c r="M811" i="2"/>
  <c r="N811" i="2"/>
  <c r="O811" i="2"/>
  <c r="P811" i="2"/>
  <c r="M812" i="2"/>
  <c r="N812" i="2"/>
  <c r="O812" i="2"/>
  <c r="P812" i="2"/>
  <c r="M813" i="2"/>
  <c r="N813" i="2"/>
  <c r="O813" i="2"/>
  <c r="P813" i="2"/>
  <c r="M814" i="2"/>
  <c r="N814" i="2"/>
  <c r="O814" i="2"/>
  <c r="P814" i="2"/>
  <c r="M815" i="2"/>
  <c r="N815" i="2"/>
  <c r="O815" i="2"/>
  <c r="P815" i="2"/>
  <c r="M816" i="2"/>
  <c r="N816" i="2"/>
  <c r="O816" i="2"/>
  <c r="P816" i="2"/>
  <c r="M817" i="2"/>
  <c r="N817" i="2"/>
  <c r="O817" i="2"/>
  <c r="P817" i="2"/>
  <c r="M818" i="2"/>
  <c r="N818" i="2"/>
  <c r="O818" i="2"/>
  <c r="P818" i="2"/>
  <c r="M819" i="2"/>
  <c r="N819" i="2"/>
  <c r="O819" i="2"/>
  <c r="P819" i="2"/>
  <c r="M820" i="2"/>
  <c r="N820" i="2"/>
  <c r="O820" i="2"/>
  <c r="P820" i="2"/>
  <c r="M821" i="2"/>
  <c r="N821" i="2"/>
  <c r="O821" i="2"/>
  <c r="P821" i="2"/>
  <c r="M822" i="2"/>
  <c r="N822" i="2"/>
  <c r="O822" i="2"/>
  <c r="P822" i="2"/>
  <c r="M823" i="2"/>
  <c r="N823" i="2"/>
  <c r="O823" i="2"/>
  <c r="P823" i="2"/>
  <c r="H21" i="22"/>
  <c r="A2" i="9"/>
  <c r="A3" i="9"/>
  <c r="A4" i="9"/>
  <c r="A5" i="9"/>
  <c r="A6" i="9"/>
  <c r="A7" i="9"/>
  <c r="A8" i="9"/>
  <c r="A9" i="9"/>
  <c r="A10" i="9"/>
  <c r="A11" i="9"/>
  <c r="A12" i="9"/>
  <c r="A13" i="9"/>
  <c r="A14" i="9"/>
  <c r="A15" i="9"/>
  <c r="A16" i="9"/>
  <c r="A17" i="9"/>
  <c r="A18" i="9"/>
  <c r="A19" i="9"/>
  <c r="A20" i="9"/>
  <c r="A21" i="9"/>
  <c r="A22" i="9"/>
  <c r="A23" i="9"/>
  <c r="A24" i="9"/>
  <c r="A25" i="9"/>
  <c r="A26" i="9"/>
  <c r="A27" i="9"/>
  <c r="A28" i="9"/>
  <c r="A29" i="9"/>
  <c r="A30" i="9"/>
  <c r="A31" i="9"/>
  <c r="A32" i="9"/>
  <c r="A33" i="9"/>
  <c r="A34" i="9"/>
  <c r="A35" i="9"/>
  <c r="A36" i="9"/>
  <c r="M25" i="2"/>
  <c r="N25" i="2"/>
  <c r="O25" i="2"/>
  <c r="P25" i="2"/>
  <c r="M26" i="2"/>
  <c r="N26" i="2"/>
  <c r="O26" i="2"/>
  <c r="P26" i="2"/>
  <c r="M27" i="2"/>
  <c r="N27" i="2"/>
  <c r="O27" i="2"/>
  <c r="P27" i="2"/>
  <c r="M28" i="2"/>
  <c r="N28" i="2"/>
  <c r="O28" i="2"/>
  <c r="P28" i="2"/>
  <c r="M29" i="2"/>
  <c r="N29" i="2"/>
  <c r="O29" i="2"/>
  <c r="P29" i="2"/>
  <c r="M30" i="2"/>
  <c r="N30" i="2"/>
  <c r="O30" i="2"/>
  <c r="P30" i="2"/>
  <c r="M31" i="2"/>
  <c r="N31" i="2"/>
  <c r="O31" i="2"/>
  <c r="P31" i="2"/>
  <c r="M32" i="2"/>
  <c r="N32" i="2"/>
  <c r="O32" i="2"/>
  <c r="P32" i="2"/>
  <c r="M33" i="2"/>
  <c r="N33" i="2"/>
  <c r="O33" i="2"/>
  <c r="P33" i="2"/>
  <c r="M34" i="2"/>
  <c r="N34" i="2"/>
  <c r="O34" i="2"/>
  <c r="P34" i="2"/>
  <c r="M35" i="2"/>
  <c r="N35" i="2"/>
  <c r="O35" i="2"/>
  <c r="P35" i="2"/>
  <c r="M36" i="2"/>
  <c r="N36" i="2"/>
  <c r="O36" i="2"/>
  <c r="P36" i="2"/>
  <c r="M37" i="2"/>
  <c r="N37" i="2"/>
  <c r="O37" i="2"/>
  <c r="P37" i="2"/>
  <c r="M38" i="2"/>
  <c r="N38" i="2"/>
  <c r="O38" i="2"/>
  <c r="P38" i="2"/>
  <c r="M39" i="2"/>
  <c r="N39" i="2"/>
  <c r="O39" i="2"/>
  <c r="P39" i="2"/>
  <c r="M40" i="2"/>
  <c r="N40" i="2"/>
  <c r="O40" i="2"/>
  <c r="P40" i="2"/>
  <c r="M41" i="2"/>
  <c r="N41" i="2"/>
  <c r="O41" i="2"/>
  <c r="P41" i="2"/>
  <c r="M42" i="2"/>
  <c r="N42" i="2"/>
  <c r="O42" i="2"/>
  <c r="P42" i="2"/>
  <c r="M43" i="2"/>
  <c r="N43" i="2"/>
  <c r="O43" i="2"/>
  <c r="P43" i="2"/>
  <c r="M44" i="2"/>
  <c r="N44" i="2"/>
  <c r="O44" i="2"/>
  <c r="P44" i="2"/>
  <c r="M45" i="2"/>
  <c r="N45" i="2"/>
  <c r="O45" i="2"/>
  <c r="P45" i="2"/>
  <c r="M46" i="2"/>
  <c r="N46" i="2"/>
  <c r="O46" i="2"/>
  <c r="P46" i="2"/>
  <c r="M47" i="2"/>
  <c r="N47" i="2"/>
  <c r="O47" i="2"/>
  <c r="P47" i="2"/>
  <c r="M48" i="2"/>
  <c r="N48" i="2"/>
  <c r="O48" i="2"/>
  <c r="P48" i="2"/>
  <c r="M49" i="2"/>
  <c r="N49" i="2"/>
  <c r="O49" i="2"/>
  <c r="P49" i="2"/>
  <c r="M50" i="2"/>
  <c r="N50" i="2"/>
  <c r="O50" i="2"/>
  <c r="P50" i="2"/>
  <c r="M51" i="2"/>
  <c r="N51" i="2"/>
  <c r="O51" i="2"/>
  <c r="P51" i="2"/>
  <c r="M52" i="2"/>
  <c r="N52" i="2"/>
  <c r="O52" i="2"/>
  <c r="P52" i="2"/>
  <c r="M53" i="2"/>
  <c r="N53" i="2"/>
  <c r="O53" i="2"/>
  <c r="P53" i="2"/>
  <c r="M54" i="2"/>
  <c r="N54" i="2"/>
  <c r="O54" i="2"/>
  <c r="P54" i="2"/>
  <c r="M55" i="2"/>
  <c r="N55" i="2"/>
  <c r="O55" i="2"/>
  <c r="P55" i="2"/>
  <c r="M56" i="2"/>
  <c r="N56" i="2"/>
  <c r="O56" i="2"/>
  <c r="P56" i="2"/>
  <c r="M57" i="2"/>
  <c r="N57" i="2"/>
  <c r="O57" i="2"/>
  <c r="P57" i="2"/>
  <c r="M58" i="2"/>
  <c r="N58" i="2"/>
  <c r="O58" i="2"/>
  <c r="P58" i="2"/>
  <c r="M59" i="2"/>
  <c r="N59" i="2"/>
  <c r="O59" i="2"/>
  <c r="P59" i="2"/>
  <c r="M60" i="2"/>
  <c r="N60" i="2"/>
  <c r="O60" i="2"/>
  <c r="P60" i="2"/>
  <c r="M61" i="2"/>
  <c r="N61" i="2"/>
  <c r="O61" i="2"/>
  <c r="P61" i="2"/>
  <c r="M62" i="2"/>
  <c r="N62" i="2"/>
  <c r="O62" i="2"/>
  <c r="P62" i="2"/>
  <c r="M63" i="2"/>
  <c r="N63" i="2"/>
  <c r="O63" i="2"/>
  <c r="P63" i="2"/>
  <c r="M64" i="2"/>
  <c r="N64" i="2"/>
  <c r="O64" i="2"/>
  <c r="P64" i="2"/>
  <c r="M65" i="2"/>
  <c r="N65" i="2"/>
  <c r="O65" i="2"/>
  <c r="P65" i="2"/>
  <c r="M66" i="2"/>
  <c r="N66" i="2"/>
  <c r="O66" i="2"/>
  <c r="P66" i="2"/>
  <c r="M67" i="2"/>
  <c r="N67" i="2"/>
  <c r="O67" i="2"/>
  <c r="P67" i="2"/>
  <c r="M68" i="2"/>
  <c r="N68" i="2"/>
  <c r="O68" i="2"/>
  <c r="P68" i="2"/>
  <c r="M69" i="2"/>
  <c r="N69" i="2"/>
  <c r="O69" i="2"/>
  <c r="P69" i="2"/>
  <c r="M70" i="2"/>
  <c r="N70" i="2"/>
  <c r="O70" i="2"/>
  <c r="P70" i="2"/>
  <c r="M71" i="2"/>
  <c r="N71" i="2"/>
  <c r="O71" i="2"/>
  <c r="P71" i="2"/>
  <c r="M72" i="2"/>
  <c r="N72" i="2"/>
  <c r="O72" i="2"/>
  <c r="P72" i="2"/>
  <c r="M73" i="2"/>
  <c r="N73" i="2"/>
  <c r="O73" i="2"/>
  <c r="P73" i="2"/>
  <c r="M74" i="2"/>
  <c r="N74" i="2"/>
  <c r="O74" i="2"/>
  <c r="P74" i="2"/>
  <c r="M75" i="2"/>
  <c r="N75" i="2"/>
  <c r="O75" i="2"/>
  <c r="P75" i="2"/>
  <c r="M76" i="2"/>
  <c r="N76" i="2"/>
  <c r="O76" i="2"/>
  <c r="P76" i="2"/>
  <c r="M77" i="2"/>
  <c r="N77" i="2"/>
  <c r="O77" i="2"/>
  <c r="P77" i="2"/>
  <c r="M78" i="2"/>
  <c r="N78" i="2"/>
  <c r="O78" i="2"/>
  <c r="P78" i="2"/>
  <c r="M79" i="2"/>
  <c r="N79" i="2"/>
  <c r="O79" i="2"/>
  <c r="P79" i="2"/>
  <c r="M80" i="2"/>
  <c r="N80" i="2"/>
  <c r="O80" i="2"/>
  <c r="P80" i="2"/>
  <c r="M81" i="2"/>
  <c r="N81" i="2"/>
  <c r="O81" i="2"/>
  <c r="P81" i="2"/>
  <c r="M82" i="2"/>
  <c r="N82" i="2"/>
  <c r="O82" i="2"/>
  <c r="P82" i="2"/>
  <c r="M83" i="2"/>
  <c r="N83" i="2"/>
  <c r="O83" i="2"/>
  <c r="P83" i="2"/>
  <c r="M84" i="2"/>
  <c r="N84" i="2"/>
  <c r="O84" i="2"/>
  <c r="P84" i="2"/>
  <c r="M85" i="2"/>
  <c r="N85" i="2"/>
  <c r="O85" i="2"/>
  <c r="P85" i="2"/>
  <c r="M86" i="2"/>
  <c r="N86" i="2"/>
  <c r="O86" i="2"/>
  <c r="P86" i="2"/>
  <c r="M87" i="2"/>
  <c r="N87" i="2"/>
  <c r="O87" i="2"/>
  <c r="P87" i="2"/>
  <c r="M88" i="2"/>
  <c r="N88" i="2"/>
  <c r="O88" i="2"/>
  <c r="P88" i="2"/>
  <c r="M89" i="2"/>
  <c r="N89" i="2"/>
  <c r="O89" i="2"/>
  <c r="P89" i="2"/>
  <c r="M90" i="2"/>
  <c r="N90" i="2"/>
  <c r="O90" i="2"/>
  <c r="P90" i="2"/>
  <c r="M91" i="2"/>
  <c r="N91" i="2"/>
  <c r="O91" i="2"/>
  <c r="P91" i="2"/>
  <c r="M92" i="2"/>
  <c r="N92" i="2"/>
  <c r="O92" i="2"/>
  <c r="P92" i="2"/>
  <c r="M93" i="2"/>
  <c r="N93" i="2"/>
  <c r="O93" i="2"/>
  <c r="P93" i="2"/>
  <c r="M94" i="2"/>
  <c r="N94" i="2"/>
  <c r="O94" i="2"/>
  <c r="P94" i="2"/>
  <c r="M95" i="2"/>
  <c r="N95" i="2"/>
  <c r="O95" i="2"/>
  <c r="P95" i="2"/>
  <c r="M96" i="2"/>
  <c r="N96" i="2"/>
  <c r="O96" i="2"/>
  <c r="P96" i="2"/>
  <c r="M97" i="2"/>
  <c r="N97" i="2"/>
  <c r="O97" i="2"/>
  <c r="P97" i="2"/>
  <c r="M98" i="2"/>
  <c r="N98" i="2"/>
  <c r="O98" i="2"/>
  <c r="P98" i="2"/>
  <c r="M99" i="2"/>
  <c r="N99" i="2"/>
  <c r="O99" i="2"/>
  <c r="P99" i="2"/>
  <c r="M100" i="2"/>
  <c r="N100" i="2"/>
  <c r="O100" i="2"/>
  <c r="P100" i="2"/>
  <c r="M101" i="2"/>
  <c r="N101" i="2"/>
  <c r="O101" i="2"/>
  <c r="P101" i="2"/>
  <c r="M102" i="2"/>
  <c r="N102" i="2"/>
  <c r="O102" i="2"/>
  <c r="P102" i="2"/>
  <c r="M103" i="2"/>
  <c r="N103" i="2"/>
  <c r="O103" i="2"/>
  <c r="P103" i="2"/>
  <c r="M104" i="2"/>
  <c r="N104" i="2"/>
  <c r="O104" i="2"/>
  <c r="P104" i="2"/>
  <c r="M105" i="2"/>
  <c r="N105" i="2"/>
  <c r="O105" i="2"/>
  <c r="P105" i="2"/>
  <c r="M106" i="2"/>
  <c r="N106" i="2"/>
  <c r="O106" i="2"/>
  <c r="P106" i="2"/>
  <c r="M107" i="2"/>
  <c r="N107" i="2"/>
  <c r="O107" i="2"/>
  <c r="P107" i="2"/>
  <c r="M108" i="2"/>
  <c r="N108" i="2"/>
  <c r="O108" i="2"/>
  <c r="P108" i="2"/>
  <c r="M109" i="2"/>
  <c r="N109" i="2"/>
  <c r="O109" i="2"/>
  <c r="P109" i="2"/>
  <c r="M110" i="2"/>
  <c r="N110" i="2"/>
  <c r="O110" i="2"/>
  <c r="P110" i="2"/>
  <c r="M111" i="2"/>
  <c r="N111" i="2"/>
  <c r="O111" i="2"/>
  <c r="P111" i="2"/>
  <c r="M112" i="2"/>
  <c r="N112" i="2"/>
  <c r="O112" i="2"/>
  <c r="P112" i="2"/>
  <c r="M113" i="2"/>
  <c r="N113" i="2"/>
  <c r="O113" i="2"/>
  <c r="P113" i="2"/>
  <c r="M114" i="2"/>
  <c r="N114" i="2"/>
  <c r="O114" i="2"/>
  <c r="P114" i="2"/>
  <c r="M115" i="2"/>
  <c r="N115" i="2"/>
  <c r="O115" i="2"/>
  <c r="P115" i="2"/>
  <c r="M116" i="2"/>
  <c r="N116" i="2"/>
  <c r="O116" i="2"/>
  <c r="P116" i="2"/>
  <c r="M117" i="2"/>
  <c r="N117" i="2"/>
  <c r="O117" i="2"/>
  <c r="P117" i="2"/>
  <c r="M118" i="2"/>
  <c r="N118" i="2"/>
  <c r="O118" i="2"/>
  <c r="P118" i="2"/>
  <c r="M119" i="2"/>
  <c r="N119" i="2"/>
  <c r="O119" i="2"/>
  <c r="P119" i="2"/>
  <c r="M120" i="2"/>
  <c r="N120" i="2"/>
  <c r="O120" i="2"/>
  <c r="P120" i="2"/>
  <c r="M121" i="2"/>
  <c r="N121" i="2"/>
  <c r="O121" i="2"/>
  <c r="P121" i="2"/>
  <c r="M122" i="2"/>
  <c r="N122" i="2"/>
  <c r="O122" i="2"/>
  <c r="P122" i="2"/>
  <c r="M123" i="2"/>
  <c r="N123" i="2"/>
  <c r="O123" i="2"/>
  <c r="P123" i="2"/>
  <c r="M124" i="2"/>
  <c r="N124" i="2"/>
  <c r="O124" i="2"/>
  <c r="P124" i="2"/>
  <c r="M125" i="2"/>
  <c r="N125" i="2"/>
  <c r="O125" i="2"/>
  <c r="P125" i="2"/>
  <c r="M126" i="2"/>
  <c r="N126" i="2"/>
  <c r="O126" i="2"/>
  <c r="P126" i="2"/>
  <c r="M127" i="2"/>
  <c r="N127" i="2"/>
  <c r="O127" i="2"/>
  <c r="P127" i="2"/>
  <c r="M128" i="2"/>
  <c r="N128" i="2"/>
  <c r="O128" i="2"/>
  <c r="P128" i="2"/>
  <c r="M129" i="2"/>
  <c r="N129" i="2"/>
  <c r="O129" i="2"/>
  <c r="P129" i="2"/>
  <c r="M130" i="2"/>
  <c r="N130" i="2"/>
  <c r="O130" i="2"/>
  <c r="P130" i="2"/>
  <c r="M131" i="2"/>
  <c r="N131" i="2"/>
  <c r="O131" i="2"/>
  <c r="P131" i="2"/>
  <c r="M132" i="2"/>
  <c r="N132" i="2"/>
  <c r="O132" i="2"/>
  <c r="P132" i="2"/>
  <c r="M133" i="2"/>
  <c r="N133" i="2"/>
  <c r="O133" i="2"/>
  <c r="P133" i="2"/>
  <c r="M134" i="2"/>
  <c r="N134" i="2"/>
  <c r="O134" i="2"/>
  <c r="P134" i="2"/>
  <c r="M135" i="2"/>
  <c r="N135" i="2"/>
  <c r="O135" i="2"/>
  <c r="P135" i="2"/>
  <c r="M136" i="2"/>
  <c r="N136" i="2"/>
  <c r="O136" i="2"/>
  <c r="P136" i="2"/>
  <c r="M137" i="2"/>
  <c r="N137" i="2"/>
  <c r="O137" i="2"/>
  <c r="P137" i="2"/>
  <c r="M138" i="2"/>
  <c r="N138" i="2"/>
  <c r="O138" i="2"/>
  <c r="P138" i="2"/>
  <c r="M139" i="2"/>
  <c r="N139" i="2"/>
  <c r="O139" i="2"/>
  <c r="P139" i="2"/>
  <c r="M140" i="2"/>
  <c r="N140" i="2"/>
  <c r="O140" i="2"/>
  <c r="P140" i="2"/>
  <c r="M141" i="2"/>
  <c r="N141" i="2"/>
  <c r="O141" i="2"/>
  <c r="P141" i="2"/>
  <c r="M142" i="2"/>
  <c r="N142" i="2"/>
  <c r="O142" i="2"/>
  <c r="P142" i="2"/>
  <c r="M143" i="2"/>
  <c r="N143" i="2"/>
  <c r="O143" i="2"/>
  <c r="P143" i="2"/>
  <c r="M144" i="2"/>
  <c r="N144" i="2"/>
  <c r="O144" i="2"/>
  <c r="P144" i="2"/>
  <c r="M145" i="2"/>
  <c r="N145" i="2"/>
  <c r="O145" i="2"/>
  <c r="P145" i="2"/>
  <c r="M146" i="2"/>
  <c r="N146" i="2"/>
  <c r="O146" i="2"/>
  <c r="P146" i="2"/>
  <c r="M147" i="2"/>
  <c r="N147" i="2"/>
  <c r="O147" i="2"/>
  <c r="P147" i="2"/>
  <c r="M148" i="2"/>
  <c r="N148" i="2"/>
  <c r="O148" i="2"/>
  <c r="P148" i="2"/>
  <c r="M149" i="2"/>
  <c r="N149" i="2"/>
  <c r="O149" i="2"/>
  <c r="P149" i="2"/>
  <c r="M150" i="2"/>
  <c r="N150" i="2"/>
  <c r="O150" i="2"/>
  <c r="P150" i="2"/>
  <c r="M151" i="2"/>
  <c r="N151" i="2"/>
  <c r="O151" i="2"/>
  <c r="P151" i="2"/>
  <c r="M152" i="2"/>
  <c r="N152" i="2"/>
  <c r="O152" i="2"/>
  <c r="P152" i="2"/>
  <c r="M153" i="2"/>
  <c r="N153" i="2"/>
  <c r="O153" i="2"/>
  <c r="P153" i="2"/>
  <c r="M154" i="2"/>
  <c r="N154" i="2"/>
  <c r="O154" i="2"/>
  <c r="P154" i="2"/>
  <c r="M155" i="2"/>
  <c r="N155" i="2"/>
  <c r="O155" i="2"/>
  <c r="P155" i="2"/>
  <c r="M156" i="2"/>
  <c r="N156" i="2"/>
  <c r="O156" i="2"/>
  <c r="P156" i="2"/>
  <c r="M157" i="2"/>
  <c r="N157" i="2"/>
  <c r="O157" i="2"/>
  <c r="P157" i="2"/>
  <c r="M158" i="2"/>
  <c r="N158" i="2"/>
  <c r="O158" i="2"/>
  <c r="P158" i="2"/>
  <c r="M159" i="2"/>
  <c r="N159" i="2"/>
  <c r="O159" i="2"/>
  <c r="P159" i="2"/>
  <c r="M160" i="2"/>
  <c r="N160" i="2"/>
  <c r="O160" i="2"/>
  <c r="P160" i="2"/>
  <c r="M161" i="2"/>
  <c r="N161" i="2"/>
  <c r="O161" i="2"/>
  <c r="P161" i="2"/>
  <c r="M162" i="2"/>
  <c r="N162" i="2"/>
  <c r="O162" i="2"/>
  <c r="P162" i="2"/>
  <c r="M163" i="2"/>
  <c r="N163" i="2"/>
  <c r="O163" i="2"/>
  <c r="P163" i="2"/>
  <c r="M164" i="2"/>
  <c r="N164" i="2"/>
  <c r="O164" i="2"/>
  <c r="P164" i="2"/>
  <c r="M165" i="2"/>
  <c r="N165" i="2"/>
  <c r="O165" i="2"/>
  <c r="P165" i="2"/>
  <c r="M166" i="2"/>
  <c r="N166" i="2"/>
  <c r="O166" i="2"/>
  <c r="P166" i="2"/>
  <c r="M167" i="2"/>
  <c r="N167" i="2"/>
  <c r="O167" i="2"/>
  <c r="P167" i="2"/>
  <c r="M168" i="2"/>
  <c r="N168" i="2"/>
  <c r="O168" i="2"/>
  <c r="P168" i="2"/>
  <c r="M169" i="2"/>
  <c r="N169" i="2"/>
  <c r="O169" i="2"/>
  <c r="P169" i="2"/>
  <c r="M170" i="2"/>
  <c r="N170" i="2"/>
  <c r="O170" i="2"/>
  <c r="P170" i="2"/>
  <c r="M171" i="2"/>
  <c r="N171" i="2"/>
  <c r="O171" i="2"/>
  <c r="P171" i="2"/>
  <c r="M172" i="2"/>
  <c r="N172" i="2"/>
  <c r="O172" i="2"/>
  <c r="P172" i="2"/>
  <c r="M173" i="2"/>
  <c r="N173" i="2"/>
  <c r="O173" i="2"/>
  <c r="P173" i="2"/>
  <c r="M174" i="2"/>
  <c r="N174" i="2"/>
  <c r="O174" i="2"/>
  <c r="P174" i="2"/>
  <c r="M175" i="2"/>
  <c r="N175" i="2"/>
  <c r="O175" i="2"/>
  <c r="P175" i="2"/>
  <c r="M176" i="2"/>
  <c r="N176" i="2"/>
  <c r="O176" i="2"/>
  <c r="P176" i="2"/>
  <c r="M177" i="2"/>
  <c r="N177" i="2"/>
  <c r="O177" i="2"/>
  <c r="P177" i="2"/>
  <c r="M178" i="2"/>
  <c r="N178" i="2"/>
  <c r="O178" i="2"/>
  <c r="P178" i="2"/>
  <c r="M179" i="2"/>
  <c r="N179" i="2"/>
  <c r="O179" i="2"/>
  <c r="P179" i="2"/>
  <c r="M180" i="2"/>
  <c r="N180" i="2"/>
  <c r="O180" i="2"/>
  <c r="P180" i="2"/>
  <c r="M181" i="2"/>
  <c r="N181" i="2"/>
  <c r="O181" i="2"/>
  <c r="P181" i="2"/>
  <c r="M182" i="2"/>
  <c r="N182" i="2"/>
  <c r="O182" i="2"/>
  <c r="P182" i="2"/>
  <c r="M183" i="2"/>
  <c r="N183" i="2"/>
  <c r="O183" i="2"/>
  <c r="P183" i="2"/>
  <c r="M184" i="2"/>
  <c r="N184" i="2"/>
  <c r="O184" i="2"/>
  <c r="P184" i="2"/>
  <c r="M185" i="2"/>
  <c r="N185" i="2"/>
  <c r="O185" i="2"/>
  <c r="P185" i="2"/>
  <c r="M186" i="2"/>
  <c r="N186" i="2"/>
  <c r="O186" i="2"/>
  <c r="P186" i="2"/>
  <c r="M187" i="2"/>
  <c r="N187" i="2"/>
  <c r="O187" i="2"/>
  <c r="P187" i="2"/>
  <c r="M188" i="2"/>
  <c r="N188" i="2"/>
  <c r="O188" i="2"/>
  <c r="P188" i="2"/>
  <c r="M189" i="2"/>
  <c r="N189" i="2"/>
  <c r="O189" i="2"/>
  <c r="P189" i="2"/>
  <c r="M190" i="2"/>
  <c r="N190" i="2"/>
  <c r="O190" i="2"/>
  <c r="P190" i="2"/>
  <c r="M191" i="2"/>
  <c r="N191" i="2"/>
  <c r="O191" i="2"/>
  <c r="P191" i="2"/>
  <c r="M192" i="2"/>
  <c r="N192" i="2"/>
  <c r="O192" i="2"/>
  <c r="P192" i="2"/>
  <c r="M193" i="2"/>
  <c r="N193" i="2"/>
  <c r="O193" i="2"/>
  <c r="P193" i="2"/>
  <c r="M194" i="2"/>
  <c r="N194" i="2"/>
  <c r="O194" i="2"/>
  <c r="P194" i="2"/>
  <c r="M195" i="2"/>
  <c r="N195" i="2"/>
  <c r="O195" i="2"/>
  <c r="P195" i="2"/>
  <c r="M196" i="2"/>
  <c r="N196" i="2"/>
  <c r="O196" i="2"/>
  <c r="P196" i="2"/>
  <c r="M197" i="2"/>
  <c r="N197" i="2"/>
  <c r="O197" i="2"/>
  <c r="P197" i="2"/>
  <c r="M198" i="2"/>
  <c r="N198" i="2"/>
  <c r="O198" i="2"/>
  <c r="P198" i="2"/>
  <c r="M199" i="2"/>
  <c r="N199" i="2"/>
  <c r="O199" i="2"/>
  <c r="P199" i="2"/>
  <c r="M200" i="2"/>
  <c r="N200" i="2"/>
  <c r="O200" i="2"/>
  <c r="P200" i="2"/>
  <c r="M201" i="2"/>
  <c r="N201" i="2"/>
  <c r="O201" i="2"/>
  <c r="P201" i="2"/>
  <c r="M202" i="2"/>
  <c r="N202" i="2"/>
  <c r="O202" i="2"/>
  <c r="P202" i="2"/>
  <c r="M203" i="2"/>
  <c r="N203" i="2"/>
  <c r="O203" i="2"/>
  <c r="P203" i="2"/>
  <c r="M204" i="2"/>
  <c r="N204" i="2"/>
  <c r="O204" i="2"/>
  <c r="P204" i="2"/>
  <c r="M205" i="2"/>
  <c r="N205" i="2"/>
  <c r="O205" i="2"/>
  <c r="P205" i="2"/>
  <c r="M206" i="2"/>
  <c r="N206" i="2"/>
  <c r="O206" i="2"/>
  <c r="P206" i="2"/>
  <c r="M207" i="2"/>
  <c r="N207" i="2"/>
  <c r="O207" i="2"/>
  <c r="P207" i="2"/>
  <c r="M208" i="2"/>
  <c r="N208" i="2"/>
  <c r="O208" i="2"/>
  <c r="P208" i="2"/>
  <c r="M209" i="2"/>
  <c r="N209" i="2"/>
  <c r="O209" i="2"/>
  <c r="P209" i="2"/>
  <c r="M210" i="2"/>
  <c r="N210" i="2"/>
  <c r="O210" i="2"/>
  <c r="P210" i="2"/>
  <c r="M211" i="2"/>
  <c r="N211" i="2"/>
  <c r="O211" i="2"/>
  <c r="P211" i="2"/>
  <c r="M212" i="2"/>
  <c r="N212" i="2"/>
  <c r="O212" i="2"/>
  <c r="P212" i="2"/>
  <c r="M213" i="2"/>
  <c r="N213" i="2"/>
  <c r="O213" i="2"/>
  <c r="P213" i="2"/>
  <c r="M214" i="2"/>
  <c r="N214" i="2"/>
  <c r="O214" i="2"/>
  <c r="P214" i="2"/>
  <c r="M215" i="2"/>
  <c r="N215" i="2"/>
  <c r="O215" i="2"/>
  <c r="P215" i="2"/>
  <c r="M216" i="2"/>
  <c r="N216" i="2"/>
  <c r="O216" i="2"/>
  <c r="P216" i="2"/>
  <c r="M217" i="2"/>
  <c r="N217" i="2"/>
  <c r="O217" i="2"/>
  <c r="P217" i="2"/>
  <c r="M218" i="2"/>
  <c r="N218" i="2"/>
  <c r="O218" i="2"/>
  <c r="P218" i="2"/>
  <c r="M219" i="2"/>
  <c r="N219" i="2"/>
  <c r="O219" i="2"/>
  <c r="P219" i="2"/>
  <c r="M220" i="2"/>
  <c r="N220" i="2"/>
  <c r="O220" i="2"/>
  <c r="P220" i="2"/>
  <c r="M221" i="2"/>
  <c r="N221" i="2"/>
  <c r="O221" i="2"/>
  <c r="P221" i="2"/>
  <c r="M222" i="2"/>
  <c r="N222" i="2"/>
  <c r="O222" i="2"/>
  <c r="P222" i="2"/>
  <c r="M223" i="2"/>
  <c r="N223" i="2"/>
  <c r="O223" i="2"/>
  <c r="P223" i="2"/>
  <c r="M224" i="2"/>
  <c r="N224" i="2"/>
  <c r="O224" i="2"/>
  <c r="P224" i="2"/>
  <c r="M225" i="2"/>
  <c r="N225" i="2"/>
  <c r="O225" i="2"/>
  <c r="P225" i="2"/>
  <c r="M226" i="2"/>
  <c r="N226" i="2"/>
  <c r="O226" i="2"/>
  <c r="P226" i="2"/>
  <c r="M227" i="2"/>
  <c r="N227" i="2"/>
  <c r="O227" i="2"/>
  <c r="P227" i="2"/>
  <c r="M228" i="2"/>
  <c r="N228" i="2"/>
  <c r="O228" i="2"/>
  <c r="P228" i="2"/>
  <c r="M229" i="2"/>
  <c r="N229" i="2"/>
  <c r="O229" i="2"/>
  <c r="P229" i="2"/>
  <c r="M230" i="2"/>
  <c r="N230" i="2"/>
  <c r="O230" i="2"/>
  <c r="P230" i="2"/>
  <c r="M231" i="2"/>
  <c r="N231" i="2"/>
  <c r="O231" i="2"/>
  <c r="P231" i="2"/>
  <c r="M232" i="2"/>
  <c r="N232" i="2"/>
  <c r="O232" i="2"/>
  <c r="P232" i="2"/>
  <c r="M233" i="2"/>
  <c r="N233" i="2"/>
  <c r="O233" i="2"/>
  <c r="P233" i="2"/>
  <c r="M234" i="2"/>
  <c r="N234" i="2"/>
  <c r="O234" i="2"/>
  <c r="P234" i="2"/>
  <c r="M235" i="2"/>
  <c r="N235" i="2"/>
  <c r="O235" i="2"/>
  <c r="P235" i="2"/>
  <c r="M236" i="2"/>
  <c r="N236" i="2"/>
  <c r="O236" i="2"/>
  <c r="P236" i="2"/>
  <c r="M237" i="2"/>
  <c r="N237" i="2"/>
  <c r="O237" i="2"/>
  <c r="P237" i="2"/>
  <c r="M238" i="2"/>
  <c r="N238" i="2"/>
  <c r="O238" i="2"/>
  <c r="P238" i="2"/>
  <c r="M239" i="2"/>
  <c r="N239" i="2"/>
  <c r="O239" i="2"/>
  <c r="P239" i="2"/>
  <c r="M240" i="2"/>
  <c r="N240" i="2"/>
  <c r="O240" i="2"/>
  <c r="P240" i="2"/>
  <c r="M241" i="2"/>
  <c r="N241" i="2"/>
  <c r="O241" i="2"/>
  <c r="P241" i="2"/>
  <c r="M242" i="2"/>
  <c r="N242" i="2"/>
  <c r="O242" i="2"/>
  <c r="P242" i="2"/>
  <c r="M243" i="2"/>
  <c r="N243" i="2"/>
  <c r="O243" i="2"/>
  <c r="P243" i="2"/>
  <c r="M244" i="2"/>
  <c r="N244" i="2"/>
  <c r="O244" i="2"/>
  <c r="P244" i="2"/>
  <c r="M245" i="2"/>
  <c r="N245" i="2"/>
  <c r="O245" i="2"/>
  <c r="P245" i="2"/>
  <c r="M246" i="2"/>
  <c r="N246" i="2"/>
  <c r="O246" i="2"/>
  <c r="P246" i="2"/>
  <c r="M247" i="2"/>
  <c r="N247" i="2"/>
  <c r="O247" i="2"/>
  <c r="P247" i="2"/>
  <c r="M248" i="2"/>
  <c r="N248" i="2"/>
  <c r="O248" i="2"/>
  <c r="P248" i="2"/>
  <c r="M249" i="2"/>
  <c r="N249" i="2"/>
  <c r="O249" i="2"/>
  <c r="P249" i="2"/>
  <c r="M250" i="2"/>
  <c r="N250" i="2"/>
  <c r="O250" i="2"/>
  <c r="P250" i="2"/>
  <c r="M251" i="2"/>
  <c r="N251" i="2"/>
  <c r="O251" i="2"/>
  <c r="P251" i="2"/>
  <c r="M252" i="2"/>
  <c r="N252" i="2"/>
  <c r="O252" i="2"/>
  <c r="P252" i="2"/>
  <c r="M253" i="2"/>
  <c r="N253" i="2"/>
  <c r="O253" i="2"/>
  <c r="P253" i="2"/>
  <c r="M254" i="2"/>
  <c r="N254" i="2"/>
  <c r="O254" i="2"/>
  <c r="P254" i="2"/>
  <c r="M255" i="2"/>
  <c r="N255" i="2"/>
  <c r="O255" i="2"/>
  <c r="P255" i="2"/>
  <c r="M256" i="2"/>
  <c r="N256" i="2"/>
  <c r="O256" i="2"/>
  <c r="P256" i="2"/>
  <c r="M257" i="2"/>
  <c r="N257" i="2"/>
  <c r="O257" i="2"/>
  <c r="P257" i="2"/>
  <c r="M258" i="2"/>
  <c r="N258" i="2"/>
  <c r="O258" i="2"/>
  <c r="P258" i="2"/>
  <c r="M259" i="2"/>
  <c r="N259" i="2"/>
  <c r="O259" i="2"/>
  <c r="P259" i="2"/>
  <c r="M260" i="2"/>
  <c r="N260" i="2"/>
  <c r="O260" i="2"/>
  <c r="P260" i="2"/>
  <c r="M261" i="2"/>
  <c r="N261" i="2"/>
  <c r="O261" i="2"/>
  <c r="P261" i="2"/>
  <c r="M262" i="2"/>
  <c r="N262" i="2"/>
  <c r="O262" i="2"/>
  <c r="P262" i="2"/>
  <c r="M263" i="2"/>
  <c r="N263" i="2"/>
  <c r="O263" i="2"/>
  <c r="P263" i="2"/>
  <c r="M264" i="2"/>
  <c r="N264" i="2"/>
  <c r="O264" i="2"/>
  <c r="P264" i="2"/>
  <c r="M265" i="2"/>
  <c r="N265" i="2"/>
  <c r="O265" i="2"/>
  <c r="P265" i="2"/>
  <c r="M266" i="2"/>
  <c r="N266" i="2"/>
  <c r="O266" i="2"/>
  <c r="P266" i="2"/>
  <c r="M267" i="2"/>
  <c r="N267" i="2"/>
  <c r="O267" i="2"/>
  <c r="P267" i="2"/>
  <c r="M268" i="2"/>
  <c r="N268" i="2"/>
  <c r="O268" i="2"/>
  <c r="P268" i="2"/>
  <c r="M269" i="2"/>
  <c r="N269" i="2"/>
  <c r="O269" i="2"/>
  <c r="P269" i="2"/>
  <c r="M270" i="2"/>
  <c r="N270" i="2"/>
  <c r="O270" i="2"/>
  <c r="P270" i="2"/>
  <c r="M271" i="2"/>
  <c r="N271" i="2"/>
  <c r="O271" i="2"/>
  <c r="P271" i="2"/>
  <c r="M272" i="2"/>
  <c r="N272" i="2"/>
  <c r="O272" i="2"/>
  <c r="P272" i="2"/>
  <c r="M273" i="2"/>
  <c r="N273" i="2"/>
  <c r="O273" i="2"/>
  <c r="P273" i="2"/>
  <c r="M274" i="2"/>
  <c r="N274" i="2"/>
  <c r="O274" i="2"/>
  <c r="P274" i="2"/>
  <c r="M275" i="2"/>
  <c r="N275" i="2"/>
  <c r="O275" i="2"/>
  <c r="P275" i="2"/>
  <c r="M276" i="2"/>
  <c r="N276" i="2"/>
  <c r="O276" i="2"/>
  <c r="P276" i="2"/>
  <c r="M277" i="2"/>
  <c r="N277" i="2"/>
  <c r="O277" i="2"/>
  <c r="P277" i="2"/>
  <c r="M278" i="2"/>
  <c r="N278" i="2"/>
  <c r="O278" i="2"/>
  <c r="P278" i="2"/>
  <c r="M279" i="2"/>
  <c r="N279" i="2"/>
  <c r="O279" i="2"/>
  <c r="P279" i="2"/>
  <c r="M280" i="2"/>
  <c r="N280" i="2"/>
  <c r="O280" i="2"/>
  <c r="P280" i="2"/>
  <c r="M281" i="2"/>
  <c r="N281" i="2"/>
  <c r="O281" i="2"/>
  <c r="P281" i="2"/>
  <c r="M282" i="2"/>
  <c r="N282" i="2"/>
  <c r="O282" i="2"/>
  <c r="P282" i="2"/>
  <c r="M283" i="2"/>
  <c r="N283" i="2"/>
  <c r="O283" i="2"/>
  <c r="P283" i="2"/>
  <c r="M284" i="2"/>
  <c r="N284" i="2"/>
  <c r="O284" i="2"/>
  <c r="P284" i="2"/>
  <c r="M285" i="2"/>
  <c r="N285" i="2"/>
  <c r="O285" i="2"/>
  <c r="P285" i="2"/>
  <c r="M286" i="2"/>
  <c r="N286" i="2"/>
  <c r="O286" i="2"/>
  <c r="P286" i="2"/>
  <c r="M287" i="2"/>
  <c r="N287" i="2"/>
  <c r="O287" i="2"/>
  <c r="P287" i="2"/>
  <c r="M288" i="2"/>
  <c r="N288" i="2"/>
  <c r="O288" i="2"/>
  <c r="P288" i="2"/>
  <c r="M289" i="2"/>
  <c r="N289" i="2"/>
  <c r="O289" i="2"/>
  <c r="P289" i="2"/>
  <c r="M290" i="2"/>
  <c r="N290" i="2"/>
  <c r="O290" i="2"/>
  <c r="P290" i="2"/>
  <c r="M291" i="2"/>
  <c r="N291" i="2"/>
  <c r="O291" i="2"/>
  <c r="P291" i="2"/>
  <c r="M292" i="2"/>
  <c r="N292" i="2"/>
  <c r="O292" i="2"/>
  <c r="P292" i="2"/>
  <c r="M293" i="2"/>
  <c r="N293" i="2"/>
  <c r="O293" i="2"/>
  <c r="P293" i="2"/>
  <c r="M294" i="2"/>
  <c r="N294" i="2"/>
  <c r="O294" i="2"/>
  <c r="P294" i="2"/>
  <c r="M295" i="2"/>
  <c r="N295" i="2"/>
  <c r="O295" i="2"/>
  <c r="P295" i="2"/>
  <c r="M296" i="2"/>
  <c r="N296" i="2"/>
  <c r="O296" i="2"/>
  <c r="P296" i="2"/>
  <c r="M297" i="2"/>
  <c r="N297" i="2"/>
  <c r="O297" i="2"/>
  <c r="P297" i="2"/>
  <c r="M298" i="2"/>
  <c r="N298" i="2"/>
  <c r="O298" i="2"/>
  <c r="P298" i="2"/>
  <c r="M299" i="2"/>
  <c r="N299" i="2"/>
  <c r="O299" i="2"/>
  <c r="P299" i="2"/>
  <c r="M300" i="2"/>
  <c r="N300" i="2"/>
  <c r="O300" i="2"/>
  <c r="P300" i="2"/>
  <c r="M301" i="2"/>
  <c r="N301" i="2"/>
  <c r="O301" i="2"/>
  <c r="P301" i="2"/>
  <c r="M302" i="2"/>
  <c r="N302" i="2"/>
  <c r="O302" i="2"/>
  <c r="P302" i="2"/>
  <c r="M303" i="2"/>
  <c r="N303" i="2"/>
  <c r="O303" i="2"/>
  <c r="P303" i="2"/>
  <c r="M304" i="2"/>
  <c r="N304" i="2"/>
  <c r="O304" i="2"/>
  <c r="P304" i="2"/>
  <c r="M305" i="2"/>
  <c r="N305" i="2"/>
  <c r="O305" i="2"/>
  <c r="P305" i="2"/>
  <c r="M306" i="2"/>
  <c r="N306" i="2"/>
  <c r="O306" i="2"/>
  <c r="P306" i="2"/>
  <c r="M307" i="2"/>
  <c r="N307" i="2"/>
  <c r="O307" i="2"/>
  <c r="P307" i="2"/>
  <c r="M308" i="2"/>
  <c r="N308" i="2"/>
  <c r="O308" i="2"/>
  <c r="P308" i="2"/>
  <c r="M309" i="2"/>
  <c r="N309" i="2"/>
  <c r="O309" i="2"/>
  <c r="P309" i="2"/>
  <c r="M310" i="2"/>
  <c r="N310" i="2"/>
  <c r="O310" i="2"/>
  <c r="P310" i="2"/>
  <c r="M311" i="2"/>
  <c r="N311" i="2"/>
  <c r="O311" i="2"/>
  <c r="P311" i="2"/>
  <c r="M312" i="2"/>
  <c r="N312" i="2"/>
  <c r="O312" i="2"/>
  <c r="P312" i="2"/>
  <c r="M313" i="2"/>
  <c r="N313" i="2"/>
  <c r="O313" i="2"/>
  <c r="P313" i="2"/>
  <c r="M314" i="2"/>
  <c r="N314" i="2"/>
  <c r="O314" i="2"/>
  <c r="P314" i="2"/>
  <c r="M315" i="2"/>
  <c r="N315" i="2"/>
  <c r="O315" i="2"/>
  <c r="P315" i="2"/>
  <c r="M316" i="2"/>
  <c r="N316" i="2"/>
  <c r="O316" i="2"/>
  <c r="P316" i="2"/>
  <c r="M317" i="2"/>
  <c r="N317" i="2"/>
  <c r="O317" i="2"/>
  <c r="P317" i="2"/>
  <c r="M318" i="2"/>
  <c r="N318" i="2"/>
  <c r="O318" i="2"/>
  <c r="P318" i="2"/>
  <c r="M319" i="2"/>
  <c r="N319" i="2"/>
  <c r="O319" i="2"/>
  <c r="P319" i="2"/>
  <c r="M320" i="2"/>
  <c r="N320" i="2"/>
  <c r="O320" i="2"/>
  <c r="P320" i="2"/>
  <c r="M321" i="2"/>
  <c r="N321" i="2"/>
  <c r="O321" i="2"/>
  <c r="P321" i="2"/>
  <c r="M322" i="2"/>
  <c r="N322" i="2"/>
  <c r="O322" i="2"/>
  <c r="P322" i="2"/>
  <c r="M323" i="2"/>
  <c r="N323" i="2"/>
  <c r="O323" i="2"/>
  <c r="P323" i="2"/>
  <c r="M324" i="2"/>
  <c r="N324" i="2"/>
  <c r="O324" i="2"/>
  <c r="P324" i="2"/>
  <c r="M325" i="2"/>
  <c r="N325" i="2"/>
  <c r="O325" i="2"/>
  <c r="P325" i="2"/>
  <c r="M326" i="2"/>
  <c r="N326" i="2"/>
  <c r="O326" i="2"/>
  <c r="P326" i="2"/>
  <c r="M327" i="2"/>
  <c r="N327" i="2"/>
  <c r="O327" i="2"/>
  <c r="P327" i="2"/>
  <c r="M328" i="2"/>
  <c r="N328" i="2"/>
  <c r="O328" i="2"/>
  <c r="P328" i="2"/>
  <c r="M329" i="2"/>
  <c r="N329" i="2"/>
  <c r="O329" i="2"/>
  <c r="P329" i="2"/>
  <c r="M330" i="2"/>
  <c r="N330" i="2"/>
  <c r="O330" i="2"/>
  <c r="P330" i="2"/>
  <c r="M331" i="2"/>
  <c r="N331" i="2"/>
  <c r="O331" i="2"/>
  <c r="P331" i="2"/>
  <c r="M332" i="2"/>
  <c r="N332" i="2"/>
  <c r="O332" i="2"/>
  <c r="P332" i="2"/>
  <c r="M333" i="2"/>
  <c r="N333" i="2"/>
  <c r="O333" i="2"/>
  <c r="P333" i="2"/>
  <c r="M334" i="2"/>
  <c r="N334" i="2"/>
  <c r="O334" i="2"/>
  <c r="P334" i="2"/>
  <c r="M335" i="2"/>
  <c r="N335" i="2"/>
  <c r="O335" i="2"/>
  <c r="P335" i="2"/>
  <c r="M336" i="2"/>
  <c r="N336" i="2"/>
  <c r="O336" i="2"/>
  <c r="P336" i="2"/>
  <c r="M337" i="2"/>
  <c r="N337" i="2"/>
  <c r="O337" i="2"/>
  <c r="P337" i="2"/>
  <c r="M338" i="2"/>
  <c r="N338" i="2"/>
  <c r="O338" i="2"/>
  <c r="P338" i="2"/>
  <c r="M339" i="2"/>
  <c r="N339" i="2"/>
  <c r="O339" i="2"/>
  <c r="P339" i="2"/>
  <c r="M340" i="2"/>
  <c r="N340" i="2"/>
  <c r="O340" i="2"/>
  <c r="P340" i="2"/>
  <c r="M341" i="2"/>
  <c r="N341" i="2"/>
  <c r="O341" i="2"/>
  <c r="P341" i="2"/>
  <c r="M342" i="2"/>
  <c r="N342" i="2"/>
  <c r="O342" i="2"/>
  <c r="P342" i="2"/>
  <c r="M343" i="2"/>
  <c r="N343" i="2"/>
  <c r="O343" i="2"/>
  <c r="P343" i="2"/>
  <c r="M344" i="2"/>
  <c r="N344" i="2"/>
  <c r="O344" i="2"/>
  <c r="P344" i="2"/>
  <c r="M345" i="2"/>
  <c r="N345" i="2"/>
  <c r="O345" i="2"/>
  <c r="P345" i="2"/>
  <c r="M346" i="2"/>
  <c r="N346" i="2"/>
  <c r="O346" i="2"/>
  <c r="P346" i="2"/>
  <c r="M347" i="2"/>
  <c r="N347" i="2"/>
  <c r="O347" i="2"/>
  <c r="P347" i="2"/>
  <c r="M348" i="2"/>
  <c r="N348" i="2"/>
  <c r="O348" i="2"/>
  <c r="P348" i="2"/>
  <c r="M349" i="2"/>
  <c r="N349" i="2"/>
  <c r="O349" i="2"/>
  <c r="P349" i="2"/>
  <c r="M350" i="2"/>
  <c r="N350" i="2"/>
  <c r="O350" i="2"/>
  <c r="P350" i="2"/>
  <c r="M351" i="2"/>
  <c r="N351" i="2"/>
  <c r="O351" i="2"/>
  <c r="P351" i="2"/>
  <c r="M352" i="2"/>
  <c r="N352" i="2"/>
  <c r="O352" i="2"/>
  <c r="P352" i="2"/>
  <c r="M353" i="2"/>
  <c r="N353" i="2"/>
  <c r="O353" i="2"/>
  <c r="P353" i="2"/>
  <c r="M354" i="2"/>
  <c r="N354" i="2"/>
  <c r="O354" i="2"/>
  <c r="P354" i="2"/>
  <c r="M355" i="2"/>
  <c r="N355" i="2"/>
  <c r="O355" i="2"/>
  <c r="P355" i="2"/>
  <c r="M356" i="2"/>
  <c r="N356" i="2"/>
  <c r="O356" i="2"/>
  <c r="P356" i="2"/>
  <c r="M357" i="2"/>
  <c r="N357" i="2"/>
  <c r="O357" i="2"/>
  <c r="P357" i="2"/>
  <c r="M358" i="2"/>
  <c r="N358" i="2"/>
  <c r="O358" i="2"/>
  <c r="P358" i="2"/>
  <c r="M359" i="2"/>
  <c r="N359" i="2"/>
  <c r="O359" i="2"/>
  <c r="P359" i="2"/>
  <c r="M360" i="2"/>
  <c r="N360" i="2"/>
  <c r="O360" i="2"/>
  <c r="P360" i="2"/>
  <c r="M361" i="2"/>
  <c r="N361" i="2"/>
  <c r="O361" i="2"/>
  <c r="P361" i="2"/>
  <c r="M362" i="2"/>
  <c r="N362" i="2"/>
  <c r="O362" i="2"/>
  <c r="P362" i="2"/>
  <c r="M363" i="2"/>
  <c r="N363" i="2"/>
  <c r="O363" i="2"/>
  <c r="P363" i="2"/>
  <c r="M364" i="2"/>
  <c r="N364" i="2"/>
  <c r="O364" i="2"/>
  <c r="P364" i="2"/>
  <c r="M365" i="2"/>
  <c r="N365" i="2"/>
  <c r="O365" i="2"/>
  <c r="P365" i="2"/>
  <c r="M366" i="2"/>
  <c r="N366" i="2"/>
  <c r="O366" i="2"/>
  <c r="P366" i="2"/>
  <c r="M367" i="2"/>
  <c r="N367" i="2"/>
  <c r="O367" i="2"/>
  <c r="P367" i="2"/>
  <c r="M368" i="2"/>
  <c r="N368" i="2"/>
  <c r="O368" i="2"/>
  <c r="P368" i="2"/>
  <c r="M369" i="2"/>
  <c r="N369" i="2"/>
  <c r="O369" i="2"/>
  <c r="P369" i="2"/>
  <c r="M370" i="2"/>
  <c r="N370" i="2"/>
  <c r="O370" i="2"/>
  <c r="P370" i="2"/>
  <c r="M371" i="2"/>
  <c r="N371" i="2"/>
  <c r="O371" i="2"/>
  <c r="P371" i="2"/>
  <c r="M372" i="2"/>
  <c r="N372" i="2"/>
  <c r="O372" i="2"/>
  <c r="P372" i="2"/>
  <c r="M373" i="2"/>
  <c r="N373" i="2"/>
  <c r="O373" i="2"/>
  <c r="P373" i="2"/>
  <c r="M374" i="2"/>
  <c r="N374" i="2"/>
  <c r="O374" i="2"/>
  <c r="P374" i="2"/>
  <c r="M375" i="2"/>
  <c r="N375" i="2"/>
  <c r="O375" i="2"/>
  <c r="P375" i="2"/>
  <c r="M376" i="2"/>
  <c r="N376" i="2"/>
  <c r="O376" i="2"/>
  <c r="P376" i="2"/>
  <c r="M377" i="2"/>
  <c r="N377" i="2"/>
  <c r="O377" i="2"/>
  <c r="P377" i="2"/>
  <c r="M378" i="2"/>
  <c r="N378" i="2"/>
  <c r="O378" i="2"/>
  <c r="P378" i="2"/>
  <c r="M379" i="2"/>
  <c r="N379" i="2"/>
  <c r="O379" i="2"/>
  <c r="P379" i="2"/>
  <c r="M380" i="2"/>
  <c r="N380" i="2"/>
  <c r="O380" i="2"/>
  <c r="P380" i="2"/>
  <c r="M381" i="2"/>
  <c r="N381" i="2"/>
  <c r="O381" i="2"/>
  <c r="P381" i="2"/>
  <c r="M382" i="2"/>
  <c r="N382" i="2"/>
  <c r="O382" i="2"/>
  <c r="P382" i="2"/>
  <c r="M383" i="2"/>
  <c r="N383" i="2"/>
  <c r="O383" i="2"/>
  <c r="P383" i="2"/>
  <c r="M384" i="2"/>
  <c r="N384" i="2"/>
  <c r="O384" i="2"/>
  <c r="P384" i="2"/>
  <c r="M385" i="2"/>
  <c r="N385" i="2"/>
  <c r="O385" i="2"/>
  <c r="P385" i="2"/>
  <c r="M386" i="2"/>
  <c r="N386" i="2"/>
  <c r="O386" i="2"/>
  <c r="P386" i="2"/>
  <c r="M387" i="2"/>
  <c r="N387" i="2"/>
  <c r="O387" i="2"/>
  <c r="P387" i="2"/>
  <c r="M388" i="2"/>
  <c r="N388" i="2"/>
  <c r="O388" i="2"/>
  <c r="P388" i="2"/>
  <c r="M389" i="2"/>
  <c r="N389" i="2"/>
  <c r="O389" i="2"/>
  <c r="P389" i="2"/>
  <c r="M390" i="2"/>
  <c r="N390" i="2"/>
  <c r="O390" i="2"/>
  <c r="P390" i="2"/>
  <c r="M391" i="2"/>
  <c r="N391" i="2"/>
  <c r="O391" i="2"/>
  <c r="P391" i="2"/>
  <c r="M392" i="2"/>
  <c r="N392" i="2"/>
  <c r="O392" i="2"/>
  <c r="P392" i="2"/>
  <c r="M393" i="2"/>
  <c r="N393" i="2"/>
  <c r="O393" i="2"/>
  <c r="P393" i="2"/>
  <c r="M394" i="2"/>
  <c r="N394" i="2"/>
  <c r="O394" i="2"/>
  <c r="P394" i="2"/>
  <c r="M395" i="2"/>
  <c r="N395" i="2"/>
  <c r="O395" i="2"/>
  <c r="P395" i="2"/>
  <c r="M396" i="2"/>
  <c r="N396" i="2"/>
  <c r="O396" i="2"/>
  <c r="P396" i="2"/>
  <c r="M397" i="2"/>
  <c r="N397" i="2"/>
  <c r="O397" i="2"/>
  <c r="P397" i="2"/>
  <c r="M398" i="2"/>
  <c r="N398" i="2"/>
  <c r="O398" i="2"/>
  <c r="P398" i="2"/>
  <c r="M399" i="2"/>
  <c r="N399" i="2"/>
  <c r="O399" i="2"/>
  <c r="P399" i="2"/>
  <c r="M400" i="2"/>
  <c r="N400" i="2"/>
  <c r="O400" i="2"/>
  <c r="P400" i="2"/>
  <c r="M401" i="2"/>
  <c r="N401" i="2"/>
  <c r="O401" i="2"/>
  <c r="P401" i="2"/>
  <c r="M402" i="2"/>
  <c r="N402" i="2"/>
  <c r="O402" i="2"/>
  <c r="P402" i="2"/>
  <c r="M403" i="2"/>
  <c r="N403" i="2"/>
  <c r="O403" i="2"/>
  <c r="P403" i="2"/>
  <c r="M404" i="2"/>
  <c r="N404" i="2"/>
  <c r="O404" i="2"/>
  <c r="P404" i="2"/>
  <c r="M405" i="2"/>
  <c r="N405" i="2"/>
  <c r="O405" i="2"/>
  <c r="P405" i="2"/>
  <c r="M406" i="2"/>
  <c r="N406" i="2"/>
  <c r="O406" i="2"/>
  <c r="P406" i="2"/>
  <c r="M407" i="2"/>
  <c r="N407" i="2"/>
  <c r="O407" i="2"/>
  <c r="P407" i="2"/>
  <c r="M408" i="2"/>
  <c r="N408" i="2"/>
  <c r="O408" i="2"/>
  <c r="P408" i="2"/>
  <c r="M409" i="2"/>
  <c r="N409" i="2"/>
  <c r="O409" i="2"/>
  <c r="P409" i="2"/>
  <c r="M410" i="2"/>
  <c r="N410" i="2"/>
  <c r="O410" i="2"/>
  <c r="P410" i="2"/>
  <c r="M411" i="2"/>
  <c r="N411" i="2"/>
  <c r="O411" i="2"/>
  <c r="P411" i="2"/>
  <c r="M412" i="2"/>
  <c r="N412" i="2"/>
  <c r="O412" i="2"/>
  <c r="P412" i="2"/>
  <c r="M413" i="2"/>
  <c r="N413" i="2"/>
  <c r="O413" i="2"/>
  <c r="P413" i="2"/>
  <c r="M414" i="2"/>
  <c r="N414" i="2"/>
  <c r="O414" i="2"/>
  <c r="P414" i="2"/>
  <c r="M415" i="2"/>
  <c r="N415" i="2"/>
  <c r="O415" i="2"/>
  <c r="P415" i="2"/>
  <c r="M416" i="2"/>
  <c r="N416" i="2"/>
  <c r="O416" i="2"/>
  <c r="P416" i="2"/>
  <c r="M417" i="2"/>
  <c r="N417" i="2"/>
  <c r="O417" i="2"/>
  <c r="P417" i="2"/>
  <c r="M418" i="2"/>
  <c r="N418" i="2"/>
  <c r="O418" i="2"/>
  <c r="P418" i="2"/>
  <c r="M419" i="2"/>
  <c r="N419" i="2"/>
  <c r="O419" i="2"/>
  <c r="P419" i="2"/>
  <c r="M420" i="2"/>
  <c r="N420" i="2"/>
  <c r="O420" i="2"/>
  <c r="P420" i="2"/>
  <c r="M421" i="2"/>
  <c r="N421" i="2"/>
  <c r="O421" i="2"/>
  <c r="P421" i="2"/>
  <c r="M422" i="2"/>
  <c r="N422" i="2"/>
  <c r="O422" i="2"/>
  <c r="P422" i="2"/>
  <c r="M423" i="2"/>
  <c r="N423" i="2"/>
  <c r="O423" i="2"/>
  <c r="P423" i="2"/>
  <c r="M424" i="2"/>
  <c r="N424" i="2"/>
  <c r="O424" i="2"/>
  <c r="P424" i="2"/>
  <c r="M425" i="2"/>
  <c r="N425" i="2"/>
  <c r="O425" i="2"/>
  <c r="P425" i="2"/>
  <c r="M426" i="2"/>
  <c r="N426" i="2"/>
  <c r="O426" i="2"/>
  <c r="P426" i="2"/>
  <c r="M427" i="2"/>
  <c r="N427" i="2"/>
  <c r="O427" i="2"/>
  <c r="P427" i="2"/>
  <c r="M428" i="2"/>
  <c r="N428" i="2"/>
  <c r="O428" i="2"/>
  <c r="P428" i="2"/>
  <c r="M429" i="2"/>
  <c r="N429" i="2"/>
  <c r="O429" i="2"/>
  <c r="P429" i="2"/>
  <c r="M430" i="2"/>
  <c r="N430" i="2"/>
  <c r="O430" i="2"/>
  <c r="P430" i="2"/>
  <c r="M431" i="2"/>
  <c r="N431" i="2"/>
  <c r="O431" i="2"/>
  <c r="P431" i="2"/>
  <c r="M432" i="2"/>
  <c r="N432" i="2"/>
  <c r="O432" i="2"/>
  <c r="P432" i="2"/>
  <c r="M433" i="2"/>
  <c r="N433" i="2"/>
  <c r="O433" i="2"/>
  <c r="P433" i="2"/>
  <c r="M434" i="2"/>
  <c r="N434" i="2"/>
  <c r="O434" i="2"/>
  <c r="P434" i="2"/>
  <c r="M435" i="2"/>
  <c r="N435" i="2"/>
  <c r="O435" i="2"/>
  <c r="P435" i="2"/>
  <c r="M436" i="2"/>
  <c r="N436" i="2"/>
  <c r="O436" i="2"/>
  <c r="P436" i="2"/>
  <c r="M437" i="2"/>
  <c r="N437" i="2"/>
  <c r="O437" i="2"/>
  <c r="P437" i="2"/>
  <c r="M438" i="2"/>
  <c r="N438" i="2"/>
  <c r="O438" i="2"/>
  <c r="P438" i="2"/>
  <c r="M439" i="2"/>
  <c r="N439" i="2"/>
  <c r="O439" i="2"/>
  <c r="P439" i="2"/>
  <c r="M440" i="2"/>
  <c r="N440" i="2"/>
  <c r="O440" i="2"/>
  <c r="P440" i="2"/>
  <c r="M441" i="2"/>
  <c r="N441" i="2"/>
  <c r="O441" i="2"/>
  <c r="P441" i="2"/>
  <c r="M442" i="2"/>
  <c r="N442" i="2"/>
  <c r="O442" i="2"/>
  <c r="P442" i="2"/>
  <c r="M443" i="2"/>
  <c r="N443" i="2"/>
  <c r="O443" i="2"/>
  <c r="P443" i="2"/>
  <c r="M444" i="2"/>
  <c r="N444" i="2"/>
  <c r="O444" i="2"/>
  <c r="P444" i="2"/>
  <c r="M445" i="2"/>
  <c r="N445" i="2"/>
  <c r="O445" i="2"/>
  <c r="P445" i="2"/>
  <c r="M446" i="2"/>
  <c r="N446" i="2"/>
  <c r="O446" i="2"/>
  <c r="P446" i="2"/>
  <c r="M447" i="2"/>
  <c r="N447" i="2"/>
  <c r="O447" i="2"/>
  <c r="P447" i="2"/>
  <c r="M448" i="2"/>
  <c r="N448" i="2"/>
  <c r="O448" i="2"/>
  <c r="P448" i="2"/>
  <c r="M449" i="2"/>
  <c r="N449" i="2"/>
  <c r="O449" i="2"/>
  <c r="P449" i="2"/>
  <c r="M450" i="2"/>
  <c r="N450" i="2"/>
  <c r="O450" i="2"/>
  <c r="P450" i="2"/>
  <c r="M451" i="2"/>
  <c r="N451" i="2"/>
  <c r="O451" i="2"/>
  <c r="P451" i="2"/>
  <c r="M452" i="2"/>
  <c r="N452" i="2"/>
  <c r="O452" i="2"/>
  <c r="P452" i="2"/>
  <c r="M453" i="2"/>
  <c r="N453" i="2"/>
  <c r="O453" i="2"/>
  <c r="P453" i="2"/>
  <c r="M454" i="2"/>
  <c r="N454" i="2"/>
  <c r="O454" i="2"/>
  <c r="P454" i="2"/>
  <c r="M455" i="2"/>
  <c r="N455" i="2"/>
  <c r="O455" i="2"/>
  <c r="P455" i="2"/>
  <c r="M456" i="2"/>
  <c r="N456" i="2"/>
  <c r="O456" i="2"/>
  <c r="P456" i="2"/>
  <c r="M457" i="2"/>
  <c r="N457" i="2"/>
  <c r="O457" i="2"/>
  <c r="P457" i="2"/>
  <c r="M458" i="2"/>
  <c r="N458" i="2"/>
  <c r="O458" i="2"/>
  <c r="P458" i="2"/>
  <c r="M459" i="2"/>
  <c r="N459" i="2"/>
  <c r="O459" i="2"/>
  <c r="P459" i="2"/>
  <c r="M460" i="2"/>
  <c r="N460" i="2"/>
  <c r="O460" i="2"/>
  <c r="P460" i="2"/>
  <c r="M461" i="2"/>
  <c r="N461" i="2"/>
  <c r="O461" i="2"/>
  <c r="P461" i="2"/>
  <c r="M462" i="2"/>
  <c r="N462" i="2"/>
  <c r="O462" i="2"/>
  <c r="P462" i="2"/>
  <c r="M463" i="2"/>
  <c r="N463" i="2"/>
  <c r="O463" i="2"/>
  <c r="P463" i="2"/>
  <c r="M464" i="2"/>
  <c r="N464" i="2"/>
  <c r="O464" i="2"/>
  <c r="P464" i="2"/>
  <c r="M465" i="2"/>
  <c r="N465" i="2"/>
  <c r="O465" i="2"/>
  <c r="P465" i="2"/>
  <c r="M466" i="2"/>
  <c r="N466" i="2"/>
  <c r="O466" i="2"/>
  <c r="P466" i="2"/>
  <c r="M467" i="2"/>
  <c r="N467" i="2"/>
  <c r="O467" i="2"/>
  <c r="P467" i="2"/>
  <c r="M468" i="2"/>
  <c r="N468" i="2"/>
  <c r="O468" i="2"/>
  <c r="P468" i="2"/>
  <c r="M469" i="2"/>
  <c r="N469" i="2"/>
  <c r="O469" i="2"/>
  <c r="P469" i="2"/>
  <c r="M470" i="2"/>
  <c r="N470" i="2"/>
  <c r="O470" i="2"/>
  <c r="P470" i="2"/>
  <c r="M471" i="2"/>
  <c r="N471" i="2"/>
  <c r="O471" i="2"/>
  <c r="P471" i="2"/>
  <c r="M472" i="2"/>
  <c r="N472" i="2"/>
  <c r="O472" i="2"/>
  <c r="P472" i="2"/>
  <c r="M473" i="2"/>
  <c r="N473" i="2"/>
  <c r="O473" i="2"/>
  <c r="P473" i="2"/>
  <c r="M474" i="2"/>
  <c r="N474" i="2"/>
  <c r="O474" i="2"/>
  <c r="P474" i="2"/>
  <c r="M475" i="2"/>
  <c r="N475" i="2"/>
  <c r="O475" i="2"/>
  <c r="P475" i="2"/>
  <c r="M476" i="2"/>
  <c r="N476" i="2"/>
  <c r="O476" i="2"/>
  <c r="P476" i="2"/>
  <c r="M477" i="2"/>
  <c r="N477" i="2"/>
  <c r="O477" i="2"/>
  <c r="P477" i="2"/>
  <c r="M478" i="2"/>
  <c r="N478" i="2"/>
  <c r="O478" i="2"/>
  <c r="P478" i="2"/>
  <c r="M479" i="2"/>
  <c r="N479" i="2"/>
  <c r="O479" i="2"/>
  <c r="P479" i="2"/>
  <c r="M480" i="2"/>
  <c r="N480" i="2"/>
  <c r="O480" i="2"/>
  <c r="P480" i="2"/>
  <c r="M481" i="2"/>
  <c r="N481" i="2"/>
  <c r="O481" i="2"/>
  <c r="P481" i="2"/>
  <c r="M482" i="2"/>
  <c r="N482" i="2"/>
  <c r="O482" i="2"/>
  <c r="P482" i="2"/>
  <c r="M483" i="2"/>
  <c r="N483" i="2"/>
  <c r="O483" i="2"/>
  <c r="P483" i="2"/>
  <c r="M484" i="2"/>
  <c r="N484" i="2"/>
  <c r="O484" i="2"/>
  <c r="P484" i="2"/>
  <c r="M485" i="2"/>
  <c r="N485" i="2"/>
  <c r="O485" i="2"/>
  <c r="P485" i="2"/>
  <c r="M486" i="2"/>
  <c r="N486" i="2"/>
  <c r="O486" i="2"/>
  <c r="P486" i="2"/>
  <c r="M487" i="2"/>
  <c r="N487" i="2"/>
  <c r="O487" i="2"/>
  <c r="P487" i="2"/>
  <c r="M488" i="2"/>
  <c r="N488" i="2"/>
  <c r="O488" i="2"/>
  <c r="P488" i="2"/>
  <c r="M489" i="2"/>
  <c r="N489" i="2"/>
  <c r="O489" i="2"/>
  <c r="P489" i="2"/>
  <c r="M490" i="2"/>
  <c r="N490" i="2"/>
  <c r="O490" i="2"/>
  <c r="P490" i="2"/>
  <c r="M491" i="2"/>
  <c r="N491" i="2"/>
  <c r="O491" i="2"/>
  <c r="P491" i="2"/>
  <c r="M492" i="2"/>
  <c r="N492" i="2"/>
  <c r="O492" i="2"/>
  <c r="P492" i="2"/>
  <c r="M493" i="2"/>
  <c r="N493" i="2"/>
  <c r="O493" i="2"/>
  <c r="P493" i="2"/>
  <c r="M494" i="2"/>
  <c r="N494" i="2"/>
  <c r="O494" i="2"/>
  <c r="P494" i="2"/>
  <c r="M495" i="2"/>
  <c r="N495" i="2"/>
  <c r="O495" i="2"/>
  <c r="P495" i="2"/>
  <c r="M496" i="2"/>
  <c r="N496" i="2"/>
  <c r="O496" i="2"/>
  <c r="P496" i="2"/>
  <c r="M497" i="2"/>
  <c r="N497" i="2"/>
  <c r="O497" i="2"/>
  <c r="P497" i="2"/>
  <c r="M498" i="2"/>
  <c r="N498" i="2"/>
  <c r="O498" i="2"/>
  <c r="P498" i="2"/>
  <c r="M499" i="2"/>
  <c r="N499" i="2"/>
  <c r="O499" i="2"/>
  <c r="P499" i="2"/>
  <c r="M500" i="2"/>
  <c r="N500" i="2"/>
  <c r="O500" i="2"/>
  <c r="P500" i="2"/>
  <c r="M501" i="2"/>
  <c r="N501" i="2"/>
  <c r="O501" i="2"/>
  <c r="P501" i="2"/>
  <c r="M502" i="2"/>
  <c r="N502" i="2"/>
  <c r="O502" i="2"/>
  <c r="P502" i="2"/>
  <c r="M503" i="2"/>
  <c r="N503" i="2"/>
  <c r="O503" i="2"/>
  <c r="P503" i="2"/>
  <c r="M504" i="2"/>
  <c r="N504" i="2"/>
  <c r="O504" i="2"/>
  <c r="P504" i="2"/>
  <c r="M505" i="2"/>
  <c r="N505" i="2"/>
  <c r="O505" i="2"/>
  <c r="P505" i="2"/>
  <c r="M506" i="2"/>
  <c r="N506" i="2"/>
  <c r="O506" i="2"/>
  <c r="P506" i="2"/>
  <c r="M507" i="2"/>
  <c r="N507" i="2"/>
  <c r="O507" i="2"/>
  <c r="P507" i="2"/>
  <c r="M508" i="2"/>
  <c r="N508" i="2"/>
  <c r="O508" i="2"/>
  <c r="P508" i="2"/>
  <c r="M509" i="2"/>
  <c r="N509" i="2"/>
  <c r="O509" i="2"/>
  <c r="P509" i="2"/>
  <c r="M510" i="2"/>
  <c r="N510" i="2"/>
  <c r="O510" i="2"/>
  <c r="P510" i="2"/>
  <c r="M511" i="2"/>
  <c r="N511" i="2"/>
  <c r="O511" i="2"/>
  <c r="P511" i="2"/>
  <c r="M512" i="2"/>
  <c r="N512" i="2"/>
  <c r="O512" i="2"/>
  <c r="P512" i="2"/>
  <c r="M513" i="2"/>
  <c r="N513" i="2"/>
  <c r="O513" i="2"/>
  <c r="P513" i="2"/>
  <c r="M514" i="2"/>
  <c r="N514" i="2"/>
  <c r="O514" i="2"/>
  <c r="P514" i="2"/>
  <c r="M515" i="2"/>
  <c r="N515" i="2"/>
  <c r="O515" i="2"/>
  <c r="P515" i="2"/>
  <c r="M516" i="2"/>
  <c r="N516" i="2"/>
  <c r="O516" i="2"/>
  <c r="P516" i="2"/>
  <c r="M517" i="2"/>
  <c r="N517" i="2"/>
  <c r="O517" i="2"/>
  <c r="P517" i="2"/>
  <c r="M518" i="2"/>
  <c r="N518" i="2"/>
  <c r="O518" i="2"/>
  <c r="P518" i="2"/>
  <c r="M519" i="2"/>
  <c r="N519" i="2"/>
  <c r="O519" i="2"/>
  <c r="P519" i="2"/>
  <c r="M520" i="2"/>
  <c r="N520" i="2"/>
  <c r="O520" i="2"/>
  <c r="P520" i="2"/>
  <c r="M521" i="2"/>
  <c r="N521" i="2"/>
  <c r="O521" i="2"/>
  <c r="P521" i="2"/>
  <c r="M522" i="2"/>
  <c r="N522" i="2"/>
  <c r="O522" i="2"/>
  <c r="P522" i="2"/>
  <c r="M523" i="2"/>
  <c r="N523" i="2"/>
  <c r="O523" i="2"/>
  <c r="P523" i="2"/>
  <c r="N24" i="2"/>
  <c r="O24" i="2"/>
  <c r="P24" i="2"/>
  <c r="M24" i="2"/>
  <c r="M8" i="2"/>
  <c r="M7" i="2"/>
  <c r="M6" i="2"/>
  <c r="M5" i="2"/>
  <c r="K8" i="2"/>
  <c r="K7" i="2"/>
  <c r="K6" i="2"/>
  <c r="K5" i="2"/>
  <c r="C45" i="22"/>
  <c r="D47" i="22"/>
  <c r="D45" i="22"/>
  <c r="D39" i="22"/>
  <c r="D38" i="22"/>
  <c r="C49" i="22"/>
  <c r="C42" i="22"/>
  <c r="C48" i="22"/>
  <c r="C38" i="22"/>
  <c r="D41" i="22"/>
  <c r="C47" i="22"/>
  <c r="D48" i="22"/>
  <c r="D50" i="22"/>
  <c r="D44" i="22"/>
  <c r="C44" i="22"/>
  <c r="C43" i="22"/>
  <c r="D37" i="22"/>
  <c r="C37" i="22"/>
  <c r="C41" i="22"/>
  <c r="D43" i="22"/>
  <c r="C46" i="22"/>
  <c r="C50" i="22"/>
  <c r="D40" i="22"/>
  <c r="D49" i="22"/>
  <c r="D46" i="22"/>
  <c r="C39" i="22"/>
  <c r="C40" i="22"/>
  <c r="D42" i="22"/>
  <c r="I22" i="22" l="1"/>
  <c r="H27" i="22"/>
  <c r="E30" i="17"/>
  <c r="D51" i="22"/>
  <c r="C51" i="22"/>
  <c r="I25" i="22" s="1"/>
  <c r="D53" i="22"/>
  <c r="H24" i="22"/>
  <c r="C53" i="22"/>
  <c r="H25" i="22" s="1"/>
  <c r="J505" i="3"/>
  <c r="J500" i="3"/>
  <c r="J498" i="3"/>
  <c r="J494" i="3"/>
  <c r="J489" i="3"/>
  <c r="J488" i="3"/>
  <c r="J484" i="3"/>
  <c r="J478" i="3"/>
  <c r="J477" i="3"/>
  <c r="J473" i="3"/>
  <c r="J468" i="3"/>
  <c r="J466" i="3"/>
  <c r="J462" i="3"/>
  <c r="J457" i="3"/>
  <c r="J456" i="3"/>
  <c r="J452" i="3"/>
  <c r="J446" i="3"/>
  <c r="J445" i="3"/>
  <c r="J441" i="3"/>
  <c r="J436" i="3"/>
  <c r="J429" i="3"/>
  <c r="J413" i="3"/>
  <c r="J397" i="3"/>
  <c r="J381" i="3"/>
  <c r="J365" i="3"/>
  <c r="J349" i="3"/>
  <c r="J328" i="3"/>
  <c r="J307" i="3"/>
  <c r="J285" i="3"/>
  <c r="J264" i="3"/>
  <c r="J243" i="3"/>
  <c r="J221" i="3"/>
  <c r="J200" i="3"/>
  <c r="J179" i="3"/>
  <c r="J157" i="3"/>
  <c r="J136" i="3"/>
  <c r="J115" i="3"/>
  <c r="J93" i="3"/>
  <c r="J51" i="3"/>
  <c r="J29" i="3"/>
  <c r="J428" i="3"/>
  <c r="J412" i="3"/>
  <c r="J396" i="3"/>
  <c r="J380" i="3"/>
  <c r="J364" i="3"/>
  <c r="J348" i="3"/>
  <c r="J327" i="3"/>
  <c r="J305" i="3"/>
  <c r="J284" i="3"/>
  <c r="J263" i="3"/>
  <c r="J241" i="3"/>
  <c r="J220" i="3"/>
  <c r="J199" i="3"/>
  <c r="J177" i="3"/>
  <c r="J156" i="3"/>
  <c r="J135" i="3"/>
  <c r="J113" i="3"/>
  <c r="J92" i="3"/>
  <c r="J72" i="3"/>
  <c r="J71" i="3"/>
  <c r="J49" i="3"/>
  <c r="J28" i="3"/>
  <c r="J8" i="3"/>
  <c r="J504" i="3"/>
  <c r="J493" i="3"/>
  <c r="J472" i="3"/>
  <c r="J461" i="3"/>
  <c r="J450" i="3"/>
  <c r="J482" i="3"/>
  <c r="J440" i="3"/>
  <c r="J372" i="3"/>
  <c r="J357" i="3"/>
  <c r="J356" i="3"/>
  <c r="J339" i="3"/>
  <c r="J337" i="3"/>
  <c r="J317" i="3"/>
  <c r="J316" i="3"/>
  <c r="J296" i="3"/>
  <c r="J295" i="3"/>
  <c r="J275" i="3"/>
  <c r="J273" i="3"/>
  <c r="J253" i="3"/>
  <c r="J252" i="3"/>
  <c r="J232" i="3"/>
  <c r="J231" i="3"/>
  <c r="J211" i="3"/>
  <c r="J209" i="3"/>
  <c r="J189" i="3"/>
  <c r="J188" i="3"/>
  <c r="J168" i="3"/>
  <c r="J167" i="3"/>
  <c r="J147" i="3"/>
  <c r="J145" i="3"/>
  <c r="J125" i="3"/>
  <c r="J124" i="3"/>
  <c r="J104" i="3"/>
  <c r="J103" i="3"/>
  <c r="J83" i="3"/>
  <c r="J81" i="3"/>
  <c r="J61" i="3"/>
  <c r="J60" i="3"/>
  <c r="J40" i="3"/>
  <c r="J39" i="3"/>
  <c r="J19" i="3"/>
  <c r="J17" i="3"/>
  <c r="J434" i="3"/>
  <c r="J421" i="3"/>
  <c r="J420" i="3"/>
  <c r="J405" i="3"/>
  <c r="J404" i="3"/>
  <c r="J389" i="3"/>
  <c r="J388" i="3"/>
  <c r="J373" i="3"/>
  <c r="J506" i="3"/>
  <c r="J503" i="3"/>
  <c r="J502" i="3"/>
  <c r="J501" i="3"/>
  <c r="J499" i="3"/>
  <c r="J497" i="3"/>
  <c r="J496" i="3"/>
  <c r="J495" i="3"/>
  <c r="J492" i="3"/>
  <c r="J491" i="3"/>
  <c r="J490" i="3"/>
  <c r="J487" i="3"/>
  <c r="J486" i="3"/>
  <c r="J485" i="3"/>
  <c r="J483" i="3"/>
  <c r="J481" i="3"/>
  <c r="J480" i="3"/>
  <c r="J479" i="3"/>
  <c r="J476" i="3"/>
  <c r="J475" i="3"/>
  <c r="J474" i="3"/>
  <c r="J471" i="3"/>
  <c r="J470" i="3"/>
  <c r="J469" i="3"/>
  <c r="J467" i="3"/>
  <c r="J465" i="3"/>
  <c r="J464" i="3"/>
  <c r="J463" i="3"/>
  <c r="J460" i="3"/>
  <c r="J459" i="3"/>
  <c r="J458" i="3"/>
  <c r="J455" i="3"/>
  <c r="J454" i="3"/>
  <c r="J453" i="3"/>
  <c r="J451" i="3"/>
  <c r="J449" i="3"/>
  <c r="J448" i="3"/>
  <c r="J447" i="3"/>
  <c r="J444" i="3"/>
  <c r="J443" i="3"/>
  <c r="J442" i="3"/>
  <c r="J439" i="3"/>
  <c r="J438" i="3"/>
  <c r="J437" i="3"/>
  <c r="J435" i="3"/>
  <c r="J433" i="3"/>
  <c r="J432" i="3"/>
  <c r="J431" i="3"/>
  <c r="J430" i="3"/>
  <c r="J427" i="3"/>
  <c r="J426" i="3"/>
  <c r="J425" i="3"/>
  <c r="J424" i="3"/>
  <c r="J423" i="3"/>
  <c r="J422" i="3"/>
  <c r="J419" i="3"/>
  <c r="J418" i="3"/>
  <c r="J417" i="3"/>
  <c r="J416" i="3"/>
  <c r="J415" i="3"/>
  <c r="J414" i="3"/>
  <c r="J411" i="3"/>
  <c r="J410" i="3"/>
  <c r="J409" i="3"/>
  <c r="J408" i="3"/>
  <c r="J407" i="3"/>
  <c r="J406" i="3"/>
  <c r="J403" i="3"/>
  <c r="J402" i="3"/>
  <c r="J401" i="3"/>
  <c r="J400" i="3"/>
  <c r="J399" i="3"/>
  <c r="J398" i="3"/>
  <c r="J395" i="3"/>
  <c r="J394" i="3"/>
  <c r="J393" i="3"/>
  <c r="J392" i="3"/>
  <c r="J391" i="3"/>
  <c r="J390" i="3"/>
  <c r="J387" i="3"/>
  <c r="J386" i="3"/>
  <c r="J385" i="3"/>
  <c r="J384" i="3"/>
  <c r="J383" i="3"/>
  <c r="J382" i="3"/>
  <c r="J379" i="3"/>
  <c r="J378" i="3"/>
  <c r="J377" i="3"/>
  <c r="J376" i="3"/>
  <c r="J375" i="3"/>
  <c r="J374" i="3"/>
  <c r="J369" i="3"/>
  <c r="J368" i="3"/>
  <c r="J361" i="3"/>
  <c r="J360" i="3"/>
  <c r="J353" i="3"/>
  <c r="J352" i="3"/>
  <c r="J344" i="3"/>
  <c r="J343" i="3"/>
  <c r="J333" i="3"/>
  <c r="J332" i="3"/>
  <c r="J323" i="3"/>
  <c r="J321" i="3"/>
  <c r="J312" i="3"/>
  <c r="J311" i="3"/>
  <c r="J301" i="3"/>
  <c r="J300" i="3"/>
  <c r="J291" i="3"/>
  <c r="J289" i="3"/>
  <c r="J280" i="3"/>
  <c r="J279" i="3"/>
  <c r="J269" i="3"/>
  <c r="J268" i="3"/>
  <c r="J259" i="3"/>
  <c r="J257" i="3"/>
  <c r="J248" i="3"/>
  <c r="J247" i="3"/>
  <c r="J237" i="3"/>
  <c r="J236" i="3"/>
  <c r="J227" i="3"/>
  <c r="J225" i="3"/>
  <c r="J216" i="3"/>
  <c r="J215" i="3"/>
  <c r="J205" i="3"/>
  <c r="J204" i="3"/>
  <c r="J195" i="3"/>
  <c r="J193" i="3"/>
  <c r="J184" i="3"/>
  <c r="J183" i="3"/>
  <c r="J173" i="3"/>
  <c r="J172" i="3"/>
  <c r="J163" i="3"/>
  <c r="J161" i="3"/>
  <c r="J152" i="3"/>
  <c r="J151" i="3"/>
  <c r="J141" i="3"/>
  <c r="J140" i="3"/>
  <c r="J131" i="3"/>
  <c r="J129" i="3"/>
  <c r="J120" i="3"/>
  <c r="J119" i="3"/>
  <c r="J109" i="3"/>
  <c r="J108" i="3"/>
  <c r="J99" i="3"/>
  <c r="J97" i="3"/>
  <c r="J88" i="3"/>
  <c r="J87" i="3"/>
  <c r="J77" i="3"/>
  <c r="J76" i="3"/>
  <c r="J67" i="3"/>
  <c r="J65" i="3"/>
  <c r="J56" i="3"/>
  <c r="J55" i="3"/>
  <c r="J45" i="3"/>
  <c r="J44" i="3"/>
  <c r="J35" i="3"/>
  <c r="J33" i="3"/>
  <c r="J24" i="3"/>
  <c r="J23" i="3"/>
  <c r="J13" i="3"/>
  <c r="J12" i="3"/>
  <c r="J370" i="3"/>
  <c r="J366" i="3"/>
  <c r="J362" i="3"/>
  <c r="J358" i="3"/>
  <c r="J354" i="3"/>
  <c r="J350" i="3"/>
  <c r="J347" i="3"/>
  <c r="J345" i="3"/>
  <c r="J342" i="3"/>
  <c r="J340" i="3"/>
  <c r="J338" i="3"/>
  <c r="J335" i="3"/>
  <c r="J330" i="3"/>
  <c r="J326" i="3"/>
  <c r="J324" i="3"/>
  <c r="J319" i="3"/>
  <c r="J315" i="3"/>
  <c r="J313" i="3"/>
  <c r="J309" i="3"/>
  <c r="J306" i="3"/>
  <c r="J304" i="3"/>
  <c r="J302" i="3"/>
  <c r="J299" i="3"/>
  <c r="J297" i="3"/>
  <c r="J293" i="3"/>
  <c r="J290" i="3"/>
  <c r="J288" i="3"/>
  <c r="J286" i="3"/>
  <c r="J282" i="3"/>
  <c r="J277" i="3"/>
  <c r="J272" i="3"/>
  <c r="J270" i="3"/>
  <c r="J267" i="3"/>
  <c r="J265" i="3"/>
  <c r="J261" i="3"/>
  <c r="J258" i="3"/>
  <c r="J256" i="3"/>
  <c r="J254" i="3"/>
  <c r="J249" i="3"/>
  <c r="J246" i="3"/>
  <c r="J244" i="3"/>
  <c r="J242" i="3"/>
  <c r="J240" i="3"/>
  <c r="J238" i="3"/>
  <c r="J235" i="3"/>
  <c r="J233" i="3"/>
  <c r="J230" i="3"/>
  <c r="J228" i="3"/>
  <c r="J226" i="3"/>
  <c r="J223" i="3"/>
  <c r="J219" i="3"/>
  <c r="J217" i="3"/>
  <c r="J214" i="3"/>
  <c r="J213" i="3"/>
  <c r="J207" i="3"/>
  <c r="J203" i="3"/>
  <c r="J201" i="3"/>
  <c r="J197" i="3"/>
  <c r="J192" i="3"/>
  <c r="J190" i="3"/>
  <c r="J187" i="3"/>
  <c r="J185" i="3"/>
  <c r="J181" i="3"/>
  <c r="J176" i="3"/>
  <c r="J174" i="3"/>
  <c r="J170" i="3"/>
  <c r="J165" i="3"/>
  <c r="J160" i="3"/>
  <c r="J158" i="3"/>
  <c r="J155" i="3"/>
  <c r="J153" i="3"/>
  <c r="J149" i="3"/>
  <c r="J143" i="3"/>
  <c r="J139" i="3"/>
  <c r="J137" i="3"/>
  <c r="J133" i="3"/>
  <c r="J127" i="3"/>
  <c r="J123" i="3"/>
  <c r="J121" i="3"/>
  <c r="J116" i="3"/>
  <c r="J114" i="3"/>
  <c r="J112" i="3"/>
  <c r="J110" i="3"/>
  <c r="J106" i="3"/>
  <c r="J101" i="3"/>
  <c r="J98" i="3"/>
  <c r="J96" i="3"/>
  <c r="J94" i="3"/>
  <c r="J91" i="3"/>
  <c r="J89" i="3"/>
  <c r="J85" i="3"/>
  <c r="J79" i="3"/>
  <c r="J75" i="3"/>
  <c r="J73" i="3"/>
  <c r="J68" i="3"/>
  <c r="J63" i="3"/>
  <c r="J58" i="3"/>
  <c r="J53" i="3"/>
  <c r="J50" i="3"/>
  <c r="J48" i="3"/>
  <c r="J46" i="3"/>
  <c r="J42" i="3"/>
  <c r="J37" i="3"/>
  <c r="J31" i="3"/>
  <c r="J26" i="3"/>
  <c r="J22" i="3"/>
  <c r="J20" i="3"/>
  <c r="J16" i="3"/>
  <c r="J15" i="3"/>
  <c r="J14" i="3"/>
  <c r="J11" i="3"/>
  <c r="J10" i="3"/>
  <c r="J9" i="3"/>
  <c r="J371" i="3"/>
  <c r="J367" i="3"/>
  <c r="J363" i="3"/>
  <c r="J359" i="3"/>
  <c r="J355" i="3"/>
  <c r="J351" i="3"/>
  <c r="J346" i="3"/>
  <c r="J341" i="3"/>
  <c r="J336" i="3"/>
  <c r="J334" i="3"/>
  <c r="J331" i="3"/>
  <c r="J329" i="3"/>
  <c r="J325" i="3"/>
  <c r="J322" i="3"/>
  <c r="J320" i="3"/>
  <c r="J318" i="3"/>
  <c r="J314" i="3"/>
  <c r="J310" i="3"/>
  <c r="J308" i="3"/>
  <c r="J303" i="3"/>
  <c r="J298" i="3"/>
  <c r="J294" i="3"/>
  <c r="J292" i="3"/>
  <c r="J287" i="3"/>
  <c r="J283" i="3"/>
  <c r="J281" i="3"/>
  <c r="J278" i="3"/>
  <c r="J276" i="3"/>
  <c r="J274" i="3"/>
  <c r="J271" i="3"/>
  <c r="J266" i="3"/>
  <c r="J262" i="3"/>
  <c r="J260" i="3"/>
  <c r="J255" i="3"/>
  <c r="J251" i="3"/>
  <c r="J250" i="3"/>
  <c r="J245" i="3"/>
  <c r="J239" i="3"/>
  <c r="J234" i="3"/>
  <c r="J229" i="3"/>
  <c r="J224" i="3"/>
  <c r="J222" i="3"/>
  <c r="J218" i="3"/>
  <c r="J212" i="3"/>
  <c r="J210" i="3"/>
  <c r="J208" i="3"/>
  <c r="J206" i="3"/>
  <c r="J202" i="3"/>
  <c r="J198" i="3"/>
  <c r="J196" i="3"/>
  <c r="J194" i="3"/>
  <c r="J191" i="3"/>
  <c r="J186" i="3"/>
  <c r="J182" i="3"/>
  <c r="J180" i="3"/>
  <c r="J178" i="3"/>
  <c r="J175" i="3"/>
  <c r="J171" i="3"/>
  <c r="J169" i="3"/>
  <c r="J166" i="3"/>
  <c r="J164" i="3"/>
  <c r="J162" i="3"/>
  <c r="J159" i="3"/>
  <c r="J154" i="3"/>
  <c r="J150" i="3"/>
  <c r="J148" i="3"/>
  <c r="J146" i="3"/>
  <c r="J144" i="3"/>
  <c r="J142" i="3"/>
  <c r="J138" i="3"/>
  <c r="J134" i="3"/>
  <c r="J132" i="3"/>
  <c r="J130" i="3"/>
  <c r="J128" i="3"/>
  <c r="J126" i="3"/>
  <c r="J122" i="3"/>
  <c r="J118" i="3"/>
  <c r="J117" i="3"/>
  <c r="J111" i="3"/>
  <c r="J107" i="3"/>
  <c r="J105" i="3"/>
  <c r="J102" i="3"/>
  <c r="J100" i="3"/>
  <c r="J95" i="3"/>
  <c r="J90" i="3"/>
  <c r="J86" i="3"/>
  <c r="J84" i="3"/>
  <c r="J82" i="3"/>
  <c r="J80" i="3"/>
  <c r="J78" i="3"/>
  <c r="J74" i="3"/>
  <c r="J70" i="3"/>
  <c r="J69" i="3"/>
  <c r="J66" i="3"/>
  <c r="J64" i="3"/>
  <c r="J62" i="3"/>
  <c r="J59" i="3"/>
  <c r="J57" i="3"/>
  <c r="J54" i="3"/>
  <c r="J52" i="3"/>
  <c r="J47" i="3"/>
  <c r="J43" i="3"/>
  <c r="J41" i="3"/>
  <c r="J38" i="3"/>
  <c r="J36" i="3"/>
  <c r="J34" i="3"/>
  <c r="J32" i="3"/>
  <c r="J30" i="3"/>
  <c r="J27" i="3"/>
  <c r="J25" i="3"/>
  <c r="J21" i="3"/>
  <c r="J18" i="3"/>
  <c r="J7" i="3"/>
  <c r="K9" i="2"/>
  <c r="M9" i="2"/>
  <c r="H28" i="22" l="1"/>
</calcChain>
</file>

<file path=xl/sharedStrings.xml><?xml version="1.0" encoding="utf-8"?>
<sst xmlns="http://schemas.openxmlformats.org/spreadsheetml/2006/main" count="10505" uniqueCount="1656">
  <si>
    <t>Name</t>
  </si>
  <si>
    <t>Email</t>
  </si>
  <si>
    <t>Session Preference</t>
  </si>
  <si>
    <t>Attendance Type</t>
  </si>
  <si>
    <t>Workshops</t>
  </si>
  <si>
    <t>Dietary Preference</t>
  </si>
  <si>
    <t>Registration Date</t>
  </si>
  <si>
    <t>A0001</t>
  </si>
  <si>
    <t>Katherine Lewis</t>
  </si>
  <si>
    <t>michaelcole@gmail.com</t>
  </si>
  <si>
    <t>Technology</t>
  </si>
  <si>
    <t>In-Person</t>
  </si>
  <si>
    <t>None</t>
  </si>
  <si>
    <t>Vegetarian</t>
  </si>
  <si>
    <t>A0002</t>
  </si>
  <si>
    <t>Joshua Stephens</t>
  </si>
  <si>
    <t>erin02@robinson-moody.biz</t>
  </si>
  <si>
    <t>Marketing</t>
  </si>
  <si>
    <t>Workshop C</t>
  </si>
  <si>
    <t>Gluten-Free</t>
  </si>
  <si>
    <t>A0003</t>
  </si>
  <si>
    <t>Gabrielle Jennings</t>
  </si>
  <si>
    <t>william93@yahoo.com</t>
  </si>
  <si>
    <t>Leadership</t>
  </si>
  <si>
    <t>Online</t>
  </si>
  <si>
    <t>A0004</t>
  </si>
  <si>
    <t>Tina Carrillo</t>
  </si>
  <si>
    <t>marygarcia@gutierrez-tyler.com</t>
  </si>
  <si>
    <t>Workshop A</t>
  </si>
  <si>
    <t>A0005</t>
  </si>
  <si>
    <t>Bryan Hamilton</t>
  </si>
  <si>
    <t>antonio90@yahoo.com</t>
  </si>
  <si>
    <t>Workshop B</t>
  </si>
  <si>
    <t>Vegan</t>
  </si>
  <si>
    <t>A0006</t>
  </si>
  <si>
    <t>Tina Williams</t>
  </si>
  <si>
    <t>bmoore@gmail.com</t>
  </si>
  <si>
    <t>A0007</t>
  </si>
  <si>
    <t>Rebecca Tate</t>
  </si>
  <si>
    <t>millerfrank@gmail.com</t>
  </si>
  <si>
    <t>A0008</t>
  </si>
  <si>
    <t>Curtis Ortiz</t>
  </si>
  <si>
    <t>justinlopez@yahoo.com</t>
  </si>
  <si>
    <t>Non-Vegetarian</t>
  </si>
  <si>
    <t>A0009</t>
  </si>
  <si>
    <t>Christopher Burns</t>
  </si>
  <si>
    <t>brianna75@hotmail.com</t>
  </si>
  <si>
    <t>A0010</t>
  </si>
  <si>
    <t>Bethany Turner</t>
  </si>
  <si>
    <t>johnbullock@hotmail.com</t>
  </si>
  <si>
    <t>A0011</t>
  </si>
  <si>
    <t>Kimberly Anderson</t>
  </si>
  <si>
    <t>jenniferclark@yahoo.com</t>
  </si>
  <si>
    <t>A0012</t>
  </si>
  <si>
    <t>Timothy Butler</t>
  </si>
  <si>
    <t>ujennings@day.biz</t>
  </si>
  <si>
    <t>A0013</t>
  </si>
  <si>
    <t>Gloria Ryan</t>
  </si>
  <si>
    <t>michelemyers@hall-coleman.com</t>
  </si>
  <si>
    <t>A0014</t>
  </si>
  <si>
    <t>Darin Hampton</t>
  </si>
  <si>
    <t>bthornton@tran.com</t>
  </si>
  <si>
    <t>A0015</t>
  </si>
  <si>
    <t>Neil Lester</t>
  </si>
  <si>
    <t>miguelkim@harrington.com</t>
  </si>
  <si>
    <t>A0016</t>
  </si>
  <si>
    <t>Barbara Dominguez</t>
  </si>
  <si>
    <t>volson@jones-watts.com</t>
  </si>
  <si>
    <t>A0017</t>
  </si>
  <si>
    <t>David Williams</t>
  </si>
  <si>
    <t>hollymeadows@davis-allison.net</t>
  </si>
  <si>
    <t>A0018</t>
  </si>
  <si>
    <t>Nancy Lee</t>
  </si>
  <si>
    <t>stephen94@hotmail.com</t>
  </si>
  <si>
    <t>A0019</t>
  </si>
  <si>
    <t>Oscar Fowler</t>
  </si>
  <si>
    <t>uhayden@yahoo.com</t>
  </si>
  <si>
    <t>A0020</t>
  </si>
  <si>
    <t>Amy Miller</t>
  </si>
  <si>
    <t>susan21@yahoo.com</t>
  </si>
  <si>
    <t>A0021</t>
  </si>
  <si>
    <t>Lydia Mcdonald</t>
  </si>
  <si>
    <t>peggyfriedman@yahoo.com</t>
  </si>
  <si>
    <t>A0022</t>
  </si>
  <si>
    <t>Emily Mcdonald</t>
  </si>
  <si>
    <t>iwebb@mullins.com</t>
  </si>
  <si>
    <t>A0023</t>
  </si>
  <si>
    <t>Carolyn Graves</t>
  </si>
  <si>
    <t>brookenavarro@hotmail.com</t>
  </si>
  <si>
    <t>A0024</t>
  </si>
  <si>
    <t>Linda White</t>
  </si>
  <si>
    <t>nancy35@yahoo.com</t>
  </si>
  <si>
    <t>A0025</t>
  </si>
  <si>
    <t>Andrew Becker</t>
  </si>
  <si>
    <t>jeffreyshepherd@yahoo.com</t>
  </si>
  <si>
    <t>A0026</t>
  </si>
  <si>
    <t>Regina Zimmerman</t>
  </si>
  <si>
    <t>martindarrell@todd.com</t>
  </si>
  <si>
    <t>A0027</t>
  </si>
  <si>
    <t>Meagan Wheeler</t>
  </si>
  <si>
    <t>rsmith@schmidt.com</t>
  </si>
  <si>
    <t>A0028</t>
  </si>
  <si>
    <t>Lisa Green</t>
  </si>
  <si>
    <t>anthony55@gmail.com</t>
  </si>
  <si>
    <t>A0029</t>
  </si>
  <si>
    <t>Tammy Brown</t>
  </si>
  <si>
    <t>brittany10@williams-smith.com</t>
  </si>
  <si>
    <t>A0030</t>
  </si>
  <si>
    <t>Debbie Bryant MD</t>
  </si>
  <si>
    <t>kjohnson@yahoo.com</t>
  </si>
  <si>
    <t>A0031</t>
  </si>
  <si>
    <t>Felicia Parker</t>
  </si>
  <si>
    <t>jeffreyrivera@watkins.com</t>
  </si>
  <si>
    <t>A0032</t>
  </si>
  <si>
    <t>Raven Cruz</t>
  </si>
  <si>
    <t>trevor71@gmail.com</t>
  </si>
  <si>
    <t>A0033</t>
  </si>
  <si>
    <t>Bethany Evans</t>
  </si>
  <si>
    <t>simsjoseph@yahoo.com</t>
  </si>
  <si>
    <t>A0034</t>
  </si>
  <si>
    <t>Jeremy Hogan</t>
  </si>
  <si>
    <t>njohnson@gray.net</t>
  </si>
  <si>
    <t>A0035</t>
  </si>
  <si>
    <t>Joan Foster</t>
  </si>
  <si>
    <t>abrown@gmail.com</t>
  </si>
  <si>
    <t>A0036</t>
  </si>
  <si>
    <t>Isaac Deleon</t>
  </si>
  <si>
    <t>michelleperry@day.com</t>
  </si>
  <si>
    <t>A0037</t>
  </si>
  <si>
    <t>Nathan Gonzales</t>
  </si>
  <si>
    <t>isaiahbuckley@yahoo.com</t>
  </si>
  <si>
    <t>A0038</t>
  </si>
  <si>
    <t>Dawn Ruiz</t>
  </si>
  <si>
    <t>ballcourtney@yahoo.com</t>
  </si>
  <si>
    <t>A0039</t>
  </si>
  <si>
    <t>Sharon George</t>
  </si>
  <si>
    <t>kristina80@nichols.com</t>
  </si>
  <si>
    <t>A0040</t>
  </si>
  <si>
    <t>Sarah Pratt</t>
  </si>
  <si>
    <t>srichards@gmail.com</t>
  </si>
  <si>
    <t>A0041</t>
  </si>
  <si>
    <t>Carlos Patrick</t>
  </si>
  <si>
    <t>devin54@carpenter.net</t>
  </si>
  <si>
    <t>A0042</t>
  </si>
  <si>
    <t>Kevin Morrison</t>
  </si>
  <si>
    <t>daviseric@gmail.com</t>
  </si>
  <si>
    <t>A0043</t>
  </si>
  <si>
    <t>Amber Vargas</t>
  </si>
  <si>
    <t>mkeller@miller-evans.com</t>
  </si>
  <si>
    <t>A0044</t>
  </si>
  <si>
    <t>Matthew Ayala</t>
  </si>
  <si>
    <t>carla47@boyer.com</t>
  </si>
  <si>
    <t>A0045</t>
  </si>
  <si>
    <t>Dylan Bowen</t>
  </si>
  <si>
    <t>crystal98@smith.net</t>
  </si>
  <si>
    <t>A0046</t>
  </si>
  <si>
    <t>Scott Moore</t>
  </si>
  <si>
    <t>paul42@gardner.biz</t>
  </si>
  <si>
    <t>A0047</t>
  </si>
  <si>
    <t>Richard Sawyer</t>
  </si>
  <si>
    <t>stevenanderson@gmail.com</t>
  </si>
  <si>
    <t>A0048</t>
  </si>
  <si>
    <t>Nicole Norris</t>
  </si>
  <si>
    <t>nmorris@yahoo.com</t>
  </si>
  <si>
    <t>A0049</t>
  </si>
  <si>
    <t>Patrick Farley</t>
  </si>
  <si>
    <t>moyerduane@page.net</t>
  </si>
  <si>
    <t>A0050</t>
  </si>
  <si>
    <t>Jacob Martinez</t>
  </si>
  <si>
    <t>lindamckenzie@yahoo.com</t>
  </si>
  <si>
    <t>A0051</t>
  </si>
  <si>
    <t>Julie Santiago</t>
  </si>
  <si>
    <t>jennifer57@wright.info</t>
  </si>
  <si>
    <t>A0052</t>
  </si>
  <si>
    <t>Rebecca Chapman</t>
  </si>
  <si>
    <t>sydneyhall@yahoo.com</t>
  </si>
  <si>
    <t>A0053</t>
  </si>
  <si>
    <t>Sarah Day</t>
  </si>
  <si>
    <t>antonio31@suarez.com</t>
  </si>
  <si>
    <t>A0054</t>
  </si>
  <si>
    <t>Laura Mueller</t>
  </si>
  <si>
    <t>webbmegan@murray.com</t>
  </si>
  <si>
    <t>A0055</t>
  </si>
  <si>
    <t>Bradley Rodgers</t>
  </si>
  <si>
    <t>jdunlap@gmail.com</t>
  </si>
  <si>
    <t>A0056</t>
  </si>
  <si>
    <t>Tracy Frazier</t>
  </si>
  <si>
    <t>michael45@yahoo.com</t>
  </si>
  <si>
    <t>A0057</t>
  </si>
  <si>
    <t>Michaela Mendoza</t>
  </si>
  <si>
    <t>klinecarlos@gmail.com</t>
  </si>
  <si>
    <t>A0058</t>
  </si>
  <si>
    <t>Kim Williams</t>
  </si>
  <si>
    <t>bradleymelissa@hotmail.com</t>
  </si>
  <si>
    <t>A0059</t>
  </si>
  <si>
    <t>Dustin Bird</t>
  </si>
  <si>
    <t>cantuscott@wilson.com</t>
  </si>
  <si>
    <t>A0060</t>
  </si>
  <si>
    <t>Jennifer Bell</t>
  </si>
  <si>
    <t>eatonlauren@yahoo.com</t>
  </si>
  <si>
    <t>A0061</t>
  </si>
  <si>
    <t>Kayla Burns</t>
  </si>
  <si>
    <t>anthony24@schmidt.biz</t>
  </si>
  <si>
    <t>A0062</t>
  </si>
  <si>
    <t>Natasha Schmidt</t>
  </si>
  <si>
    <t>mariopotts@burke.com</t>
  </si>
  <si>
    <t>A0063</t>
  </si>
  <si>
    <t>Kimberly Forbes</t>
  </si>
  <si>
    <t>blakeandrews@yahoo.com</t>
  </si>
  <si>
    <t>A0064</t>
  </si>
  <si>
    <t>Frank Stephens</t>
  </si>
  <si>
    <t>amymalone@mayer-roberson.com</t>
  </si>
  <si>
    <t>A0065</t>
  </si>
  <si>
    <t>James Heath</t>
  </si>
  <si>
    <t>morganstacy@chavez.info</t>
  </si>
  <si>
    <t>A0066</t>
  </si>
  <si>
    <t>Cody Parker</t>
  </si>
  <si>
    <t>xdeleon@reynolds-smith.com</t>
  </si>
  <si>
    <t>A0067</t>
  </si>
  <si>
    <t>Bradley Griffin</t>
  </si>
  <si>
    <t>john38@evans-johnson.com</t>
  </si>
  <si>
    <t>A0068</t>
  </si>
  <si>
    <t>James Hood</t>
  </si>
  <si>
    <t>mary24@espinoza.com</t>
  </si>
  <si>
    <t>A0069</t>
  </si>
  <si>
    <t>Shannon Bradford</t>
  </si>
  <si>
    <t>ewhite@gmail.com</t>
  </si>
  <si>
    <t>A0070</t>
  </si>
  <si>
    <t>Kimberly Saunders</t>
  </si>
  <si>
    <t>mpetty@wood.org</t>
  </si>
  <si>
    <t>A0071</t>
  </si>
  <si>
    <t>Michelle Chavez</t>
  </si>
  <si>
    <t>natalieclayton@contreras-reilly.org</t>
  </si>
  <si>
    <t>A0072</t>
  </si>
  <si>
    <t>Laurie Scott</t>
  </si>
  <si>
    <t>ashley48@roberts-osborne.com</t>
  </si>
  <si>
    <t>A0073</t>
  </si>
  <si>
    <t>Patrick Cox</t>
  </si>
  <si>
    <t>grant63@gmail.com</t>
  </si>
  <si>
    <t>A0074</t>
  </si>
  <si>
    <t>Courtney Conner</t>
  </si>
  <si>
    <t>matthewsjessica@stevens-baker.org</t>
  </si>
  <si>
    <t>A0075</t>
  </si>
  <si>
    <t>Robert Roberts</t>
  </si>
  <si>
    <t>milleralex@johnson.biz</t>
  </si>
  <si>
    <t>A0076</t>
  </si>
  <si>
    <t>Heather Rivera</t>
  </si>
  <si>
    <t>stacy40@gmail.com</t>
  </si>
  <si>
    <t>A0077</t>
  </si>
  <si>
    <t>Nicholas Moran</t>
  </si>
  <si>
    <t>morgan12@yahoo.com</t>
  </si>
  <si>
    <t>A0078</t>
  </si>
  <si>
    <t>Timothy Cook</t>
  </si>
  <si>
    <t>livingstonrichard@yahoo.com</t>
  </si>
  <si>
    <t>A0079</t>
  </si>
  <si>
    <t>Robert Parks</t>
  </si>
  <si>
    <t>sreynolds@anderson.com</t>
  </si>
  <si>
    <t>A0080</t>
  </si>
  <si>
    <t>Edward Barker</t>
  </si>
  <si>
    <t>courtney57@gmail.com</t>
  </si>
  <si>
    <t>A0081</t>
  </si>
  <si>
    <t>William Pierce</t>
  </si>
  <si>
    <t>hoffmancraig@mckenzie.com</t>
  </si>
  <si>
    <t>A0082</t>
  </si>
  <si>
    <t>Judith Miller</t>
  </si>
  <si>
    <t>zacharyroy@gmail.com</t>
  </si>
  <si>
    <t>A0083</t>
  </si>
  <si>
    <t>Alan Liu</t>
  </si>
  <si>
    <t>wrangel@hotmail.com</t>
  </si>
  <si>
    <t>A0084</t>
  </si>
  <si>
    <t>James Villarreal</t>
  </si>
  <si>
    <t>henry03@obrien.net</t>
  </si>
  <si>
    <t>A0085</t>
  </si>
  <si>
    <t>Christopher Boyer</t>
  </si>
  <si>
    <t>michaelunderwood@gmail.com</t>
  </si>
  <si>
    <t>A0086</t>
  </si>
  <si>
    <t>Colin Kramer</t>
  </si>
  <si>
    <t>shawnoconnor@hotmail.com</t>
  </si>
  <si>
    <t>A0087</t>
  </si>
  <si>
    <t>Jacob Benton</t>
  </si>
  <si>
    <t>nathan01@costa-thomas.info</t>
  </si>
  <si>
    <t>A0088</t>
  </si>
  <si>
    <t>Elizabeth Orozco</t>
  </si>
  <si>
    <t>pamelagonzalez@rodriguez.com</t>
  </si>
  <si>
    <t>A0089</t>
  </si>
  <si>
    <t>Christopher Potts</t>
  </si>
  <si>
    <t>cynthia21@foley.com</t>
  </si>
  <si>
    <t>A0090</t>
  </si>
  <si>
    <t>Rodney Jones</t>
  </si>
  <si>
    <t>vaughncaleb@yahoo.com</t>
  </si>
  <si>
    <t>A0091</t>
  </si>
  <si>
    <t>Carlos Ray</t>
  </si>
  <si>
    <t>matthewhayes@gibson-tucker.org</t>
  </si>
  <si>
    <t>A0092</t>
  </si>
  <si>
    <t>Veronica Wall</t>
  </si>
  <si>
    <t>riggsjeffrey@jackson.com</t>
  </si>
  <si>
    <t>A0093</t>
  </si>
  <si>
    <t>Susan Johnson</t>
  </si>
  <si>
    <t>larryewing@hotmail.com</t>
  </si>
  <si>
    <t>A0094</t>
  </si>
  <si>
    <t>Sarah Lewis</t>
  </si>
  <si>
    <t>williamramos@wood.com</t>
  </si>
  <si>
    <t>A0095</t>
  </si>
  <si>
    <t>Mark Patterson</t>
  </si>
  <si>
    <t>davenportrobert@johnson.biz</t>
  </si>
  <si>
    <t>A0096</t>
  </si>
  <si>
    <t>Stephanie Davis</t>
  </si>
  <si>
    <t>james41@jackson.com</t>
  </si>
  <si>
    <t>A0097</t>
  </si>
  <si>
    <t>Julia Brown</t>
  </si>
  <si>
    <t>gonzalesjames@gmail.com</t>
  </si>
  <si>
    <t>A0098</t>
  </si>
  <si>
    <t>James Kane</t>
  </si>
  <si>
    <t>deanmolly@hall.com</t>
  </si>
  <si>
    <t>A0099</t>
  </si>
  <si>
    <t>Melissa Parker</t>
  </si>
  <si>
    <t>nicoleflores@davis-hernandez.com</t>
  </si>
  <si>
    <t>A0100</t>
  </si>
  <si>
    <t>Emily Williams</t>
  </si>
  <si>
    <t>hpotts@yahoo.com</t>
  </si>
  <si>
    <t>Target profit</t>
  </si>
  <si>
    <t>Marketing costs</t>
  </si>
  <si>
    <t>Operational costs</t>
  </si>
  <si>
    <t>CONFERENCE ATTENDANCE</t>
  </si>
  <si>
    <t>* Admission Prices are in Euro</t>
  </si>
  <si>
    <t xml:space="preserve"> </t>
  </si>
  <si>
    <t>AttendeeID</t>
  </si>
  <si>
    <t>Workshop</t>
  </si>
  <si>
    <t>Particulars</t>
  </si>
  <si>
    <t>Price</t>
  </si>
  <si>
    <t>Input Userform</t>
  </si>
  <si>
    <t>Edit User Form</t>
  </si>
  <si>
    <t>Criteria</t>
  </si>
  <si>
    <t>Selection</t>
  </si>
  <si>
    <r>
      <t>Amount (</t>
    </r>
    <r>
      <rPr>
        <sz val="11"/>
        <color theme="1"/>
        <rFont val="Aptos Narrow"/>
        <family val="2"/>
      </rPr>
      <t>€</t>
    </r>
    <r>
      <rPr>
        <sz val="11"/>
        <color theme="1"/>
        <rFont val="Calibri"/>
        <family val="2"/>
        <scheme val="minor"/>
      </rPr>
      <t>)</t>
    </r>
  </si>
  <si>
    <t>Finance</t>
  </si>
  <si>
    <t>Total</t>
  </si>
  <si>
    <t>Business</t>
  </si>
  <si>
    <t>Education</t>
  </si>
  <si>
    <t>Not-Required</t>
  </si>
  <si>
    <t>Hospitality</t>
  </si>
  <si>
    <t>Profit of 50k</t>
  </si>
  <si>
    <t>Investment</t>
  </si>
  <si>
    <t>Health Care</t>
  </si>
  <si>
    <t>Tourism</t>
  </si>
  <si>
    <t>Unlimited</t>
  </si>
  <si>
    <t>Ernest Barnes</t>
  </si>
  <si>
    <t>Andrea Baker</t>
  </si>
  <si>
    <t>Rebecca Parker</t>
  </si>
  <si>
    <t>Laura Murray</t>
  </si>
  <si>
    <t>Linda Hines</t>
  </si>
  <si>
    <t>Jasmine Fletcher</t>
  </si>
  <si>
    <t>Dylan Rangel</t>
  </si>
  <si>
    <t>William Velez</t>
  </si>
  <si>
    <t>Steven Murphy</t>
  </si>
  <si>
    <t>Michael Moore</t>
  </si>
  <si>
    <t>Priscilla Collins PhD</t>
  </si>
  <si>
    <t>Laurie Smith</t>
  </si>
  <si>
    <t>Casey Thomas</t>
  </si>
  <si>
    <t>Rachel Friedman</t>
  </si>
  <si>
    <t>Edward Torres</t>
  </si>
  <si>
    <t>Samuel Zavala</t>
  </si>
  <si>
    <t>Sara Lee</t>
  </si>
  <si>
    <t>Curtis Rodriguez</t>
  </si>
  <si>
    <t>Stephanie Schmidt</t>
  </si>
  <si>
    <t>John Matthews</t>
  </si>
  <si>
    <t>Robert Chung</t>
  </si>
  <si>
    <t>Mark Garcia</t>
  </si>
  <si>
    <t>Brandon Taylor</t>
  </si>
  <si>
    <t>Angie Sanchez</t>
  </si>
  <si>
    <t>Alexis King</t>
  </si>
  <si>
    <t>Michael Davidson</t>
  </si>
  <si>
    <t>Jaime Flynn</t>
  </si>
  <si>
    <t>Heather Hart</t>
  </si>
  <si>
    <t>Diamond Wilson</t>
  </si>
  <si>
    <t>Paul Williams</t>
  </si>
  <si>
    <t>Reginald Cunningham</t>
  </si>
  <si>
    <t>Willie Sims</t>
  </si>
  <si>
    <t>Alex Brown</t>
  </si>
  <si>
    <t>Virginia Holden</t>
  </si>
  <si>
    <t>John Smith</t>
  </si>
  <si>
    <t>Jennifer Barton</t>
  </si>
  <si>
    <t>Richard Holt</t>
  </si>
  <si>
    <t>Amy Green</t>
  </si>
  <si>
    <t>Kimberly Perez</t>
  </si>
  <si>
    <t>Carly Armstrong</t>
  </si>
  <si>
    <t>Scott Hammond</t>
  </si>
  <si>
    <t>Debra Fuller</t>
  </si>
  <si>
    <t>Rachel Davis</t>
  </si>
  <si>
    <t>Michael Mccormick</t>
  </si>
  <si>
    <t>Ann Sullivan</t>
  </si>
  <si>
    <t>Rachel Wallace</t>
  </si>
  <si>
    <t>Carla Ferguson</t>
  </si>
  <si>
    <t>Greg Hardin</t>
  </si>
  <si>
    <t>Rachel Ho</t>
  </si>
  <si>
    <t>Elizabeth Joseph</t>
  </si>
  <si>
    <t>Stephen Brown</t>
  </si>
  <si>
    <t>Scott Ward</t>
  </si>
  <si>
    <t>Derrick Bailey</t>
  </si>
  <si>
    <t>Jessica Cole</t>
  </si>
  <si>
    <t>Reginald Russo</t>
  </si>
  <si>
    <t>William Sanchez</t>
  </si>
  <si>
    <t>Diane Rose</t>
  </si>
  <si>
    <t>Nathan Smith</t>
  </si>
  <si>
    <t>Andrew Bullock</t>
  </si>
  <si>
    <t>Nancy Mccormick</t>
  </si>
  <si>
    <t>Barbara Cole</t>
  </si>
  <si>
    <t>Sheri Aguilar</t>
  </si>
  <si>
    <t>Sandra Graham</t>
  </si>
  <si>
    <t>Christopher Cabrera</t>
  </si>
  <si>
    <t>Melinda Flores</t>
  </si>
  <si>
    <t>Michael Whitehead</t>
  </si>
  <si>
    <t>Brent Hamilton</t>
  </si>
  <si>
    <t>Jessica Bradford</t>
  </si>
  <si>
    <t>Marissa Robinson</t>
  </si>
  <si>
    <t>Jennifer Curry</t>
  </si>
  <si>
    <t>Teresa Maldonado</t>
  </si>
  <si>
    <t>Bryan Perez</t>
  </si>
  <si>
    <t>Timothy Horn</t>
  </si>
  <si>
    <t>Angela Williams</t>
  </si>
  <si>
    <t>Lee Ramirez MD</t>
  </si>
  <si>
    <t>Allen Hoffman</t>
  </si>
  <si>
    <t>Michael Yu</t>
  </si>
  <si>
    <t>Anthony Moss</t>
  </si>
  <si>
    <t>Tony Olson</t>
  </si>
  <si>
    <t>Clayton Cowan</t>
  </si>
  <si>
    <t>Raymond Young</t>
  </si>
  <si>
    <t>Lisa Schroeder</t>
  </si>
  <si>
    <t>Kristin Roberts</t>
  </si>
  <si>
    <t>Howard Williams</t>
  </si>
  <si>
    <t>Jennifer Murphy</t>
  </si>
  <si>
    <t>Joshua Delacruz</t>
  </si>
  <si>
    <t>Colleen Murphy</t>
  </si>
  <si>
    <t>Rebecca Hebert</t>
  </si>
  <si>
    <t>Robert Campbell</t>
  </si>
  <si>
    <t>Matthew Lang</t>
  </si>
  <si>
    <t>David Mcgee</t>
  </si>
  <si>
    <t>Jill Key</t>
  </si>
  <si>
    <t>Nicole Campbell</t>
  </si>
  <si>
    <t>James Hill</t>
  </si>
  <si>
    <t>Daniel Richard</t>
  </si>
  <si>
    <t>Jacob Porter</t>
  </si>
  <si>
    <t>Susan Wilson</t>
  </si>
  <si>
    <t>Barbara Alvarez</t>
  </si>
  <si>
    <t>Noah Bowers</t>
  </si>
  <si>
    <t>Thomas Morales</t>
  </si>
  <si>
    <t>Christopher Wilson</t>
  </si>
  <si>
    <t>Marcus Mitchell</t>
  </si>
  <si>
    <t>Joshua Bailey</t>
  </si>
  <si>
    <t>Dennis Weaver</t>
  </si>
  <si>
    <t>William Gordon</t>
  </si>
  <si>
    <t>Nicholas Acosta</t>
  </si>
  <si>
    <t>Angel Smith</t>
  </si>
  <si>
    <t>Rebecca Brooks</t>
  </si>
  <si>
    <t>John Rojas</t>
  </si>
  <si>
    <t>Julie Rivera</t>
  </si>
  <si>
    <t>Roberto Watson</t>
  </si>
  <si>
    <t>Joseph Yu</t>
  </si>
  <si>
    <t>George Campbell</t>
  </si>
  <si>
    <t>Edwin Norton</t>
  </si>
  <si>
    <t>Leslie Lewis</t>
  </si>
  <si>
    <t>Wendy Adkins</t>
  </si>
  <si>
    <t>Brenda Rodgers</t>
  </si>
  <si>
    <t>Michael Griffin MD</t>
  </si>
  <si>
    <t>Todd Cox</t>
  </si>
  <si>
    <t>Linda Anderson</t>
  </si>
  <si>
    <t>Sharon Nelson</t>
  </si>
  <si>
    <t>Mario Bennett</t>
  </si>
  <si>
    <t>Kristin Campos</t>
  </si>
  <si>
    <t>Tamara Kennedy</t>
  </si>
  <si>
    <t>Tiffany Phillips</t>
  </si>
  <si>
    <t>Larry Velasquez</t>
  </si>
  <si>
    <t>Troy Wolf</t>
  </si>
  <si>
    <t>Richard Jones</t>
  </si>
  <si>
    <t>Samantha Porter</t>
  </si>
  <si>
    <t>Michael Bass</t>
  </si>
  <si>
    <t>Glen Chavez</t>
  </si>
  <si>
    <t>Rebecca Jones</t>
  </si>
  <si>
    <t>Veronica Allen</t>
  </si>
  <si>
    <t>Mike Anderson</t>
  </si>
  <si>
    <t>James Foster</t>
  </si>
  <si>
    <t>Brian Fisher</t>
  </si>
  <si>
    <t>Elizabeth Wilson</t>
  </si>
  <si>
    <t>Joshua Graham</t>
  </si>
  <si>
    <t>Kevin Lee</t>
  </si>
  <si>
    <t>Eric Pugh</t>
  </si>
  <si>
    <t>Kendra Kent</t>
  </si>
  <si>
    <t>Ashley Hall</t>
  </si>
  <si>
    <t>Rodney Bailey</t>
  </si>
  <si>
    <t>Pamela West</t>
  </si>
  <si>
    <t>Patrick Curry</t>
  </si>
  <si>
    <t>Stacey Chan</t>
  </si>
  <si>
    <t>Patricia Serrano</t>
  </si>
  <si>
    <t>John Anderson</t>
  </si>
  <si>
    <t>Dawn Adams</t>
  </si>
  <si>
    <t>Molly Mclaughlin</t>
  </si>
  <si>
    <t>Amanda Fox</t>
  </si>
  <si>
    <t>Rose Gutierrez</t>
  </si>
  <si>
    <t>Alexander Bass</t>
  </si>
  <si>
    <t>Leslie Wilson</t>
  </si>
  <si>
    <t>Emily Pennington</t>
  </si>
  <si>
    <t>Mary Mendez</t>
  </si>
  <si>
    <t>Rebecca Price</t>
  </si>
  <si>
    <t>Diana Mcdowell DDS</t>
  </si>
  <si>
    <t>Jennifer Terry</t>
  </si>
  <si>
    <t>Andrew Barnett</t>
  </si>
  <si>
    <t>Evelyn Day</t>
  </si>
  <si>
    <t>Natalie Anderson</t>
  </si>
  <si>
    <t>Kathryn Morgan</t>
  </si>
  <si>
    <t>Stacy Simmons</t>
  </si>
  <si>
    <t>Rebecca Reyes</t>
  </si>
  <si>
    <t>Tracey Hebert</t>
  </si>
  <si>
    <t>Jessica Cunningham</t>
  </si>
  <si>
    <t>Stephanie Rodriguez</t>
  </si>
  <si>
    <t>Richard Arias</t>
  </si>
  <si>
    <t>Courtney Barr</t>
  </si>
  <si>
    <t>Justin Webb</t>
  </si>
  <si>
    <t>Audrey Garcia</t>
  </si>
  <si>
    <t>George Mcgee</t>
  </si>
  <si>
    <t>Michelle Perez</t>
  </si>
  <si>
    <t>Kelly Rogers</t>
  </si>
  <si>
    <t>Kelly Daniels</t>
  </si>
  <si>
    <t>Chelsea Wilson</t>
  </si>
  <si>
    <t>Nicolas Adams</t>
  </si>
  <si>
    <t>Jane Mckinney</t>
  </si>
  <si>
    <t>Derrick Washington</t>
  </si>
  <si>
    <t>Molly Schultz</t>
  </si>
  <si>
    <t>Jesse Wright</t>
  </si>
  <si>
    <t>Paula Howard</t>
  </si>
  <si>
    <t>Norman Clark</t>
  </si>
  <si>
    <t>Sarah Carter</t>
  </si>
  <si>
    <t>Mary Robinson</t>
  </si>
  <si>
    <t>Sarah Wong</t>
  </si>
  <si>
    <t>Jonathan Torres</t>
  </si>
  <si>
    <t>Tammy Delgado</t>
  </si>
  <si>
    <t>Kimberly Frazier</t>
  </si>
  <si>
    <t>Victoria Herman</t>
  </si>
  <si>
    <t>Abigail Bowers</t>
  </si>
  <si>
    <t>Veronica Howard</t>
  </si>
  <si>
    <t>Jenna Harrington</t>
  </si>
  <si>
    <t>Elizabeth Hendrix</t>
  </si>
  <si>
    <t>Shannon Tate</t>
  </si>
  <si>
    <t>Virginia Jones</t>
  </si>
  <si>
    <t>Casey Cobb</t>
  </si>
  <si>
    <t>Timothy Kim</t>
  </si>
  <si>
    <t>Daniel Gilbert</t>
  </si>
  <si>
    <t>Cheryl Adams</t>
  </si>
  <si>
    <t>Luis Grant</t>
  </si>
  <si>
    <t>Kevin Blankenship</t>
  </si>
  <si>
    <t>Roberto Wolfe</t>
  </si>
  <si>
    <t>Lance Lopez</t>
  </si>
  <si>
    <t>Robert Baker</t>
  </si>
  <si>
    <t>Brianna Malone</t>
  </si>
  <si>
    <t>Paul Wilson</t>
  </si>
  <si>
    <t>Derek Peterson</t>
  </si>
  <si>
    <t>Brian Greene</t>
  </si>
  <si>
    <t>Seth Marshall</t>
  </si>
  <si>
    <t>Sarah Wagner</t>
  </si>
  <si>
    <t>Michael Rivas</t>
  </si>
  <si>
    <t>Amanda Myers</t>
  </si>
  <si>
    <t>Joshua Patrick</t>
  </si>
  <si>
    <t>Martin Mcknight</t>
  </si>
  <si>
    <t>Robert Wagner</t>
  </si>
  <si>
    <t>Leah Payne</t>
  </si>
  <si>
    <t>Victoria Stewart</t>
  </si>
  <si>
    <t>William Duncan</t>
  </si>
  <si>
    <t>Jonathan Kelly</t>
  </si>
  <si>
    <t>Erik Young</t>
  </si>
  <si>
    <t>Brittany Smith</t>
  </si>
  <si>
    <t>Jennifer Oliver</t>
  </si>
  <si>
    <t>Jennifer Cunningham</t>
  </si>
  <si>
    <t>Judy Lucero</t>
  </si>
  <si>
    <t>Stephanie Mccoy</t>
  </si>
  <si>
    <t>Amy Lee</t>
  </si>
  <si>
    <t>Phyllis Dunn</t>
  </si>
  <si>
    <t>Joseph Nichols</t>
  </si>
  <si>
    <t>Robert Gonzalez</t>
  </si>
  <si>
    <t>Jenna Castillo</t>
  </si>
  <si>
    <t>Karen Harris</t>
  </si>
  <si>
    <t>Kristen Williams</t>
  </si>
  <si>
    <t>Bradley Dickson</t>
  </si>
  <si>
    <t>Rodney Ford</t>
  </si>
  <si>
    <t>Christopher Giles</t>
  </si>
  <si>
    <t>Tracy Escobar</t>
  </si>
  <si>
    <t>Tracy Johnson</t>
  </si>
  <si>
    <t>Mark Cox MD</t>
  </si>
  <si>
    <t>Brooke Martin</t>
  </si>
  <si>
    <t>Victoria Vargas</t>
  </si>
  <si>
    <t>Amanda Johnson</t>
  </si>
  <si>
    <t>Kevin Wu</t>
  </si>
  <si>
    <t>Thomas Johnson</t>
  </si>
  <si>
    <t>Jamie Smith</t>
  </si>
  <si>
    <t>Brianna Montgomery</t>
  </si>
  <si>
    <t>Marie Sullivan</t>
  </si>
  <si>
    <t>Aaron Miller</t>
  </si>
  <si>
    <t>Roy Murphy</t>
  </si>
  <si>
    <t>Catherine Chan DDS</t>
  </si>
  <si>
    <t>Amy Khan</t>
  </si>
  <si>
    <t>Joshua Sullivan</t>
  </si>
  <si>
    <t>Brooke Mccarty</t>
  </si>
  <si>
    <t>Kelsey Herman</t>
  </si>
  <si>
    <t>Dakota Ponce</t>
  </si>
  <si>
    <t>Dawn Frost</t>
  </si>
  <si>
    <t>Cynthia Meadows</t>
  </si>
  <si>
    <t>Patrick Wood</t>
  </si>
  <si>
    <t>Patricia Green</t>
  </si>
  <si>
    <t>Diane Brown</t>
  </si>
  <si>
    <t>Michael Gibson</t>
  </si>
  <si>
    <t>Christopher Daniel</t>
  </si>
  <si>
    <t>Brandon Beck</t>
  </si>
  <si>
    <t>Jesse Salazar</t>
  </si>
  <si>
    <t>Faith Davis</t>
  </si>
  <si>
    <t>Richard Ferguson</t>
  </si>
  <si>
    <t>Jimmy Burch</t>
  </si>
  <si>
    <t>Kyle Singh</t>
  </si>
  <si>
    <t>Tammy Hill</t>
  </si>
  <si>
    <t>Teresa Parrish</t>
  </si>
  <si>
    <t>Cody Smith</t>
  </si>
  <si>
    <t>Stephen Dickerson</t>
  </si>
  <si>
    <t>Kimberly Olson</t>
  </si>
  <si>
    <t>Ashley Smith</t>
  </si>
  <si>
    <t>Alec Johnson</t>
  </si>
  <si>
    <t>Jasmin Schultz</t>
  </si>
  <si>
    <t>Henry Atkins</t>
  </si>
  <si>
    <t>Stephen Banks</t>
  </si>
  <si>
    <t>Ashley Vasquez</t>
  </si>
  <si>
    <t>Michael Cline</t>
  </si>
  <si>
    <t>Craig Oconnor</t>
  </si>
  <si>
    <t>Michael Johnson</t>
  </si>
  <si>
    <t>James Jacobs</t>
  </si>
  <si>
    <t>Zachary Kelly</t>
  </si>
  <si>
    <t>Raymond Hawkins</t>
  </si>
  <si>
    <t>Phillip Allen</t>
  </si>
  <si>
    <t>Adam Day</t>
  </si>
  <si>
    <t>Lisa Morgan</t>
  </si>
  <si>
    <t>Brian Williams</t>
  </si>
  <si>
    <t>James Bentley</t>
  </si>
  <si>
    <t>Jessica Day</t>
  </si>
  <si>
    <t>Douglas Cordova MD</t>
  </si>
  <si>
    <t>Anthony Stein</t>
  </si>
  <si>
    <t>Michael Reed</t>
  </si>
  <si>
    <t>Tina Andrews</t>
  </si>
  <si>
    <t>Peggy Woods</t>
  </si>
  <si>
    <t>Lucas Davis</t>
  </si>
  <si>
    <t>Natasha Blankenship</t>
  </si>
  <si>
    <t>Allison Jimenez</t>
  </si>
  <si>
    <t>Tonya Taylor</t>
  </si>
  <si>
    <t>Jennifer Higgins</t>
  </si>
  <si>
    <t>Glenn Love</t>
  </si>
  <si>
    <t>Joshua Salinas</t>
  </si>
  <si>
    <t>Jennifer Allen</t>
  </si>
  <si>
    <t>Mary Daniels</t>
  </si>
  <si>
    <t>Katelyn Mendoza</t>
  </si>
  <si>
    <t>Derrick Snyder</t>
  </si>
  <si>
    <t>Thomas Watkins</t>
  </si>
  <si>
    <t>Timothy Pierce</t>
  </si>
  <si>
    <t>Gregory Green</t>
  </si>
  <si>
    <t>Taylor Gordon</t>
  </si>
  <si>
    <t>Adam Blackwell</t>
  </si>
  <si>
    <t>Arthur Evans</t>
  </si>
  <si>
    <t>Hunter Adkins</t>
  </si>
  <si>
    <t>Kyle Brown</t>
  </si>
  <si>
    <t>Rebecca Pittman</t>
  </si>
  <si>
    <t>Rachel Dillon</t>
  </si>
  <si>
    <t>Nancy White</t>
  </si>
  <si>
    <t>Jamie Ramirez</t>
  </si>
  <si>
    <t>Maxwell Adams</t>
  </si>
  <si>
    <t>Donald Hamilton</t>
  </si>
  <si>
    <t>Ronald Alvarez</t>
  </si>
  <si>
    <t>John Petersen</t>
  </si>
  <si>
    <t>Samuel Nguyen</t>
  </si>
  <si>
    <t>Justin Carter</t>
  </si>
  <si>
    <t>Ronald Donovan</t>
  </si>
  <si>
    <t>Jon Smith DDS</t>
  </si>
  <si>
    <t>John Miller</t>
  </si>
  <si>
    <t>Charles Taylor</t>
  </si>
  <si>
    <t>Bryan Phillips</t>
  </si>
  <si>
    <t>Gregory Gilbert</t>
  </si>
  <si>
    <t>Linda Henry</t>
  </si>
  <si>
    <t>Dominique Weber</t>
  </si>
  <si>
    <t>Brianna Sullivan</t>
  </si>
  <si>
    <t>Johnathan Richards</t>
  </si>
  <si>
    <t>Jonathan Riley</t>
  </si>
  <si>
    <t>Brandon Villegas</t>
  </si>
  <si>
    <t>Jennifer Moody</t>
  </si>
  <si>
    <t>Gary Boyle</t>
  </si>
  <si>
    <t>David Dyer</t>
  </si>
  <si>
    <t>Bryan Brown</t>
  </si>
  <si>
    <t>Brittney West</t>
  </si>
  <si>
    <t>Robert Serrano</t>
  </si>
  <si>
    <t>James Palmer</t>
  </si>
  <si>
    <t>Micheal Randolph</t>
  </si>
  <si>
    <t>Shannon Wilcox</t>
  </si>
  <si>
    <t>Brian Brown</t>
  </si>
  <si>
    <t>Kenneth Powell</t>
  </si>
  <si>
    <t>Maria Murray</t>
  </si>
  <si>
    <t>Jennifer Villegas</t>
  </si>
  <si>
    <t>Joseph Marshall</t>
  </si>
  <si>
    <t>Alexander Allen</t>
  </si>
  <si>
    <t>Johnny Brooks</t>
  </si>
  <si>
    <t>Alicia Jackson</t>
  </si>
  <si>
    <t>Teresa Moore</t>
  </si>
  <si>
    <t>Teresa Campbell</t>
  </si>
  <si>
    <t>Richard Trevino</t>
  </si>
  <si>
    <t>Roger Johnson</t>
  </si>
  <si>
    <t>Jamie Johnson</t>
  </si>
  <si>
    <t>Thomas Todd</t>
  </si>
  <si>
    <t>Debra Cabrera</t>
  </si>
  <si>
    <t>Steven Smith</t>
  </si>
  <si>
    <t>Alexander Mejia</t>
  </si>
  <si>
    <t>Ethan Salas</t>
  </si>
  <si>
    <t>Daniel Malone</t>
  </si>
  <si>
    <t>Dustin Luna</t>
  </si>
  <si>
    <t>Robert Leonard</t>
  </si>
  <si>
    <t>Michael Adams</t>
  </si>
  <si>
    <t>Jennifer Hayes</t>
  </si>
  <si>
    <t>Kevin Chang</t>
  </si>
  <si>
    <t>Joanna Schmidt</t>
  </si>
  <si>
    <t>Ronald Richard</t>
  </si>
  <si>
    <t>Monica Gibbs</t>
  </si>
  <si>
    <t>James Deleon</t>
  </si>
  <si>
    <t>Shannon Cook</t>
  </si>
  <si>
    <t>Maria French</t>
  </si>
  <si>
    <t>Stephanie Williams</t>
  </si>
  <si>
    <t>Barbara Gomez</t>
  </si>
  <si>
    <t>Julian Tucker</t>
  </si>
  <si>
    <t>Sheena Humphrey</t>
  </si>
  <si>
    <t>Jessica Johnson</t>
  </si>
  <si>
    <t>Michael Nguyen</t>
  </si>
  <si>
    <t>Carol Bowen</t>
  </si>
  <si>
    <t>Lisa Fields MD</t>
  </si>
  <si>
    <t>Lauren Cain</t>
  </si>
  <si>
    <t>Christine Norman</t>
  </si>
  <si>
    <t>Michael Anderson</t>
  </si>
  <si>
    <t>Christopher Holder</t>
  </si>
  <si>
    <t>A0101</t>
  </si>
  <si>
    <t>A0102</t>
  </si>
  <si>
    <t>A0103</t>
  </si>
  <si>
    <t>A0104</t>
  </si>
  <si>
    <t>A0105</t>
  </si>
  <si>
    <t>A0106</t>
  </si>
  <si>
    <t>A0107</t>
  </si>
  <si>
    <t>A0108</t>
  </si>
  <si>
    <t>A0109</t>
  </si>
  <si>
    <t>A0110</t>
  </si>
  <si>
    <t>A0111</t>
  </si>
  <si>
    <t>A0112</t>
  </si>
  <si>
    <t>A0113</t>
  </si>
  <si>
    <t>A0114</t>
  </si>
  <si>
    <t>A0115</t>
  </si>
  <si>
    <t>A0116</t>
  </si>
  <si>
    <t>A0117</t>
  </si>
  <si>
    <t>A0118</t>
  </si>
  <si>
    <t>A0119</t>
  </si>
  <si>
    <t>A0120</t>
  </si>
  <si>
    <t>A0121</t>
  </si>
  <si>
    <t>A0122</t>
  </si>
  <si>
    <t>A0123</t>
  </si>
  <si>
    <t>A0124</t>
  </si>
  <si>
    <t>A0125</t>
  </si>
  <si>
    <t>A0126</t>
  </si>
  <si>
    <t>A0127</t>
  </si>
  <si>
    <t>A0128</t>
  </si>
  <si>
    <t>A0129</t>
  </si>
  <si>
    <t>A0130</t>
  </si>
  <si>
    <t>A0131</t>
  </si>
  <si>
    <t>A0132</t>
  </si>
  <si>
    <t>A0133</t>
  </si>
  <si>
    <t>A0134</t>
  </si>
  <si>
    <t>A0135</t>
  </si>
  <si>
    <t>A0136</t>
  </si>
  <si>
    <t>A0137</t>
  </si>
  <si>
    <t>A0138</t>
  </si>
  <si>
    <t>A0139</t>
  </si>
  <si>
    <t>A0140</t>
  </si>
  <si>
    <t>A0141</t>
  </si>
  <si>
    <t>A0142</t>
  </si>
  <si>
    <t>A0143</t>
  </si>
  <si>
    <t>A0144</t>
  </si>
  <si>
    <t>A0145</t>
  </si>
  <si>
    <t>A0146</t>
  </si>
  <si>
    <t>A0147</t>
  </si>
  <si>
    <t>A0148</t>
  </si>
  <si>
    <t>A0149</t>
  </si>
  <si>
    <t>A0150</t>
  </si>
  <si>
    <t>A0151</t>
  </si>
  <si>
    <t>A0152</t>
  </si>
  <si>
    <t>A0153</t>
  </si>
  <si>
    <t>A0154</t>
  </si>
  <si>
    <t>A0155</t>
  </si>
  <si>
    <t>A0156</t>
  </si>
  <si>
    <t>A0157</t>
  </si>
  <si>
    <t>A0158</t>
  </si>
  <si>
    <t>A0159</t>
  </si>
  <si>
    <t>A0160</t>
  </si>
  <si>
    <t>A0161</t>
  </si>
  <si>
    <t>A0162</t>
  </si>
  <si>
    <t>A0163</t>
  </si>
  <si>
    <t>A0164</t>
  </si>
  <si>
    <t>A0165</t>
  </si>
  <si>
    <t>A0166</t>
  </si>
  <si>
    <t>A0167</t>
  </si>
  <si>
    <t>A0168</t>
  </si>
  <si>
    <t>A0169</t>
  </si>
  <si>
    <t>A0170</t>
  </si>
  <si>
    <t>A0171</t>
  </si>
  <si>
    <t>A0172</t>
  </si>
  <si>
    <t>A0173</t>
  </si>
  <si>
    <t>A0174</t>
  </si>
  <si>
    <t>A0175</t>
  </si>
  <si>
    <t>A0176</t>
  </si>
  <si>
    <t>A0177</t>
  </si>
  <si>
    <t>A0178</t>
  </si>
  <si>
    <t>A0179</t>
  </si>
  <si>
    <t>A0180</t>
  </si>
  <si>
    <t>A0181</t>
  </si>
  <si>
    <t>A0182</t>
  </si>
  <si>
    <t>A0183</t>
  </si>
  <si>
    <t>A0184</t>
  </si>
  <si>
    <t>A0185</t>
  </si>
  <si>
    <t>A0186</t>
  </si>
  <si>
    <t>A0187</t>
  </si>
  <si>
    <t>A0188</t>
  </si>
  <si>
    <t>A0189</t>
  </si>
  <si>
    <t>A0190</t>
  </si>
  <si>
    <t>A0191</t>
  </si>
  <si>
    <t>A0192</t>
  </si>
  <si>
    <t>A0193</t>
  </si>
  <si>
    <t>A0194</t>
  </si>
  <si>
    <t>A0195</t>
  </si>
  <si>
    <t>A0196</t>
  </si>
  <si>
    <t>A0197</t>
  </si>
  <si>
    <t>A0198</t>
  </si>
  <si>
    <t>A0199</t>
  </si>
  <si>
    <t>A0200</t>
  </si>
  <si>
    <t>A0201</t>
  </si>
  <si>
    <t>A0202</t>
  </si>
  <si>
    <t>A0203</t>
  </si>
  <si>
    <t>A0204</t>
  </si>
  <si>
    <t>A0205</t>
  </si>
  <si>
    <t>A0206</t>
  </si>
  <si>
    <t>A0207</t>
  </si>
  <si>
    <t>A0208</t>
  </si>
  <si>
    <t>A0209</t>
  </si>
  <si>
    <t>A0210</t>
  </si>
  <si>
    <t>A0211</t>
  </si>
  <si>
    <t>A0212</t>
  </si>
  <si>
    <t>A0213</t>
  </si>
  <si>
    <t>A0214</t>
  </si>
  <si>
    <t>A0215</t>
  </si>
  <si>
    <t>A0216</t>
  </si>
  <si>
    <t>A0217</t>
  </si>
  <si>
    <t>A0218</t>
  </si>
  <si>
    <t>A0219</t>
  </si>
  <si>
    <t>A0220</t>
  </si>
  <si>
    <t>A0221</t>
  </si>
  <si>
    <t>A0222</t>
  </si>
  <si>
    <t>A0223</t>
  </si>
  <si>
    <t>A0224</t>
  </si>
  <si>
    <t>A0225</t>
  </si>
  <si>
    <t>A0226</t>
  </si>
  <si>
    <t>A0227</t>
  </si>
  <si>
    <t>A0228</t>
  </si>
  <si>
    <t>A0229</t>
  </si>
  <si>
    <t>A0230</t>
  </si>
  <si>
    <t>A0231</t>
  </si>
  <si>
    <t>A0232</t>
  </si>
  <si>
    <t>A0233</t>
  </si>
  <si>
    <t>A0234</t>
  </si>
  <si>
    <t>A0235</t>
  </si>
  <si>
    <t>A0236</t>
  </si>
  <si>
    <t>A0237</t>
  </si>
  <si>
    <t>A0238</t>
  </si>
  <si>
    <t>A0239</t>
  </si>
  <si>
    <t>A0240</t>
  </si>
  <si>
    <t>A0241</t>
  </si>
  <si>
    <t>A0242</t>
  </si>
  <si>
    <t>A0243</t>
  </si>
  <si>
    <t>A0244</t>
  </si>
  <si>
    <t>A0245</t>
  </si>
  <si>
    <t>A0246</t>
  </si>
  <si>
    <t>A0247</t>
  </si>
  <si>
    <t>A0248</t>
  </si>
  <si>
    <t>A0249</t>
  </si>
  <si>
    <t>A0250</t>
  </si>
  <si>
    <t>A0251</t>
  </si>
  <si>
    <t>A0252</t>
  </si>
  <si>
    <t>A0253</t>
  </si>
  <si>
    <t>A0254</t>
  </si>
  <si>
    <t>A0255</t>
  </si>
  <si>
    <t>A0256</t>
  </si>
  <si>
    <t>A0257</t>
  </si>
  <si>
    <t>A0258</t>
  </si>
  <si>
    <t>A0259</t>
  </si>
  <si>
    <t>A0260</t>
  </si>
  <si>
    <t>A0261</t>
  </si>
  <si>
    <t>A0262</t>
  </si>
  <si>
    <t>A0263</t>
  </si>
  <si>
    <t>A0264</t>
  </si>
  <si>
    <t>A0265</t>
  </si>
  <si>
    <t>A0266</t>
  </si>
  <si>
    <t>A0267</t>
  </si>
  <si>
    <t>A0268</t>
  </si>
  <si>
    <t>A0269</t>
  </si>
  <si>
    <t>A0270</t>
  </si>
  <si>
    <t>A0271</t>
  </si>
  <si>
    <t>A0272</t>
  </si>
  <si>
    <t>A0273</t>
  </si>
  <si>
    <t>A0274</t>
  </si>
  <si>
    <t>A0275</t>
  </si>
  <si>
    <t>A0276</t>
  </si>
  <si>
    <t>A0277</t>
  </si>
  <si>
    <t>A0278</t>
  </si>
  <si>
    <t>A0279</t>
  </si>
  <si>
    <t>A0280</t>
  </si>
  <si>
    <t>A0281</t>
  </si>
  <si>
    <t>A0282</t>
  </si>
  <si>
    <t>A0283</t>
  </si>
  <si>
    <t>A0284</t>
  </si>
  <si>
    <t>A0285</t>
  </si>
  <si>
    <t>A0286</t>
  </si>
  <si>
    <t>A0287</t>
  </si>
  <si>
    <t>A0288</t>
  </si>
  <si>
    <t>A0289</t>
  </si>
  <si>
    <t>A0290</t>
  </si>
  <si>
    <t>A0291</t>
  </si>
  <si>
    <t>A0292</t>
  </si>
  <si>
    <t>A0293</t>
  </si>
  <si>
    <t>A0294</t>
  </si>
  <si>
    <t>A0295</t>
  </si>
  <si>
    <t>A0296</t>
  </si>
  <si>
    <t>A0297</t>
  </si>
  <si>
    <t>A0298</t>
  </si>
  <si>
    <t>A0299</t>
  </si>
  <si>
    <t>A0300</t>
  </si>
  <si>
    <t>A0301</t>
  </si>
  <si>
    <t>A0302</t>
  </si>
  <si>
    <t>A0303</t>
  </si>
  <si>
    <t>A0304</t>
  </si>
  <si>
    <t>A0305</t>
  </si>
  <si>
    <t>A0306</t>
  </si>
  <si>
    <t>A0307</t>
  </si>
  <si>
    <t>A0308</t>
  </si>
  <si>
    <t>A0309</t>
  </si>
  <si>
    <t>A0310</t>
  </si>
  <si>
    <t>A0311</t>
  </si>
  <si>
    <t>A0312</t>
  </si>
  <si>
    <t>A0313</t>
  </si>
  <si>
    <t>A0314</t>
  </si>
  <si>
    <t>A0315</t>
  </si>
  <si>
    <t>A0316</t>
  </si>
  <si>
    <t>A0317</t>
  </si>
  <si>
    <t>A0318</t>
  </si>
  <si>
    <t>A0319</t>
  </si>
  <si>
    <t>A0320</t>
  </si>
  <si>
    <t>A0321</t>
  </si>
  <si>
    <t>A0322</t>
  </si>
  <si>
    <t>A0323</t>
  </si>
  <si>
    <t>A0324</t>
  </si>
  <si>
    <t>A0325</t>
  </si>
  <si>
    <t>A0326</t>
  </si>
  <si>
    <t>A0327</t>
  </si>
  <si>
    <t>A0328</t>
  </si>
  <si>
    <t>A0329</t>
  </si>
  <si>
    <t>A0330</t>
  </si>
  <si>
    <t>A0331</t>
  </si>
  <si>
    <t>A0332</t>
  </si>
  <si>
    <t>A0333</t>
  </si>
  <si>
    <t>A0334</t>
  </si>
  <si>
    <t>A0335</t>
  </si>
  <si>
    <t>A0336</t>
  </si>
  <si>
    <t>A0337</t>
  </si>
  <si>
    <t>A0338</t>
  </si>
  <si>
    <t>A0339</t>
  </si>
  <si>
    <t>A0340</t>
  </si>
  <si>
    <t>A0341</t>
  </si>
  <si>
    <t>A0342</t>
  </si>
  <si>
    <t>A0343</t>
  </si>
  <si>
    <t>A0344</t>
  </si>
  <si>
    <t>A0345</t>
  </si>
  <si>
    <t>A0346</t>
  </si>
  <si>
    <t>A0347</t>
  </si>
  <si>
    <t>A0348</t>
  </si>
  <si>
    <t>A0349</t>
  </si>
  <si>
    <t>A0350</t>
  </si>
  <si>
    <t>A0351</t>
  </si>
  <si>
    <t>A0352</t>
  </si>
  <si>
    <t>A0353</t>
  </si>
  <si>
    <t>A0354</t>
  </si>
  <si>
    <t>A0355</t>
  </si>
  <si>
    <t>A0356</t>
  </si>
  <si>
    <t>A0357</t>
  </si>
  <si>
    <t>A0358</t>
  </si>
  <si>
    <t>A0359</t>
  </si>
  <si>
    <t>A0360</t>
  </si>
  <si>
    <t>A0361</t>
  </si>
  <si>
    <t>A0362</t>
  </si>
  <si>
    <t>A0363</t>
  </si>
  <si>
    <t>A0364</t>
  </si>
  <si>
    <t>A0365</t>
  </si>
  <si>
    <t>A0366</t>
  </si>
  <si>
    <t>A0367</t>
  </si>
  <si>
    <t>A0368</t>
  </si>
  <si>
    <t>A0369</t>
  </si>
  <si>
    <t>A0370</t>
  </si>
  <si>
    <t>A0371</t>
  </si>
  <si>
    <t>A0372</t>
  </si>
  <si>
    <t>A0373</t>
  </si>
  <si>
    <t>A0374</t>
  </si>
  <si>
    <t>A0375</t>
  </si>
  <si>
    <t>A0376</t>
  </si>
  <si>
    <t>A0377</t>
  </si>
  <si>
    <t>A0378</t>
  </si>
  <si>
    <t>A0379</t>
  </si>
  <si>
    <t>A0380</t>
  </si>
  <si>
    <t>A0381</t>
  </si>
  <si>
    <t>A0382</t>
  </si>
  <si>
    <t>A0383</t>
  </si>
  <si>
    <t>A0384</t>
  </si>
  <si>
    <t>A0385</t>
  </si>
  <si>
    <t>A0386</t>
  </si>
  <si>
    <t>A0387</t>
  </si>
  <si>
    <t>A0388</t>
  </si>
  <si>
    <t>A0389</t>
  </si>
  <si>
    <t>A0390</t>
  </si>
  <si>
    <t>A0391</t>
  </si>
  <si>
    <t>A0392</t>
  </si>
  <si>
    <t>A0393</t>
  </si>
  <si>
    <t>A0394</t>
  </si>
  <si>
    <t>A0395</t>
  </si>
  <si>
    <t>A0396</t>
  </si>
  <si>
    <t>A0397</t>
  </si>
  <si>
    <t>A0398</t>
  </si>
  <si>
    <t>A0399</t>
  </si>
  <si>
    <t>A0400</t>
  </si>
  <si>
    <t>A0401</t>
  </si>
  <si>
    <t>A0402</t>
  </si>
  <si>
    <t>A0403</t>
  </si>
  <si>
    <t>A0404</t>
  </si>
  <si>
    <t>A0405</t>
  </si>
  <si>
    <t>A0406</t>
  </si>
  <si>
    <t>A0407</t>
  </si>
  <si>
    <t>A0408</t>
  </si>
  <si>
    <t>A0409</t>
  </si>
  <si>
    <t>A0410</t>
  </si>
  <si>
    <t>A0411</t>
  </si>
  <si>
    <t>A0412</t>
  </si>
  <si>
    <t>A0413</t>
  </si>
  <si>
    <t>A0414</t>
  </si>
  <si>
    <t>A0415</t>
  </si>
  <si>
    <t>A0416</t>
  </si>
  <si>
    <t>A0417</t>
  </si>
  <si>
    <t>A0418</t>
  </si>
  <si>
    <t>A0419</t>
  </si>
  <si>
    <t>A0420</t>
  </si>
  <si>
    <t>A0421</t>
  </si>
  <si>
    <t>A0422</t>
  </si>
  <si>
    <t>A0423</t>
  </si>
  <si>
    <t>A0424</t>
  </si>
  <si>
    <t>A0425</t>
  </si>
  <si>
    <t>A0426</t>
  </si>
  <si>
    <t>A0427</t>
  </si>
  <si>
    <t>A0428</t>
  </si>
  <si>
    <t>A0429</t>
  </si>
  <si>
    <t>A0430</t>
  </si>
  <si>
    <t>A0431</t>
  </si>
  <si>
    <t>A0432</t>
  </si>
  <si>
    <t>A0433</t>
  </si>
  <si>
    <t>A0434</t>
  </si>
  <si>
    <t>A0435</t>
  </si>
  <si>
    <t>A0436</t>
  </si>
  <si>
    <t>A0437</t>
  </si>
  <si>
    <t>A0438</t>
  </si>
  <si>
    <t>A0439</t>
  </si>
  <si>
    <t>A0440</t>
  </si>
  <si>
    <t>A0441</t>
  </si>
  <si>
    <t>A0442</t>
  </si>
  <si>
    <t>A0443</t>
  </si>
  <si>
    <t>A0444</t>
  </si>
  <si>
    <t>A0445</t>
  </si>
  <si>
    <t>A0446</t>
  </si>
  <si>
    <t>A0447</t>
  </si>
  <si>
    <t>A0448</t>
  </si>
  <si>
    <t>A0449</t>
  </si>
  <si>
    <t>A0450</t>
  </si>
  <si>
    <t>A0451</t>
  </si>
  <si>
    <t>A0452</t>
  </si>
  <si>
    <t>A0453</t>
  </si>
  <si>
    <t>A0454</t>
  </si>
  <si>
    <t>A0455</t>
  </si>
  <si>
    <t>A0456</t>
  </si>
  <si>
    <t>A0457</t>
  </si>
  <si>
    <t>A0458</t>
  </si>
  <si>
    <t>A0459</t>
  </si>
  <si>
    <t>A0460</t>
  </si>
  <si>
    <t>A0461</t>
  </si>
  <si>
    <t>A0462</t>
  </si>
  <si>
    <t>A0463</t>
  </si>
  <si>
    <t>A0464</t>
  </si>
  <si>
    <t>A0465</t>
  </si>
  <si>
    <t>A0466</t>
  </si>
  <si>
    <t>A0467</t>
  </si>
  <si>
    <t>A0468</t>
  </si>
  <si>
    <t>A0469</t>
  </si>
  <si>
    <t>A0470</t>
  </si>
  <si>
    <t>A0471</t>
  </si>
  <si>
    <t>A0472</t>
  </si>
  <si>
    <t>A0473</t>
  </si>
  <si>
    <t>A0474</t>
  </si>
  <si>
    <t>A0475</t>
  </si>
  <si>
    <t>A0476</t>
  </si>
  <si>
    <t>A0477</t>
  </si>
  <si>
    <t>A0478</t>
  </si>
  <si>
    <t>A0479</t>
  </si>
  <si>
    <t>A0480</t>
  </si>
  <si>
    <t>A0481</t>
  </si>
  <si>
    <t>A0482</t>
  </si>
  <si>
    <t>A0483</t>
  </si>
  <si>
    <t>A0484</t>
  </si>
  <si>
    <t>A0485</t>
  </si>
  <si>
    <t>A0486</t>
  </si>
  <si>
    <t>A0487</t>
  </si>
  <si>
    <t>A0488</t>
  </si>
  <si>
    <t>A0489</t>
  </si>
  <si>
    <t>A0490</t>
  </si>
  <si>
    <t>A0491</t>
  </si>
  <si>
    <t>A0492</t>
  </si>
  <si>
    <t>A0493</t>
  </si>
  <si>
    <t>A0494</t>
  </si>
  <si>
    <t>A0495</t>
  </si>
  <si>
    <t>A0496</t>
  </si>
  <si>
    <t>A0497</t>
  </si>
  <si>
    <t>A0498</t>
  </si>
  <si>
    <t>A0499</t>
  </si>
  <si>
    <t>A0500</t>
  </si>
  <si>
    <t>lhines@verizon.com</t>
  </si>
  <si>
    <t>jfletcher43@xfinity.com</t>
  </si>
  <si>
    <t>michaelmoore81@outlook.com</t>
  </si>
  <si>
    <t>crodriguez@verizon.com</t>
  </si>
  <si>
    <t>stephanieschmidt@hotmail.com</t>
  </si>
  <si>
    <t>mgarcia16@comcast.net</t>
  </si>
  <si>
    <t>brandontaylor@hotmail.com</t>
  </si>
  <si>
    <t>michaeldavidson82@att.com</t>
  </si>
  <si>
    <t>jaimeflynn29@gmail.com</t>
  </si>
  <si>
    <t>jbarton@hotmail.com</t>
  </si>
  <si>
    <t>carmstrong@mail.com</t>
  </si>
  <si>
    <t>scotthammond41@verizon.com</t>
  </si>
  <si>
    <t>racheldavis@mail.com</t>
  </si>
  <si>
    <t>annsullivan@att.com</t>
  </si>
  <si>
    <t>andrewbullock17@hotmail.com</t>
  </si>
  <si>
    <t>jbradford@outlook.com</t>
  </si>
  <si>
    <t>marissarobinson@mail.com</t>
  </si>
  <si>
    <t>bryanperez@gmail.com</t>
  </si>
  <si>
    <t>lmd@yahoo.com</t>
  </si>
  <si>
    <t>ahoffman@protonmail.com</t>
  </si>
  <si>
    <t>joshuadelacruz@outlook.com</t>
  </si>
  <si>
    <t>rhebert34@zoho.com</t>
  </si>
  <si>
    <t>rcampbell@verizon.com</t>
  </si>
  <si>
    <t>jillkey89@att.com</t>
  </si>
  <si>
    <t>nicolecampbell26@zoho.com</t>
  </si>
  <si>
    <t>noahbowers@protonmail.com</t>
  </si>
  <si>
    <t>jbailey29@aol.com</t>
  </si>
  <si>
    <t>dweaver@yandex.com</t>
  </si>
  <si>
    <t>williamgordon@xfinity.com</t>
  </si>
  <si>
    <t>nacosta52@gmail.com</t>
  </si>
  <si>
    <t>julierivera@verizon.com</t>
  </si>
  <si>
    <t>leslielewis@xfinity.com</t>
  </si>
  <si>
    <t>mmd@hotmail.com</t>
  </si>
  <si>
    <t>lindaanderson@att.com</t>
  </si>
  <si>
    <t>larryvelasquez83@yahoo.com</t>
  </si>
  <si>
    <t>ericpugh@mail.com</t>
  </si>
  <si>
    <t>kkent@comcast.net</t>
  </si>
  <si>
    <t>rbailey@comcast.net</t>
  </si>
  <si>
    <t>patrickcurry89@att.com</t>
  </si>
  <si>
    <t>lesliewilson@comcast.net</t>
  </si>
  <si>
    <t>epennington@protonmail.com</t>
  </si>
  <si>
    <t>marymendez@protonmail.com</t>
  </si>
  <si>
    <t>ddds@comcast.net</t>
  </si>
  <si>
    <t>georgemcgee@comcast.net</t>
  </si>
  <si>
    <t>cwilson@yandex.com</t>
  </si>
  <si>
    <t>mschultz71@hotmail.com</t>
  </si>
  <si>
    <t>tammydelgado@comcast.net</t>
  </si>
  <si>
    <t>victoriaherman@zoho.com</t>
  </si>
  <si>
    <t>vhoward23@gmail.com</t>
  </si>
  <si>
    <t>ehendrix@yandex.com</t>
  </si>
  <si>
    <t>dgilbert@xfinity.com</t>
  </si>
  <si>
    <t>cadams@outlook.com</t>
  </si>
  <si>
    <t>rwolfe@yahoo.com</t>
  </si>
  <si>
    <t>llopez@verizon.com</t>
  </si>
  <si>
    <t>rbaker@zoho.com</t>
  </si>
  <si>
    <t>dpeterson@xfinity.com</t>
  </si>
  <si>
    <t>amandamyers@att.com</t>
  </si>
  <si>
    <t>joshuapatrick@xfinity.com</t>
  </si>
  <si>
    <t>victoriastewart31@yahoo.com</t>
  </si>
  <si>
    <t>mwright51@aol.com</t>
  </si>
  <si>
    <t>eyoung@gmail.com</t>
  </si>
  <si>
    <t>bsmith32@yandex.com</t>
  </si>
  <si>
    <t>amylee70@att.com</t>
  </si>
  <si>
    <t>pdunn@aol.com</t>
  </si>
  <si>
    <t>robertgonzalez@hotmail.com</t>
  </si>
  <si>
    <t>rodneyford39@mail.com</t>
  </si>
  <si>
    <t>cgiles29@comcast.net</t>
  </si>
  <si>
    <t>tjohnson85@hotmail.com</t>
  </si>
  <si>
    <t>markmd62@mail.com</t>
  </si>
  <si>
    <t>bmartin@aol.com</t>
  </si>
  <si>
    <t>tjohnson28@mail.com</t>
  </si>
  <si>
    <t>jsmith@gmail.com</t>
  </si>
  <si>
    <t>mariesullivan@yahoo.com</t>
  </si>
  <si>
    <t>rmurphy52@yahoo.com</t>
  </si>
  <si>
    <t>dakotaponce45@yandex.com</t>
  </si>
  <si>
    <t>cmeadows@hotmail.com</t>
  </si>
  <si>
    <t>mgibson36@hotmail.com</t>
  </si>
  <si>
    <t>faithdavis@yahoo.com</t>
  </si>
  <si>
    <t>rferguson@protonmail.com</t>
  </si>
  <si>
    <t>hatkins@mail.com</t>
  </si>
  <si>
    <t>jjacobs70@hotmail.com</t>
  </si>
  <si>
    <t>adamday@mail.com</t>
  </si>
  <si>
    <t>lmorgan@hotmail.com</t>
  </si>
  <si>
    <t>mreed19@protonmail.com</t>
  </si>
  <si>
    <t>nblankenship@aol.com</t>
  </si>
  <si>
    <t>tonyataylor81@outlook.com</t>
  </si>
  <si>
    <t>jallen93@yahoo.com</t>
  </si>
  <si>
    <t>taylorgordon94@zoho.com</t>
  </si>
  <si>
    <t>nancywhite@att.com</t>
  </si>
  <si>
    <t>dhamilton@zoho.com</t>
  </si>
  <si>
    <t>jcarter47@mail.com</t>
  </si>
  <si>
    <t>rdonovan@verizon.com</t>
  </si>
  <si>
    <t>jondds@outlook.com</t>
  </si>
  <si>
    <t>johnmiller90@gmail.com</t>
  </si>
  <si>
    <t>ggilbert@yandex.com</t>
  </si>
  <si>
    <t>johnathanrichards30@att.com</t>
  </si>
  <si>
    <t>bbrown@yahoo.com</t>
  </si>
  <si>
    <t>michealrandolph@comcast.net</t>
  </si>
  <si>
    <t>mariamurray@yandex.com</t>
  </si>
  <si>
    <t>jvillegas@xfinity.com</t>
  </si>
  <si>
    <t>teresamoore86@protonmail.com</t>
  </si>
  <si>
    <t>jamiejohnson52@comcast.net</t>
  </si>
  <si>
    <t>amejia@gmail.com</t>
  </si>
  <si>
    <t>christopherholder30@aol.com</t>
  </si>
  <si>
    <t>Dr Victor Martin</t>
  </si>
  <si>
    <t>Mrs Alicia Williams</t>
  </si>
  <si>
    <t>Mrs Debra Jackson DDS</t>
  </si>
  <si>
    <t>Dr Michael Gallegos</t>
  </si>
  <si>
    <t>Christopher Briggs Jr</t>
  </si>
  <si>
    <t>Mr Ryan Wright</t>
  </si>
  <si>
    <t>Mrs Shannon Riggs</t>
  </si>
  <si>
    <t>Dr Stephanie Martinez</t>
  </si>
  <si>
    <t>Mrs Peggy Martinez DVM</t>
  </si>
  <si>
    <t>Anthony Lewis Jr</t>
  </si>
  <si>
    <t>Mr Jeffrey Thompson DDS</t>
  </si>
  <si>
    <t>ernestbarnes31@outlook.com</t>
  </si>
  <si>
    <t>andreabaker94@aol.com</t>
  </si>
  <si>
    <t>rebeccaparker@comcast.net</t>
  </si>
  <si>
    <t>lauram@gmail.com</t>
  </si>
  <si>
    <t>rangeldylan@comcast.net</t>
  </si>
  <si>
    <t>velezwilliam@mail.com</t>
  </si>
  <si>
    <t>stevenmurphy54@aol.com</t>
  </si>
  <si>
    <t>phdpriscilla74@att.com</t>
  </si>
  <si>
    <t>smithlaurie@att.com</t>
  </si>
  <si>
    <t>caseyt78@outlook.com</t>
  </si>
  <si>
    <t>rachelf@protonmail.com</t>
  </si>
  <si>
    <t>edwardt@zoho.com</t>
  </si>
  <si>
    <t>zavalasamuel46@xfinity.com</t>
  </si>
  <si>
    <t>drmartin@xfinity.com</t>
  </si>
  <si>
    <t>saral@hotmail.com</t>
  </si>
  <si>
    <t>johnmatthews@aol.com</t>
  </si>
  <si>
    <t>robertchung47@yandex.com</t>
  </si>
  <si>
    <t>angiesanchez@att.com</t>
  </si>
  <si>
    <t>kingalexis70@hotmail.com</t>
  </si>
  <si>
    <t>mrsw61@yandex.com</t>
  </si>
  <si>
    <t>heatherh@xfinity.com</t>
  </si>
  <si>
    <t>wilsondiamond@comcast.net</t>
  </si>
  <si>
    <t>williamspaul@xfinity.com</t>
  </si>
  <si>
    <t>reginaldc57@outlook.com</t>
  </si>
  <si>
    <t>willies@yahoo.com</t>
  </si>
  <si>
    <t>alexb@zoho.com</t>
  </si>
  <si>
    <t>virginiah@aol.com</t>
  </si>
  <si>
    <t>johnsmith@xfinity.com</t>
  </si>
  <si>
    <t>richardholt@hotmail.com</t>
  </si>
  <si>
    <t>amygreen56@gmail.com</t>
  </si>
  <si>
    <t>perezkimberly84@hotmail.com</t>
  </si>
  <si>
    <t>debrafuller@protonmail.com</t>
  </si>
  <si>
    <t>mccormickmichael19@aol.com</t>
  </si>
  <si>
    <t>rachelw79@xfinity.com</t>
  </si>
  <si>
    <t>carlaferguson@att.com</t>
  </si>
  <si>
    <t>hardingreg@gmail.com</t>
  </si>
  <si>
    <t>horachel74@aol.com</t>
  </si>
  <si>
    <t>josephelizabeth@yandex.com</t>
  </si>
  <si>
    <t>stephenbrown@att.com</t>
  </si>
  <si>
    <t>scottward11@hotmail.com</t>
  </si>
  <si>
    <t>derrickbailey@protonmail.com</t>
  </si>
  <si>
    <t>jessicacole@yahoo.com</t>
  </si>
  <si>
    <t>russoreginald65@comcast.net</t>
  </si>
  <si>
    <t>williamsanchez@mail.com</t>
  </si>
  <si>
    <t>dianerose@protonmail.com</t>
  </si>
  <si>
    <t>nathansmith@comcast.net</t>
  </si>
  <si>
    <t>nancym@protonmail.com</t>
  </si>
  <si>
    <t>barbaracole@hotmail.com</t>
  </si>
  <si>
    <t>aguilarsheri22@att.com</t>
  </si>
  <si>
    <t>sandragraham@xfinity.com</t>
  </si>
  <si>
    <t>cabrerachristopher@yahoo.com</t>
  </si>
  <si>
    <t>floresmelinda@yahoo.com</t>
  </si>
  <si>
    <t>michaelw@mail.com</t>
  </si>
  <si>
    <t>brenthamilton15@gmail.com</t>
  </si>
  <si>
    <t>jennifercurry@hotmail.com</t>
  </si>
  <si>
    <t>maldonadoteresa95@protonmail.com</t>
  </si>
  <si>
    <t>timothyh@yandex.com</t>
  </si>
  <si>
    <t>angelawilliams@xfinity.com</t>
  </si>
  <si>
    <t>michaelyu59@comcast.net</t>
  </si>
  <si>
    <t>anthonymoss18@yandex.com</t>
  </si>
  <si>
    <t>tonyo@outlook.com</t>
  </si>
  <si>
    <t>claytoncowan31@protonmail.com</t>
  </si>
  <si>
    <t>ddsmrs@att.com</t>
  </si>
  <si>
    <t>youngraymond92@verizon.com</t>
  </si>
  <si>
    <t>schroederlisa@comcast.net</t>
  </si>
  <si>
    <t>kristinroberts56@protonmail.com</t>
  </si>
  <si>
    <t>howardw@outlook.com</t>
  </si>
  <si>
    <t>murphyjennifer59@yandex.com</t>
  </si>
  <si>
    <t>colleenmurphy@mail.com</t>
  </si>
  <si>
    <t>langmatthew34@hotmail.com</t>
  </si>
  <si>
    <t>davidm@aol.com</t>
  </si>
  <si>
    <t>hilljames@mail.com</t>
  </si>
  <si>
    <t>danielr@xfinity.com</t>
  </si>
  <si>
    <t>porterjacob@verizon.com</t>
  </si>
  <si>
    <t>wilsonsusan@comcast.net</t>
  </si>
  <si>
    <t>barbaraa87@outlook.com</t>
  </si>
  <si>
    <t>moralesthomas@att.com</t>
  </si>
  <si>
    <t>christopherwilson@mail.com</t>
  </si>
  <si>
    <t>marcusmitchell40@hotmail.com</t>
  </si>
  <si>
    <t>angels@zoho.com</t>
  </si>
  <si>
    <t>rebeccabrooks84@yahoo.com</t>
  </si>
  <si>
    <t>johnr@gmail.com</t>
  </si>
  <si>
    <t>watsonroberto@xfinity.com</t>
  </si>
  <si>
    <t>josephyu48@aol.com</t>
  </si>
  <si>
    <t>campbellgeorge@zoho.com</t>
  </si>
  <si>
    <t>edwinnorton@aol.com</t>
  </si>
  <si>
    <t>adkinswendy86@gmail.com</t>
  </si>
  <si>
    <t>brendarodgers@xfinity.com</t>
  </si>
  <si>
    <t>toddcox97@verizon.com</t>
  </si>
  <si>
    <t>nelsonsharon70@xfinity.com</t>
  </si>
  <si>
    <t>mariobennett@hotmail.com</t>
  </si>
  <si>
    <t>kristincampos48@att.com</t>
  </si>
  <si>
    <t>kennedytamara@comcast.net</t>
  </si>
  <si>
    <t>tiffanyphillips@outlook.com</t>
  </si>
  <si>
    <t>wolftroy22@gmail.com</t>
  </si>
  <si>
    <t>richardj@att.com</t>
  </si>
  <si>
    <t>portersamantha@protonmail.com</t>
  </si>
  <si>
    <t>bassmichael@att.com</t>
  </si>
  <si>
    <t>chavezglen@xfinity.com</t>
  </si>
  <si>
    <t>jonesrebecca@comcast.net</t>
  </si>
  <si>
    <t>gallegosdr61@xfinity.com</t>
  </si>
  <si>
    <t>veronicaa@comcast.net</t>
  </si>
  <si>
    <t>andersonmike50@mail.com</t>
  </si>
  <si>
    <t>fosterjames@att.com</t>
  </si>
  <si>
    <t>brianfisher86@comcast.net</t>
  </si>
  <si>
    <t>elizabethw17@zoho.com</t>
  </si>
  <si>
    <t>joshuag42@gmail.com</t>
  </si>
  <si>
    <t>kevinlee17@verizon.com</t>
  </si>
  <si>
    <t>hallashley@zoho.com</t>
  </si>
  <si>
    <t>westpamela@zoho.com</t>
  </si>
  <si>
    <t>staceyc@yandex.com</t>
  </si>
  <si>
    <t>patricias@xfinity.com</t>
  </si>
  <si>
    <t>andersonjohn67@yandex.com</t>
  </si>
  <si>
    <t>dawna68@protonmail.com</t>
  </si>
  <si>
    <t>mollymclaughlin23@xfinity.com</t>
  </si>
  <si>
    <t>amandafox@verizon.com</t>
  </si>
  <si>
    <t>roseg65@outlook.com</t>
  </si>
  <si>
    <t>bassalexander65@zoho.com</t>
  </si>
  <si>
    <t>rebeccaprice@zoho.com</t>
  </si>
  <si>
    <t>jenniferterry58@outlook.com</t>
  </si>
  <si>
    <t>andrewb@yahoo.com</t>
  </si>
  <si>
    <t>dayevelyn@outlook.com</t>
  </si>
  <si>
    <t>andersonnatalie@gmail.com</t>
  </si>
  <si>
    <t>morgankathryn@mail.com</t>
  </si>
  <si>
    <t>stacysimmons@comcast.net</t>
  </si>
  <si>
    <t>reyesrebecca@xfinity.com</t>
  </si>
  <si>
    <t>traceyhebert39@xfinity.com</t>
  </si>
  <si>
    <t>jessicac20@aol.com</t>
  </si>
  <si>
    <t>stephanier@mail.com</t>
  </si>
  <si>
    <t>richardarias28@att.com</t>
  </si>
  <si>
    <t>barrcourtney@mail.com</t>
  </si>
  <si>
    <t>justinw@protonmail.com</t>
  </si>
  <si>
    <t>audreygarcia66@verizon.com</t>
  </si>
  <si>
    <t>michellep@xfinity.com</t>
  </si>
  <si>
    <t>rogerskelly@gmail.com</t>
  </si>
  <si>
    <t>kellyd@aol.com</t>
  </si>
  <si>
    <t>nicolasa@outlook.com</t>
  </si>
  <si>
    <t>mckinneyjane@comcast.net</t>
  </si>
  <si>
    <t>derrickw94@outlook.com</t>
  </si>
  <si>
    <t>jessewright@comcast.net</t>
  </si>
  <si>
    <t>paulahoward@xfinity.com</t>
  </si>
  <si>
    <t>normanc23@hotmail.com</t>
  </si>
  <si>
    <t>sarahc@comcast.net</t>
  </si>
  <si>
    <t>robinsonmary34@att.com</t>
  </si>
  <si>
    <t>sarahw@protonmail.com</t>
  </si>
  <si>
    <t>jonathant@comcast.net</t>
  </si>
  <si>
    <t>frazierkimberly@yandex.com</t>
  </si>
  <si>
    <t>abigailbowers@yahoo.com</t>
  </si>
  <si>
    <t>jennaharrington@protonmail.com</t>
  </si>
  <si>
    <t>tateshannon54@yahoo.com</t>
  </si>
  <si>
    <t>christopherj25@gmail.com</t>
  </si>
  <si>
    <t>jonesvirginia@zoho.com</t>
  </si>
  <si>
    <t>caseycobb89@outlook.com</t>
  </si>
  <si>
    <t>timothyk@xfinity.com</t>
  </si>
  <si>
    <t>luisgrant@aol.com</t>
  </si>
  <si>
    <t>kevinb@gmail.com</t>
  </si>
  <si>
    <t>malonebrianna70@comcast.net</t>
  </si>
  <si>
    <t>paulwilson@gmail.com</t>
  </si>
  <si>
    <t>greenebrian@comcast.net</t>
  </si>
  <si>
    <t>sethm@att.com</t>
  </si>
  <si>
    <t>wagnersarah@yandex.com</t>
  </si>
  <si>
    <t>rivasmichael63@xfinity.com</t>
  </si>
  <si>
    <t>mcknightmartin17@comcast.net</t>
  </si>
  <si>
    <t>robertwagner78@att.com</t>
  </si>
  <si>
    <t>leahpayne26@yahoo.com</t>
  </si>
  <si>
    <t>williamduncan26@hotmail.com</t>
  </si>
  <si>
    <t>kellyjonathan@zoho.com</t>
  </si>
  <si>
    <t>jenniferoliver@outlook.com</t>
  </si>
  <si>
    <t>jennifercunningham@comcast.net</t>
  </si>
  <si>
    <t>judylucero94@protonmail.com</t>
  </si>
  <si>
    <t>mccoystephanie@zoho.com</t>
  </si>
  <si>
    <t>josephn@yahoo.com</t>
  </si>
  <si>
    <t>castillojenna@yahoo.com</t>
  </si>
  <si>
    <t>karenh@protonmail.com</t>
  </si>
  <si>
    <t>kristenwilliams@protonmail.com</t>
  </si>
  <si>
    <t>dicksonbradley@yahoo.com</t>
  </si>
  <si>
    <t>tracyescobar85@gmail.com</t>
  </si>
  <si>
    <t>vargasvictoria86@mail.com</t>
  </si>
  <si>
    <t>amandajohnson30@att.com</t>
  </si>
  <si>
    <t>kevinwu@xfinity.com</t>
  </si>
  <si>
    <t>montgomerybrianna@xfinity.com</t>
  </si>
  <si>
    <t>aaronmiller@hotmail.com</t>
  </si>
  <si>
    <t>catherinedds@comcast.net</t>
  </si>
  <si>
    <t>amykhan@zoho.com</t>
  </si>
  <si>
    <t>joshuasullivan@comcast.net</t>
  </si>
  <si>
    <t>brookemccarty@protonmail.com</t>
  </si>
  <si>
    <t>hermankelsey34@mail.com</t>
  </si>
  <si>
    <t>frostdawn@verizon.com</t>
  </si>
  <si>
    <t>patrickw@mail.com</t>
  </si>
  <si>
    <t>greenpatricia@aol.com</t>
  </si>
  <si>
    <t>dianeb@xfinity.com</t>
  </si>
  <si>
    <t>christopherd99@yahoo.com</t>
  </si>
  <si>
    <t>brandonb51@xfinity.com</t>
  </si>
  <si>
    <t>jesses@yandex.com</t>
  </si>
  <si>
    <t>jimmyburch21@yahoo.com</t>
  </si>
  <si>
    <t>singhkyle@hotmail.com</t>
  </si>
  <si>
    <t>hilltammy@zoho.com</t>
  </si>
  <si>
    <t>parrishteresa@gmail.com</t>
  </si>
  <si>
    <t>riggsmrs@mail.com</t>
  </si>
  <si>
    <t>smithcody@comcast.net</t>
  </si>
  <si>
    <t>stephendickerson@att.com</t>
  </si>
  <si>
    <t>kimberlyolson@xfinity.com</t>
  </si>
  <si>
    <t>smithashley45@gmail.com</t>
  </si>
  <si>
    <t>alecjohnson67@yahoo.com</t>
  </si>
  <si>
    <t>jasminschultz@outlook.com</t>
  </si>
  <si>
    <t>stephenb83@gmail.com</t>
  </si>
  <si>
    <t>ashleyvasquez@yandex.com</t>
  </si>
  <si>
    <t>michaelc@mail.com</t>
  </si>
  <si>
    <t>oconnorcraig@verizon.com</t>
  </si>
  <si>
    <t>michaeljohnson@outlook.com</t>
  </si>
  <si>
    <t>zacharykelly@yandex.com</t>
  </si>
  <si>
    <t>raymondhawkins@verizon.com</t>
  </si>
  <si>
    <t>phillipa@att.com</t>
  </si>
  <si>
    <t>williamsbrian@comcast.net</t>
  </si>
  <si>
    <t>drmartinez@hotmail.com</t>
  </si>
  <si>
    <t>jamesbentley@xfinity.com</t>
  </si>
  <si>
    <t>jessicaday@yahoo.com</t>
  </si>
  <si>
    <t>douglasmd@protonmail.com</t>
  </si>
  <si>
    <t>anthonystein43@comcast.net</t>
  </si>
  <si>
    <t>tinaandrews@aol.com</t>
  </si>
  <si>
    <t>woodspeggy@mail.com</t>
  </si>
  <si>
    <t>davislucas@mail.com</t>
  </si>
  <si>
    <t>allisonj76@gmail.com</t>
  </si>
  <si>
    <t>higginsjennifer@yandex.com</t>
  </si>
  <si>
    <t>loveglenn33@zoho.com</t>
  </si>
  <si>
    <t>salinasjoshua32@aol.com</t>
  </si>
  <si>
    <t>maryd@comcast.net</t>
  </si>
  <si>
    <t>katelynmendoza@outlook.com</t>
  </si>
  <si>
    <t>snyderderrick@outlook.com</t>
  </si>
  <si>
    <t>thomaswatkins52@yandex.com</t>
  </si>
  <si>
    <t>piercetimothy86@verizon.com</t>
  </si>
  <si>
    <t>gregorygreen32@comcast.net</t>
  </si>
  <si>
    <t>adamb77@yahoo.com</t>
  </si>
  <si>
    <t>arthurevans@comcast.net</t>
  </si>
  <si>
    <t>hunteradkins97@att.com</t>
  </si>
  <si>
    <t>kylebrown@verizon.com</t>
  </si>
  <si>
    <t>rebeccap@yandex.com</t>
  </si>
  <si>
    <t>mrsdvm54@outlook.com</t>
  </si>
  <si>
    <t>racheld@aol.com</t>
  </si>
  <si>
    <t>ramirezjamie22@aol.com</t>
  </si>
  <si>
    <t>adamsmaxwell@outlook.com</t>
  </si>
  <si>
    <t>alvarezronald@yandex.com</t>
  </si>
  <si>
    <t>johnp@verizon.com</t>
  </si>
  <si>
    <t>samuelnguyen23@verizon.com</t>
  </si>
  <si>
    <t>charlestaylor@gmail.com</t>
  </si>
  <si>
    <t>bryanp@aol.com</t>
  </si>
  <si>
    <t>henrylinda@gmail.com</t>
  </si>
  <si>
    <t>dominiqueweber@verizon.com</t>
  </si>
  <si>
    <t>briannas86@xfinity.com</t>
  </si>
  <si>
    <t>rileyjonathan@mail.com</t>
  </si>
  <si>
    <t>villegasbrandon@xfinity.com</t>
  </si>
  <si>
    <t>jennifermoody@att.com</t>
  </si>
  <si>
    <t>garyb@yahoo.com</t>
  </si>
  <si>
    <t>dyerdavid@yandex.com</t>
  </si>
  <si>
    <t>brittneywest@outlook.com</t>
  </si>
  <si>
    <t>serranorobert@outlook.com</t>
  </si>
  <si>
    <t>jamespalmer54@hotmail.com</t>
  </si>
  <si>
    <t>shannonw89@yandex.com</t>
  </si>
  <si>
    <t>brownbrian28@protonmail.com</t>
  </si>
  <si>
    <t>kennethpowell16@mail.com</t>
  </si>
  <si>
    <t>marshalljoseph@yandex.com</t>
  </si>
  <si>
    <t>allenalexander@comcast.net</t>
  </si>
  <si>
    <t>brooksjohnny44@hotmail.com</t>
  </si>
  <si>
    <t>jacksonalicia65@hotmail.com</t>
  </si>
  <si>
    <t>campbellteresa@verizon.com</t>
  </si>
  <si>
    <t>trevinorichard80@zoho.com</t>
  </si>
  <si>
    <t>rogerj@protonmail.com</t>
  </si>
  <si>
    <t>thomastodd@outlook.com</t>
  </si>
  <si>
    <t>cabreradebra@aol.com</t>
  </si>
  <si>
    <t>anthonyj@gmail.com</t>
  </si>
  <si>
    <t>smithsteven@verizon.com</t>
  </si>
  <si>
    <t>salasethan88@hotmail.com</t>
  </si>
  <si>
    <t>danielmalone@zoho.com</t>
  </si>
  <si>
    <t>lunadustin@comcast.net</t>
  </si>
  <si>
    <t>robertleonard@outlook.com</t>
  </si>
  <si>
    <t>adamsmichael@xfinity.com</t>
  </si>
  <si>
    <t>hayesjennifer18@verizon.com</t>
  </si>
  <si>
    <t>changkevin@att.com</t>
  </si>
  <si>
    <t>joannaschmidt38@outlook.com</t>
  </si>
  <si>
    <t>ronaldr@xfinity.com</t>
  </si>
  <si>
    <t>monicag@att.com</t>
  </si>
  <si>
    <t>jamesd44@xfinity.com</t>
  </si>
  <si>
    <t>shannonc80@protonmail.com</t>
  </si>
  <si>
    <t>frenchmaria94@gmail.com</t>
  </si>
  <si>
    <t>stephaniew83@gmail.com</t>
  </si>
  <si>
    <t>barbaragomez56@outlook.com</t>
  </si>
  <si>
    <t>juliant58@gmail.com</t>
  </si>
  <si>
    <t>sheenahumphrey83@xfinity.com</t>
  </si>
  <si>
    <t>mrd@yahoo.com</t>
  </si>
  <si>
    <t>jessicajohnson@aol.com</t>
  </si>
  <si>
    <t>nguyenmichael@att.com</t>
  </si>
  <si>
    <t>bowencarol59@outlook.com</t>
  </si>
  <si>
    <t>lisam@yahoo.com</t>
  </si>
  <si>
    <t>cainlauren@comcast.net</t>
  </si>
  <si>
    <t>normanchristine@comcast.net</t>
  </si>
  <si>
    <t>michaela50@protonmail.com</t>
  </si>
  <si>
    <t>Start Date</t>
  </si>
  <si>
    <t>End Date</t>
  </si>
  <si>
    <t>values will be imported to J5 to J8 and L5 to L8 from userform mentioned above</t>
  </si>
  <si>
    <t>Total amount (K9 or M9) will be exported back to userform mentioned above</t>
  </si>
  <si>
    <t>(Attendance Type+Dietary Preference+Session Preference+Workshop) required for quickly filling admission prices using xlookup in main datasheet</t>
  </si>
  <si>
    <t>Userform Registration Date</t>
  </si>
  <si>
    <t>Workshop A1</t>
  </si>
  <si>
    <t>Workshop A2</t>
  </si>
  <si>
    <t>Workshop A3</t>
  </si>
  <si>
    <t>Workshop B1</t>
  </si>
  <si>
    <t>Workshop B2</t>
  </si>
  <si>
    <t>Workshop C1</t>
  </si>
  <si>
    <t>Workshop C2</t>
  </si>
  <si>
    <t>Workshop B3</t>
  </si>
  <si>
    <t>Workshop D1</t>
  </si>
  <si>
    <t>Workshop D2</t>
  </si>
  <si>
    <t>Premium</t>
  </si>
  <si>
    <t>Registrations</t>
  </si>
  <si>
    <t>Admission Price (€)</t>
  </si>
  <si>
    <t>Month</t>
  </si>
  <si>
    <t>Total_Ticket_Sales</t>
  </si>
  <si>
    <t>Month number</t>
  </si>
  <si>
    <t>TOTAL</t>
  </si>
  <si>
    <t>Ticket Sales Value</t>
  </si>
  <si>
    <t>No of Months</t>
  </si>
  <si>
    <t>Avg</t>
  </si>
  <si>
    <t>nil</t>
  </si>
  <si>
    <t>Forecast Months</t>
  </si>
  <si>
    <t>Forecast Registrations</t>
  </si>
  <si>
    <t>Forecasted Revenue</t>
  </si>
  <si>
    <t>Total Costs</t>
  </si>
  <si>
    <t>Forcasted Profit</t>
  </si>
  <si>
    <t>Revenue</t>
  </si>
  <si>
    <t>Profit</t>
  </si>
  <si>
    <t>Key Metrics</t>
  </si>
  <si>
    <t>Value</t>
  </si>
  <si>
    <t>Attendee HeadCount</t>
  </si>
  <si>
    <t>Sum of Admission Price (€)</t>
  </si>
  <si>
    <t>Row Labels</t>
  </si>
  <si>
    <t>Grand Total</t>
  </si>
  <si>
    <t>(All)</t>
  </si>
  <si>
    <t>Months (Registration Date)</t>
  </si>
  <si>
    <t>Quarters (Registration Date)</t>
  </si>
  <si>
    <t>Years (Registration Date)</t>
  </si>
  <si>
    <t>Count of AttendeeID</t>
  </si>
  <si>
    <t>Revenue (€)</t>
  </si>
  <si>
    <t>Session Type</t>
  </si>
  <si>
    <t>Registration</t>
  </si>
  <si>
    <t>Year</t>
  </si>
  <si>
    <t>extras---&gt;</t>
  </si>
  <si>
    <t>Profit of 100k</t>
  </si>
  <si>
    <t>Forecast(Total_Ticket_Sales)</t>
  </si>
  <si>
    <t>Confidence Interval(Total_Ticket_Sales)</t>
  </si>
  <si>
    <t>Forecast(Registrations)</t>
  </si>
  <si>
    <t>Confidence Interval(Registrations)</t>
  </si>
  <si>
    <t>Average</t>
  </si>
  <si>
    <t>Workshop 1</t>
  </si>
  <si>
    <t>Target Profit</t>
  </si>
  <si>
    <t>Total costs</t>
  </si>
  <si>
    <t>Forecasted Registrations</t>
  </si>
  <si>
    <t>Avg Ticket Price</t>
  </si>
  <si>
    <t>Goal Seek</t>
  </si>
  <si>
    <t>Senarios</t>
  </si>
  <si>
    <t>50k Profit</t>
  </si>
  <si>
    <t>Senario 1</t>
  </si>
  <si>
    <t>Senario 2</t>
  </si>
  <si>
    <t>Senario 3</t>
  </si>
  <si>
    <t>100k Profit</t>
  </si>
  <si>
    <t>200 Registrations at €308 Ticket Price</t>
  </si>
  <si>
    <t>250 Registrations at €227 Ticket Price</t>
  </si>
  <si>
    <t>200 Registrations at €699 Ticket Price</t>
  </si>
  <si>
    <t>600 Registrations at €227 Ticket Price</t>
  </si>
  <si>
    <t>250 Registrations at €238 Ticket Price</t>
  </si>
  <si>
    <t>350 Registrations at €386 Ticket Price</t>
  </si>
  <si>
    <t>2023</t>
  </si>
  <si>
    <t>Mar</t>
  </si>
  <si>
    <t>Jan</t>
  </si>
  <si>
    <t>Apr</t>
  </si>
  <si>
    <t>May</t>
  </si>
  <si>
    <t>Jul</t>
  </si>
  <si>
    <t>Aug</t>
  </si>
  <si>
    <t>Sep</t>
  </si>
  <si>
    <t>Oct</t>
  </si>
  <si>
    <t>Nov</t>
  </si>
  <si>
    <t>Dec</t>
  </si>
  <si>
    <t>2024</t>
  </si>
  <si>
    <t>2025</t>
  </si>
  <si>
    <t>TotalCost</t>
  </si>
  <si>
    <t>ForecastRegistration</t>
  </si>
  <si>
    <t>TicketPrice</t>
  </si>
  <si>
    <t>TargetProfit</t>
  </si>
  <si>
    <t>Profit50k_S1</t>
  </si>
  <si>
    <t>Profit 50k Senario 1</t>
  </si>
  <si>
    <t>Profit50k_S2</t>
  </si>
  <si>
    <t>Profit 50k Senario 2</t>
  </si>
  <si>
    <t>Profit50k_S3</t>
  </si>
  <si>
    <t>Profit 50k Senario 3</t>
  </si>
  <si>
    <t>Profit100k_S1</t>
  </si>
  <si>
    <t>Profit 100k Senario 1</t>
  </si>
  <si>
    <t>Profit100k_S2</t>
  </si>
  <si>
    <t>Profit 100k Senario 2</t>
  </si>
  <si>
    <t>Profit100k_S3</t>
  </si>
  <si>
    <t>Profit 100k Senario 3</t>
  </si>
  <si>
    <t>Scenario Summary</t>
  </si>
  <si>
    <t>Changing Cells:</t>
  </si>
  <si>
    <t>Current Values:</t>
  </si>
  <si>
    <t>Result Cells:</t>
  </si>
  <si>
    <t>Notes:  Current Values column represents values of changing cells at</t>
  </si>
  <si>
    <t>time Scenario Summary Report was created.  Changing cells for each</t>
  </si>
  <si>
    <t>scenario are highlighted in gray.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</si>
</sst>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2" formatCode="_ &quot;₹&quot;\ * #,##0_ ;_ &quot;₹&quot;\ * \-#,##0_ ;_ &quot;₹&quot;\ * &quot;-&quot;_ ;_ @_ "/>
    <numFmt numFmtId="41" formatCode="_ * #,##0_ ;_ * \-#,##0_ ;_ * &quot;-&quot;_ ;_ @_ "/>
    <numFmt numFmtId="44" formatCode="_ &quot;₹&quot;\ * #,##0.00_ ;_ &quot;₹&quot;\ * \-#,##0.00_ ;_ &quot;₹&quot;\ * &quot;-&quot;??_ ;_ @_ "/>
    <numFmt numFmtId="43" formatCode="_ * #,##0.00_ ;_ * \-#,##0.00_ ;_ * &quot;-&quot;??_ ;_ @_ "/>
    <numFmt numFmtId="164" formatCode="yyyy\-mm\-dd"/>
    <numFmt numFmtId="165" formatCode="_-* #,##0_-;\-* #,##0_-;_-* &quot;-&quot;??_-;_-@"/>
    <numFmt numFmtId="166" formatCode="[$-F800]dddd\,\ mmmm\ dd\,\ yyyy"/>
  </numFmts>
  <fonts count="35"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1"/>
      <color theme="1"/>
      <name val="Calibri"/>
      <family val="2"/>
    </font>
    <font>
      <sz val="11"/>
      <color theme="1"/>
      <name val="Calibri"/>
      <family val="2"/>
    </font>
    <font>
      <b/>
      <sz val="11"/>
      <color theme="1"/>
      <name val="Calibri"/>
      <family val="2"/>
      <scheme val="minor"/>
    </font>
    <font>
      <sz val="20"/>
      <color theme="0" tint="-4.9989318521683403E-2"/>
      <name val="Calibri"/>
      <family val="2"/>
      <scheme val="minor"/>
    </font>
    <font>
      <sz val="11"/>
      <color theme="1"/>
      <name val="Aptos Narrow"/>
      <family val="2"/>
    </font>
    <font>
      <sz val="11"/>
      <color rgb="FF000000"/>
      <name val="Calibri"/>
      <family val="2"/>
    </font>
    <font>
      <sz val="8"/>
      <name val="Calibri"/>
      <family val="2"/>
      <scheme val="minor"/>
    </font>
    <font>
      <b/>
      <sz val="11"/>
      <color theme="0"/>
      <name val="Calibri"/>
      <family val="2"/>
    </font>
    <font>
      <sz val="11"/>
      <color theme="1"/>
      <name val="Calibri"/>
      <family val="2"/>
      <scheme val="minor"/>
    </font>
    <font>
      <b/>
      <sz val="12"/>
      <color indexed="9"/>
      <name val="Calibri"/>
      <family val="2"/>
      <scheme val="minor"/>
    </font>
    <font>
      <b/>
      <sz val="11"/>
      <color indexed="8"/>
      <name val="Calibri"/>
      <family val="2"/>
      <scheme val="minor"/>
    </font>
    <font>
      <b/>
      <sz val="11"/>
      <color indexed="18"/>
      <name val="Calibri"/>
      <family val="2"/>
      <scheme val="minor"/>
    </font>
    <font>
      <sz val="10"/>
      <color indexed="9"/>
      <name val="Calibri"/>
      <family val="2"/>
      <scheme val="minor"/>
    </font>
    <font>
      <sz val="8"/>
      <color theme="1"/>
      <name val="Calibri"/>
      <family val="2"/>
      <scheme val="minor"/>
    </font>
  </fonts>
  <fills count="10">
    <fill>
      <patternFill patternType="none"/>
    </fill>
    <fill>
      <patternFill patternType="gray125"/>
    </fill>
    <fill>
      <patternFill patternType="solid">
        <fgColor theme="4" tint="-0.24994659260841701"/>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8" tint="-0.499984740745262"/>
        <bgColor indexed="64"/>
      </patternFill>
    </fill>
    <fill>
      <patternFill patternType="solid">
        <fgColor theme="4" tint="0.39997558519241921"/>
        <bgColor indexed="64"/>
      </patternFill>
    </fill>
    <fill>
      <patternFill patternType="solid">
        <fgColor indexed="20"/>
        <bgColor indexed="24"/>
      </patternFill>
    </fill>
    <fill>
      <patternFill patternType="solid">
        <fgColor indexed="22"/>
        <bgColor indexed="24"/>
      </patternFill>
    </fill>
    <fill>
      <patternFill patternType="solid">
        <fgColor indexed="22"/>
        <bgColor indexed="7"/>
      </patternFill>
    </fill>
  </fills>
  <borders count="13">
    <border>
      <left/>
      <right/>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style="thick">
        <color theme="0" tint="-0.24994659260841701"/>
      </left>
      <right style="thick">
        <color theme="0" tint="-0.24994659260841701"/>
      </right>
      <top style="thick">
        <color theme="0" tint="-0.24994659260841701"/>
      </top>
      <bottom style="thick">
        <color theme="0" tint="-0.24994659260841701"/>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medium">
        <color indexed="64"/>
      </top>
      <bottom/>
      <diagonal/>
    </border>
    <border>
      <left/>
      <right/>
      <top/>
      <bottom style="medium">
        <color indexed="64"/>
      </bottom>
      <diagonal/>
    </border>
    <border>
      <left/>
      <right/>
      <top/>
      <bottom style="thin">
        <color indexed="64"/>
      </bottom>
      <diagonal/>
    </border>
  </borders>
  <cellStyleXfs count="7">
    <xf numFmtId="0" fontId="0" fillId="0" borderId="0"/>
    <xf numFmtId="49" fontId="24" fillId="2" borderId="3">
      <alignment horizontal="left" vertical="center" readingOrder="1"/>
    </xf>
    <xf numFmtId="43" fontId="29" fillId="0" borderId="0" applyFont="0" applyFill="0" applyBorder="0" applyAlignment="0" applyProtection="0"/>
    <xf numFmtId="41" fontId="29" fillId="0" borderId="0" applyFont="0" applyFill="0" applyBorder="0" applyAlignment="0" applyProtection="0"/>
    <xf numFmtId="44" fontId="29" fillId="0" borderId="0" applyFont="0" applyFill="0" applyBorder="0" applyAlignment="0" applyProtection="0"/>
    <xf numFmtId="42" fontId="29" fillId="0" borderId="0" applyFont="0" applyFill="0" applyBorder="0" applyAlignment="0" applyProtection="0"/>
    <xf numFmtId="9" fontId="29" fillId="0" borderId="0" applyFont="0" applyFill="0" applyBorder="0" applyAlignment="0" applyProtection="0"/>
  </cellStyleXfs>
  <cellXfs count="99">
    <xf numFmtId="0" fontId="0" fillId="0" borderId="0" xfId="0"/>
    <xf numFmtId="0" fontId="21" fillId="0" borderId="1" xfId="0" applyFont="1" applyBorder="1" applyAlignment="1">
      <alignment horizontal="center" vertical="top"/>
    </xf>
    <xf numFmtId="164" fontId="22" fillId="0" borderId="0" xfId="0" applyNumberFormat="1" applyFont="1"/>
    <xf numFmtId="0" fontId="23" fillId="0" borderId="2" xfId="0" applyFont="1" applyBorder="1" applyAlignment="1">
      <alignment horizontal="center" vertical="center"/>
    </xf>
    <xf numFmtId="0" fontId="0" fillId="0" borderId="2" xfId="0" applyBorder="1" applyAlignment="1">
      <alignment horizontal="right" vertical="center"/>
    </xf>
    <xf numFmtId="0" fontId="21" fillId="0" borderId="4" xfId="0" applyFont="1" applyBorder="1" applyAlignment="1">
      <alignment horizontal="center" vertical="center" wrapText="1"/>
    </xf>
    <xf numFmtId="0" fontId="21" fillId="0" borderId="5" xfId="0" applyFont="1" applyBorder="1" applyAlignment="1">
      <alignment horizontal="center" vertical="center" wrapText="1"/>
    </xf>
    <xf numFmtId="0" fontId="21" fillId="0" borderId="6" xfId="0" applyFont="1" applyBorder="1" applyAlignment="1">
      <alignment horizontal="center" vertical="center" wrapText="1"/>
    </xf>
    <xf numFmtId="0" fontId="0" fillId="0" borderId="2" xfId="0" applyBorder="1" applyAlignment="1">
      <alignment horizontal="left" vertical="center"/>
    </xf>
    <xf numFmtId="0" fontId="20" fillId="0" borderId="0" xfId="0" applyFont="1"/>
    <xf numFmtId="0" fontId="20" fillId="0" borderId="2" xfId="0" applyFont="1" applyBorder="1" applyAlignment="1">
      <alignment horizontal="left" vertical="center"/>
    </xf>
    <xf numFmtId="0" fontId="20" fillId="0" borderId="2" xfId="0" applyFont="1" applyBorder="1" applyAlignment="1">
      <alignment horizontal="center" vertical="center"/>
    </xf>
    <xf numFmtId="0" fontId="20" fillId="0" borderId="2" xfId="0" applyFont="1" applyBorder="1" applyAlignment="1">
      <alignment horizontal="right" vertical="center"/>
    </xf>
    <xf numFmtId="3" fontId="0" fillId="0" borderId="2" xfId="0" applyNumberFormat="1" applyBorder="1" applyAlignment="1">
      <alignment horizontal="right" vertical="center"/>
    </xf>
    <xf numFmtId="0" fontId="19" fillId="0" borderId="2" xfId="0" applyFont="1" applyBorder="1" applyAlignment="1">
      <alignment horizontal="left" vertical="center"/>
    </xf>
    <xf numFmtId="0" fontId="19" fillId="0" borderId="2" xfId="0" applyFont="1" applyBorder="1" applyAlignment="1">
      <alignment horizontal="center" vertical="center"/>
    </xf>
    <xf numFmtId="3" fontId="19" fillId="0" borderId="2" xfId="0" applyNumberFormat="1" applyFont="1" applyBorder="1" applyAlignment="1">
      <alignment horizontal="right" vertical="center"/>
    </xf>
    <xf numFmtId="0" fontId="18" fillId="0" borderId="2" xfId="0" applyFont="1" applyBorder="1" applyAlignment="1">
      <alignment horizontal="left" vertical="center"/>
    </xf>
    <xf numFmtId="0" fontId="17" fillId="0" borderId="2" xfId="0" applyFont="1" applyBorder="1" applyAlignment="1">
      <alignment horizontal="left" vertical="center"/>
    </xf>
    <xf numFmtId="0" fontId="16" fillId="0" borderId="2" xfId="0" applyFont="1" applyBorder="1" applyAlignment="1">
      <alignment horizontal="left" vertical="center"/>
    </xf>
    <xf numFmtId="0" fontId="22" fillId="0" borderId="2" xfId="0" applyFont="1" applyBorder="1"/>
    <xf numFmtId="165" fontId="22" fillId="0" borderId="2" xfId="0" applyNumberFormat="1" applyFont="1" applyBorder="1"/>
    <xf numFmtId="165" fontId="22" fillId="0" borderId="2" xfId="0" applyNumberFormat="1" applyFont="1" applyBorder="1" applyAlignment="1">
      <alignment horizontal="right"/>
    </xf>
    <xf numFmtId="0" fontId="15" fillId="0" borderId="2" xfId="0" applyFont="1" applyBorder="1" applyAlignment="1">
      <alignment horizontal="left" vertical="center"/>
    </xf>
    <xf numFmtId="0" fontId="14" fillId="0" borderId="2" xfId="0" applyFont="1" applyBorder="1" applyAlignment="1">
      <alignment horizontal="left" vertical="center"/>
    </xf>
    <xf numFmtId="0" fontId="13" fillId="0" borderId="2" xfId="0" applyFont="1" applyBorder="1" applyAlignment="1">
      <alignment horizontal="left" vertical="center"/>
    </xf>
    <xf numFmtId="14" fontId="22" fillId="0" borderId="2" xfId="0" applyNumberFormat="1" applyFont="1" applyBorder="1" applyAlignment="1">
      <alignment horizontal="left" vertical="center"/>
    </xf>
    <xf numFmtId="0" fontId="13" fillId="0" borderId="2" xfId="0" applyFont="1" applyBorder="1" applyAlignment="1">
      <alignment horizontal="center" vertical="center"/>
    </xf>
    <xf numFmtId="166" fontId="0" fillId="0" borderId="2" xfId="0" applyNumberFormat="1" applyBorder="1" applyAlignment="1">
      <alignment horizontal="center" vertical="center"/>
    </xf>
    <xf numFmtId="0" fontId="12" fillId="0" borderId="2" xfId="0" applyFont="1" applyBorder="1" applyAlignment="1">
      <alignment horizontal="left" vertical="center"/>
    </xf>
    <xf numFmtId="0" fontId="11" fillId="0" borderId="2" xfId="0" applyFont="1" applyBorder="1" applyAlignment="1">
      <alignment horizontal="left" vertical="center"/>
    </xf>
    <xf numFmtId="0" fontId="28" fillId="3" borderId="2" xfId="0" applyFont="1" applyFill="1" applyBorder="1" applyAlignment="1">
      <alignment horizontal="center" vertical="center" wrapText="1"/>
    </xf>
    <xf numFmtId="0" fontId="10" fillId="4" borderId="2" xfId="0" applyFont="1" applyFill="1" applyBorder="1" applyAlignment="1">
      <alignment horizontal="left" vertical="center"/>
    </xf>
    <xf numFmtId="0" fontId="10" fillId="0" borderId="2" xfId="0" applyFont="1" applyBorder="1" applyAlignment="1">
      <alignment horizontal="left" vertical="center"/>
    </xf>
    <xf numFmtId="0" fontId="16" fillId="0" borderId="2" xfId="0" applyFont="1" applyBorder="1" applyAlignment="1">
      <alignment horizontal="right" vertical="center"/>
    </xf>
    <xf numFmtId="3" fontId="0" fillId="0" borderId="0" xfId="0" applyNumberFormat="1"/>
    <xf numFmtId="0" fontId="8" fillId="0" borderId="2" xfId="0" applyFont="1" applyBorder="1" applyAlignment="1">
      <alignment horizontal="center" vertical="center"/>
    </xf>
    <xf numFmtId="17" fontId="0" fillId="0" borderId="0" xfId="0" applyNumberFormat="1"/>
    <xf numFmtId="0" fontId="7" fillId="0" borderId="0" xfId="0" applyFont="1"/>
    <xf numFmtId="0" fontId="0" fillId="5" borderId="0" xfId="0" applyFill="1"/>
    <xf numFmtId="0" fontId="0" fillId="0" borderId="2" xfId="0" applyBorder="1"/>
    <xf numFmtId="0" fontId="6" fillId="0" borderId="2" xfId="0" applyFont="1" applyBorder="1" applyAlignment="1">
      <alignment horizontal="left" vertical="center"/>
    </xf>
    <xf numFmtId="0" fontId="6" fillId="0" borderId="0" xfId="0" applyFont="1"/>
    <xf numFmtId="0" fontId="6" fillId="4" borderId="2" xfId="0" applyFont="1" applyFill="1" applyBorder="1" applyAlignment="1">
      <alignment horizontal="left" vertical="center"/>
    </xf>
    <xf numFmtId="0" fontId="9" fillId="0" borderId="0" xfId="0" applyFont="1" applyAlignment="1">
      <alignment vertical="center"/>
    </xf>
    <xf numFmtId="0" fontId="0" fillId="0" borderId="0" xfId="0" applyAlignment="1">
      <alignment vertical="center"/>
    </xf>
    <xf numFmtId="0" fontId="0" fillId="0" borderId="2" xfId="0" applyBorder="1" applyAlignment="1">
      <alignment horizontal="left" vertical="center" wrapText="1"/>
    </xf>
    <xf numFmtId="0" fontId="22" fillId="0" borderId="2" xfId="0" applyFont="1" applyBorder="1" applyAlignment="1">
      <alignment horizontal="left" vertical="center" wrapText="1"/>
    </xf>
    <xf numFmtId="165" fontId="22" fillId="0" borderId="2" xfId="0" applyNumberFormat="1" applyFont="1" applyBorder="1" applyAlignment="1">
      <alignment horizontal="right" vertical="center"/>
    </xf>
    <xf numFmtId="0" fontId="0" fillId="0" borderId="2" xfId="0" applyBorder="1" applyAlignment="1">
      <alignment horizontal="center" vertical="center"/>
    </xf>
    <xf numFmtId="165" fontId="0" fillId="0" borderId="2" xfId="0" applyNumberFormat="1" applyBorder="1" applyAlignment="1">
      <alignment horizontal="right" vertical="center"/>
    </xf>
    <xf numFmtId="3" fontId="0" fillId="0" borderId="2" xfId="0" applyNumberFormat="1" applyBorder="1" applyAlignment="1">
      <alignment horizontal="left" vertical="center" wrapText="1"/>
    </xf>
    <xf numFmtId="1" fontId="0" fillId="0" borderId="2" xfId="0" applyNumberFormat="1" applyBorder="1" applyAlignment="1">
      <alignment horizontal="right" vertical="center"/>
    </xf>
    <xf numFmtId="0" fontId="0" fillId="0" borderId="0" xfId="0" applyAlignment="1">
      <alignment horizontal="left"/>
    </xf>
    <xf numFmtId="0" fontId="0" fillId="0" borderId="0" xfId="0" pivotButton="1"/>
    <xf numFmtId="1" fontId="0" fillId="0" borderId="0" xfId="0" applyNumberFormat="1"/>
    <xf numFmtId="1" fontId="0" fillId="0" borderId="2" xfId="0" applyNumberFormat="1" applyBorder="1"/>
    <xf numFmtId="0" fontId="5" fillId="0" borderId="2" xfId="0" applyFont="1" applyBorder="1"/>
    <xf numFmtId="3" fontId="0" fillId="0" borderId="2" xfId="0" applyNumberFormat="1" applyBorder="1"/>
    <xf numFmtId="0" fontId="4" fillId="0" borderId="0" xfId="0" applyFont="1"/>
    <xf numFmtId="0" fontId="0" fillId="0" borderId="2" xfId="0" applyBorder="1" applyAlignment="1">
      <alignment vertical="center"/>
    </xf>
    <xf numFmtId="3" fontId="0" fillId="0" borderId="2" xfId="0" applyNumberFormat="1" applyBorder="1" applyAlignment="1">
      <alignment vertical="center"/>
    </xf>
    <xf numFmtId="0" fontId="3" fillId="0" borderId="2" xfId="0" applyFont="1" applyBorder="1"/>
    <xf numFmtId="0" fontId="2" fillId="0" borderId="0" xfId="0" applyFont="1"/>
    <xf numFmtId="0" fontId="3" fillId="0" borderId="2" xfId="0" applyFont="1" applyBorder="1" applyAlignment="1">
      <alignment horizontal="left" vertical="center" wrapText="1"/>
    </xf>
    <xf numFmtId="0" fontId="2" fillId="0" borderId="2" xfId="0" applyFont="1" applyBorder="1" applyAlignment="1">
      <alignment horizontal="left" vertical="center" wrapText="1"/>
    </xf>
    <xf numFmtId="0" fontId="2" fillId="0" borderId="0" xfId="0" applyFont="1" applyAlignment="1">
      <alignment horizontal="left" vertical="center" wrapText="1"/>
    </xf>
    <xf numFmtId="0" fontId="0" fillId="0" borderId="0" xfId="0" applyAlignment="1">
      <alignment horizontal="left" indent="1"/>
    </xf>
    <xf numFmtId="3" fontId="0" fillId="0" borderId="11" xfId="0" applyNumberFormat="1" applyBorder="1"/>
    <xf numFmtId="0" fontId="30" fillId="7" borderId="12" xfId="0" applyFont="1" applyFill="1" applyBorder="1" applyAlignment="1">
      <alignment horizontal="left"/>
    </xf>
    <xf numFmtId="0" fontId="30" fillId="7" borderId="10" xfId="0" applyFont="1" applyFill="1" applyBorder="1" applyAlignment="1">
      <alignment horizontal="left"/>
    </xf>
    <xf numFmtId="0" fontId="0" fillId="0" borderId="9" xfId="0" applyBorder="1"/>
    <xf numFmtId="0" fontId="31" fillId="8" borderId="0" xfId="0" applyFont="1" applyFill="1" applyAlignment="1">
      <alignment horizontal="left"/>
    </xf>
    <xf numFmtId="0" fontId="32" fillId="8" borderId="9" xfId="0" applyFont="1" applyFill="1" applyBorder="1" applyAlignment="1">
      <alignment horizontal="left"/>
    </xf>
    <xf numFmtId="0" fontId="31" fillId="8" borderId="11" xfId="0" applyFont="1" applyFill="1" applyBorder="1" applyAlignment="1">
      <alignment horizontal="left"/>
    </xf>
    <xf numFmtId="0" fontId="33" fillId="7" borderId="10" xfId="0" applyFont="1" applyFill="1" applyBorder="1" applyAlignment="1">
      <alignment horizontal="right"/>
    </xf>
    <xf numFmtId="0" fontId="33" fillId="7" borderId="12" xfId="0" applyFont="1" applyFill="1" applyBorder="1" applyAlignment="1">
      <alignment horizontal="right"/>
    </xf>
    <xf numFmtId="3" fontId="0" fillId="9" borderId="0" xfId="0" applyNumberFormat="1" applyFill="1"/>
    <xf numFmtId="0" fontId="0" fillId="9" borderId="0" xfId="0" applyFill="1"/>
    <xf numFmtId="0" fontId="34" fillId="0" borderId="0" xfId="0" applyFont="1" applyAlignment="1">
      <alignment vertical="top" wrapText="1"/>
    </xf>
    <xf numFmtId="0" fontId="13" fillId="0" borderId="7" xfId="0" applyFont="1" applyBorder="1" applyAlignment="1">
      <alignment horizontal="center" vertical="center"/>
    </xf>
    <xf numFmtId="0" fontId="13" fillId="0" borderId="8" xfId="0" applyFont="1" applyBorder="1" applyAlignment="1">
      <alignment horizontal="center" vertical="center"/>
    </xf>
    <xf numFmtId="0" fontId="13" fillId="0" borderId="2" xfId="0" applyFont="1" applyBorder="1" applyAlignment="1">
      <alignment horizontal="left" vertical="center"/>
    </xf>
    <xf numFmtId="0" fontId="0" fillId="0" borderId="2" xfId="0" applyBorder="1" applyAlignment="1">
      <alignment horizontal="left" vertical="center"/>
    </xf>
    <xf numFmtId="0" fontId="13" fillId="0" borderId="2" xfId="0" applyFont="1" applyBorder="1" applyAlignment="1">
      <alignment horizontal="left" vertical="center" wrapText="1"/>
    </xf>
    <xf numFmtId="0" fontId="0" fillId="0" borderId="2" xfId="0" applyBorder="1" applyAlignment="1">
      <alignment horizontal="left" vertical="center" wrapText="1"/>
    </xf>
    <xf numFmtId="0" fontId="15" fillId="0" borderId="2" xfId="0" applyFont="1" applyBorder="1"/>
    <xf numFmtId="0" fontId="0" fillId="0" borderId="2" xfId="0" applyBorder="1"/>
    <xf numFmtId="2" fontId="19" fillId="0" borderId="7" xfId="0" applyNumberFormat="1" applyFont="1" applyBorder="1" applyAlignment="1">
      <alignment horizontal="center" vertical="center"/>
    </xf>
    <xf numFmtId="2" fontId="19" fillId="0" borderId="8" xfId="0" applyNumberFormat="1" applyFont="1" applyBorder="1" applyAlignment="1">
      <alignment horizontal="center" vertical="center"/>
    </xf>
    <xf numFmtId="0" fontId="20" fillId="0" borderId="7" xfId="0" applyFont="1" applyBorder="1" applyAlignment="1">
      <alignment horizontal="center" vertical="center"/>
    </xf>
    <xf numFmtId="0" fontId="0" fillId="0" borderId="8" xfId="0" applyBorder="1" applyAlignment="1">
      <alignment horizontal="center" vertical="center"/>
    </xf>
    <xf numFmtId="0" fontId="6" fillId="0" borderId="2" xfId="0" applyFont="1" applyBorder="1"/>
    <xf numFmtId="49" fontId="24" fillId="2" borderId="3" xfId="1">
      <alignment horizontal="left" vertical="center" readingOrder="1"/>
    </xf>
    <xf numFmtId="0" fontId="20" fillId="0" borderId="0" xfId="0" applyFont="1" applyAlignment="1">
      <alignment horizontal="left" vertical="center"/>
    </xf>
    <xf numFmtId="0" fontId="0" fillId="0" borderId="0" xfId="0" applyAlignment="1">
      <alignment horizontal="left" vertical="center"/>
    </xf>
    <xf numFmtId="0" fontId="2" fillId="6" borderId="2" xfId="0" applyFont="1" applyFill="1" applyBorder="1" applyAlignment="1">
      <alignment horizontal="center" vertical="center"/>
    </xf>
    <xf numFmtId="0" fontId="0" fillId="6" borderId="2" xfId="0" applyFill="1" applyBorder="1" applyAlignment="1">
      <alignment horizontal="center" vertical="center"/>
    </xf>
    <xf numFmtId="0" fontId="0" fillId="0" borderId="0" xfId="0" applyNumberFormat="1"/>
  </cellXfs>
  <cellStyles count="7">
    <cellStyle name="Comma" xfId="2" builtinId="3" hidden="1"/>
    <cellStyle name="Comma [0]" xfId="3" builtinId="6" hidden="1"/>
    <cellStyle name="ConferenceDB" xfId="1" xr:uid="{BFC2E82D-DE8A-449D-BE70-208DBF6105F1}"/>
    <cellStyle name="Currency" xfId="4" builtinId="4" hidden="1"/>
    <cellStyle name="Currency [0]" xfId="5" builtinId="7" hidden="1"/>
    <cellStyle name="Normal" xfId="0" builtinId="0"/>
    <cellStyle name="Percent" xfId="6" builtinId="5" hidden="1"/>
  </cellStyles>
  <dxfs count="35">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Calibri"/>
        <family val="2"/>
        <scheme val="minor"/>
      </font>
    </dxf>
    <dxf>
      <numFmt numFmtId="22" formatCode="mmm/yy"/>
    </dxf>
    <dxf>
      <numFmt numFmtId="1" formatCode="0"/>
    </dxf>
    <dxf>
      <numFmt numFmtId="1" formatCode="0"/>
    </dxf>
    <dxf>
      <numFmt numFmtId="1" formatCode="0"/>
    </dxf>
    <dxf>
      <font>
        <b val="0"/>
        <i val="0"/>
        <strike val="0"/>
        <condense val="0"/>
        <extend val="0"/>
        <outline val="0"/>
        <shadow val="0"/>
        <u val="none"/>
        <vertAlign val="baseline"/>
        <sz val="11"/>
        <color theme="1"/>
        <name val="Calibri"/>
        <family val="2"/>
        <scheme val="minor"/>
      </font>
    </dxf>
    <dxf>
      <numFmt numFmtId="22" formatCode="mmm/yy"/>
    </dxf>
    <dxf>
      <numFmt numFmtId="3" formatCode="#,##0"/>
    </dxf>
    <dxf>
      <numFmt numFmtId="3" formatCode="#,##0"/>
    </dxf>
    <dxf>
      <numFmt numFmtId="22" formatCode="mmm/yy"/>
    </dxf>
    <dxf>
      <numFmt numFmtId="22" formatCode="mmm/yy"/>
    </dxf>
    <dxf>
      <font>
        <b val="0"/>
        <i val="0"/>
        <strike val="0"/>
        <condense val="0"/>
        <extend val="0"/>
        <outline val="0"/>
        <shadow val="0"/>
        <u val="none"/>
        <vertAlign val="baseline"/>
        <sz val="11"/>
        <color theme="1"/>
        <name val="Calibri"/>
        <family val="2"/>
        <scheme val="none"/>
      </font>
      <numFmt numFmtId="0" formatCode="General"/>
      <alignment horizontal="righ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none"/>
      </font>
      <numFmt numFmtId="19" formatCode="dd/mm/yyyy"/>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alignment horizontal="left"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1/relationships/timelineCache" Target="timelineCaches/timelineCache1.xml"/><Relationship Id="rId18" Type="http://customschemas.google.com/relationships/workbookmetadata" Target="metadata"/><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microsoft.com/office/2007/relationships/slicerCache" Target="slicerCaches/slicerCache2.xml"/><Relationship Id="rId25" Type="http://schemas.openxmlformats.org/officeDocument/2006/relationships/customXml" Target="../customXml/item3.xml"/><Relationship Id="rId2" Type="http://schemas.openxmlformats.org/officeDocument/2006/relationships/worksheet" Target="worksheets/sheet2.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24" Type="http://schemas.openxmlformats.org/officeDocument/2006/relationships/customXml" Target="../customXml/item2.xml"/><Relationship Id="rId5" Type="http://schemas.openxmlformats.org/officeDocument/2006/relationships/worksheet" Target="worksheets/sheet5.xml"/><Relationship Id="rId23" Type="http://schemas.openxmlformats.org/officeDocument/2006/relationships/customXml" Target="../customXml/item1.xml"/><Relationship Id="rId10" Type="http://schemas.openxmlformats.org/officeDocument/2006/relationships/pivotCacheDefinition" Target="pivotCache/pivotCacheDefinition1.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Projections!$B$1</c:f>
              <c:strCache>
                <c:ptCount val="1"/>
                <c:pt idx="0">
                  <c:v>Registrations</c:v>
                </c:pt>
              </c:strCache>
            </c:strRef>
          </c:tx>
          <c:spPr>
            <a:solidFill>
              <a:schemeClr val="accent1"/>
            </a:solidFill>
            <a:ln w="12700">
              <a:solidFill>
                <a:srgbClr val="FFFFFF"/>
              </a:solidFill>
              <a:prstDash val="solid"/>
            </a:ln>
            <a:effectLst/>
          </c:spPr>
          <c:invertIfNegative val="0"/>
          <c:val>
            <c:numRef>
              <c:f>Projections!$B$2:$B$50</c:f>
              <c:numCache>
                <c:formatCode>General</c:formatCode>
                <c:ptCount val="49"/>
                <c:pt idx="0">
                  <c:v>7</c:v>
                </c:pt>
                <c:pt idx="1">
                  <c:v>14</c:v>
                </c:pt>
                <c:pt idx="2">
                  <c:v>21</c:v>
                </c:pt>
                <c:pt idx="3">
                  <c:v>14</c:v>
                </c:pt>
                <c:pt idx="4">
                  <c:v>14</c:v>
                </c:pt>
                <c:pt idx="5">
                  <c:v>14</c:v>
                </c:pt>
                <c:pt idx="6">
                  <c:v>14</c:v>
                </c:pt>
                <c:pt idx="7">
                  <c:v>14</c:v>
                </c:pt>
                <c:pt idx="8">
                  <c:v>14</c:v>
                </c:pt>
                <c:pt idx="9">
                  <c:v>14</c:v>
                </c:pt>
                <c:pt idx="10">
                  <c:v>14</c:v>
                </c:pt>
                <c:pt idx="11">
                  <c:v>14</c:v>
                </c:pt>
                <c:pt idx="12">
                  <c:v>14</c:v>
                </c:pt>
                <c:pt idx="13">
                  <c:v>14</c:v>
                </c:pt>
                <c:pt idx="14">
                  <c:v>14</c:v>
                </c:pt>
                <c:pt idx="15">
                  <c:v>14</c:v>
                </c:pt>
                <c:pt idx="16">
                  <c:v>21</c:v>
                </c:pt>
                <c:pt idx="17">
                  <c:v>14</c:v>
                </c:pt>
                <c:pt idx="18">
                  <c:v>14</c:v>
                </c:pt>
                <c:pt idx="19">
                  <c:v>21</c:v>
                </c:pt>
                <c:pt idx="20">
                  <c:v>14</c:v>
                </c:pt>
                <c:pt idx="21">
                  <c:v>14</c:v>
                </c:pt>
                <c:pt idx="22">
                  <c:v>14</c:v>
                </c:pt>
                <c:pt idx="23">
                  <c:v>14</c:v>
                </c:pt>
                <c:pt idx="24">
                  <c:v>14</c:v>
                </c:pt>
                <c:pt idx="25">
                  <c:v>14</c:v>
                </c:pt>
                <c:pt idx="26">
                  <c:v>14</c:v>
                </c:pt>
                <c:pt idx="27">
                  <c:v>14</c:v>
                </c:pt>
                <c:pt idx="28">
                  <c:v>14</c:v>
                </c:pt>
                <c:pt idx="29">
                  <c:v>14</c:v>
                </c:pt>
                <c:pt idx="30">
                  <c:v>12</c:v>
                </c:pt>
                <c:pt idx="31">
                  <c:v>12</c:v>
                </c:pt>
                <c:pt idx="32">
                  <c:v>12</c:v>
                </c:pt>
                <c:pt idx="33">
                  <c:v>18</c:v>
                </c:pt>
                <c:pt idx="34">
                  <c:v>12</c:v>
                </c:pt>
              </c:numCache>
            </c:numRef>
          </c:val>
          <c:extLst>
            <c:ext xmlns:c16="http://schemas.microsoft.com/office/drawing/2014/chart" uri="{C3380CC4-5D6E-409C-BE32-E72D297353CC}">
              <c16:uniqueId val="{00000000-3A1D-45DB-8216-6DB6BE37D5E7}"/>
            </c:ext>
          </c:extLst>
        </c:ser>
        <c:ser>
          <c:idx val="1"/>
          <c:order val="1"/>
          <c:tx>
            <c:strRef>
              <c:f>Projections!$C$1</c:f>
              <c:strCache>
                <c:ptCount val="1"/>
                <c:pt idx="0">
                  <c:v>Forecast(Registrations)</c:v>
                </c:pt>
              </c:strCache>
            </c:strRef>
          </c:tx>
          <c:spPr>
            <a:solidFill>
              <a:schemeClr val="accent2"/>
            </a:solidFill>
            <a:ln w="12700">
              <a:solidFill>
                <a:srgbClr val="FFFFFF"/>
              </a:solidFill>
              <a:prstDash val="solid"/>
            </a:ln>
            <a:effectLst/>
          </c:spPr>
          <c:invertIfNegative val="0"/>
          <c:errBars>
            <c:errBarType val="both"/>
            <c:errValType val="cust"/>
            <c:noEndCap val="0"/>
            <c:plus>
              <c:numRef>
                <c:f>Projections!$D$2:$D$50</c:f>
                <c:numCache>
                  <c:formatCode>General</c:formatCode>
                  <c:ptCount val="49"/>
                  <c:pt idx="35">
                    <c:v>0.45281580308439262</c:v>
                  </c:pt>
                  <c:pt idx="36">
                    <c:v>0.56629155920255991</c:v>
                  </c:pt>
                  <c:pt idx="37">
                    <c:v>0.66078611280724431</c:v>
                  </c:pt>
                  <c:pt idx="38">
                    <c:v>0.7435718070044024</c:v>
                  </c:pt>
                  <c:pt idx="39">
                    <c:v>0.81821071612819962</c:v>
                  </c:pt>
                  <c:pt idx="40">
                    <c:v>0.88676261107970644</c:v>
                  </c:pt>
                  <c:pt idx="41">
                    <c:v>0.95054557992856248</c:v>
                  </c:pt>
                  <c:pt idx="42">
                    <c:v>1.0104633092843152</c:v>
                  </c:pt>
                  <c:pt idx="43">
                    <c:v>1.0671672493838302</c:v>
                  </c:pt>
                  <c:pt idx="44">
                    <c:v>1.1211453187918818</c:v>
                  </c:pt>
                  <c:pt idx="45">
                    <c:v>1.1727741353596668</c:v>
                  </c:pt>
                  <c:pt idx="46">
                    <c:v>1.2223515813385051</c:v>
                  </c:pt>
                  <c:pt idx="47">
                    <c:v>1.305266745672143</c:v>
                  </c:pt>
                  <c:pt idx="48">
                    <c:v>1.3487919939037341</c:v>
                  </c:pt>
                </c:numCache>
              </c:numRef>
            </c:plus>
            <c:minus>
              <c:numRef>
                <c:f>Projections!$D$2:$D$50</c:f>
                <c:numCache>
                  <c:formatCode>General</c:formatCode>
                  <c:ptCount val="49"/>
                  <c:pt idx="35">
                    <c:v>0.45281580308439262</c:v>
                  </c:pt>
                  <c:pt idx="36">
                    <c:v>0.56629155920255991</c:v>
                  </c:pt>
                  <c:pt idx="37">
                    <c:v>0.66078611280724431</c:v>
                  </c:pt>
                  <c:pt idx="38">
                    <c:v>0.7435718070044024</c:v>
                  </c:pt>
                  <c:pt idx="39">
                    <c:v>0.81821071612819962</c:v>
                  </c:pt>
                  <c:pt idx="40">
                    <c:v>0.88676261107970644</c:v>
                  </c:pt>
                  <c:pt idx="41">
                    <c:v>0.95054557992856248</c:v>
                  </c:pt>
                  <c:pt idx="42">
                    <c:v>1.0104633092843152</c:v>
                  </c:pt>
                  <c:pt idx="43">
                    <c:v>1.0671672493838302</c:v>
                  </c:pt>
                  <c:pt idx="44">
                    <c:v>1.1211453187918818</c:v>
                  </c:pt>
                  <c:pt idx="45">
                    <c:v>1.1727741353596668</c:v>
                  </c:pt>
                  <c:pt idx="46">
                    <c:v>1.2223515813385051</c:v>
                  </c:pt>
                  <c:pt idx="47">
                    <c:v>1.305266745672143</c:v>
                  </c:pt>
                  <c:pt idx="48">
                    <c:v>1.3487919939037341</c:v>
                  </c:pt>
                </c:numCache>
              </c:numRef>
            </c:minus>
            <c:spPr>
              <a:noFill/>
              <a:ln w="9525" cap="flat" cmpd="sng" algn="ctr">
                <a:solidFill>
                  <a:srgbClr val="595959">
                    <a:alpha val="40392"/>
                  </a:srgbClr>
                </a:solidFill>
                <a:prstDash val="solid"/>
                <a:round/>
              </a:ln>
              <a:effectLst/>
            </c:spPr>
          </c:errBars>
          <c:cat>
            <c:numRef>
              <c:f>Projections!$A$2:$A$50</c:f>
              <c:numCache>
                <c:formatCode>mmm\-yy</c:formatCode>
                <c:ptCount val="49"/>
                <c:pt idx="0">
                  <c:v>44927</c:v>
                </c:pt>
                <c:pt idx="1">
                  <c:v>44958</c:v>
                </c:pt>
                <c:pt idx="2">
                  <c:v>44986</c:v>
                </c:pt>
                <c:pt idx="3">
                  <c:v>45017</c:v>
                </c:pt>
                <c:pt idx="4">
                  <c:v>45047</c:v>
                </c:pt>
                <c:pt idx="5">
                  <c:v>45078</c:v>
                </c:pt>
                <c:pt idx="6">
                  <c:v>45108</c:v>
                </c:pt>
                <c:pt idx="7">
                  <c:v>45139</c:v>
                </c:pt>
                <c:pt idx="8">
                  <c:v>45170</c:v>
                </c:pt>
                <c:pt idx="9">
                  <c:v>45200</c:v>
                </c:pt>
                <c:pt idx="10">
                  <c:v>45231</c:v>
                </c:pt>
                <c:pt idx="11">
                  <c:v>45261</c:v>
                </c:pt>
                <c:pt idx="12">
                  <c:v>45292</c:v>
                </c:pt>
                <c:pt idx="13">
                  <c:v>45323</c:v>
                </c:pt>
                <c:pt idx="14">
                  <c:v>45352</c:v>
                </c:pt>
                <c:pt idx="15">
                  <c:v>45383</c:v>
                </c:pt>
                <c:pt idx="16">
                  <c:v>45413</c:v>
                </c:pt>
                <c:pt idx="17">
                  <c:v>45444</c:v>
                </c:pt>
                <c:pt idx="18">
                  <c:v>45474</c:v>
                </c:pt>
                <c:pt idx="19">
                  <c:v>45505</c:v>
                </c:pt>
                <c:pt idx="20">
                  <c:v>45536</c:v>
                </c:pt>
                <c:pt idx="21">
                  <c:v>45566</c:v>
                </c:pt>
                <c:pt idx="22">
                  <c:v>45597</c:v>
                </c:pt>
                <c:pt idx="23">
                  <c:v>45627</c:v>
                </c:pt>
                <c:pt idx="24">
                  <c:v>45658</c:v>
                </c:pt>
                <c:pt idx="25">
                  <c:v>45689</c:v>
                </c:pt>
                <c:pt idx="26">
                  <c:v>45717</c:v>
                </c:pt>
                <c:pt idx="27">
                  <c:v>45748</c:v>
                </c:pt>
                <c:pt idx="28">
                  <c:v>45778</c:v>
                </c:pt>
                <c:pt idx="29">
                  <c:v>45809</c:v>
                </c:pt>
                <c:pt idx="30">
                  <c:v>45839</c:v>
                </c:pt>
                <c:pt idx="31">
                  <c:v>45870</c:v>
                </c:pt>
                <c:pt idx="32">
                  <c:v>45901</c:v>
                </c:pt>
                <c:pt idx="33">
                  <c:v>45931</c:v>
                </c:pt>
                <c:pt idx="34">
                  <c:v>45962</c:v>
                </c:pt>
                <c:pt idx="35">
                  <c:v>45992</c:v>
                </c:pt>
                <c:pt idx="36">
                  <c:v>46023</c:v>
                </c:pt>
                <c:pt idx="37">
                  <c:v>46054</c:v>
                </c:pt>
                <c:pt idx="38">
                  <c:v>46082</c:v>
                </c:pt>
                <c:pt idx="39">
                  <c:v>46113</c:v>
                </c:pt>
                <c:pt idx="40">
                  <c:v>46143</c:v>
                </c:pt>
                <c:pt idx="41">
                  <c:v>46174</c:v>
                </c:pt>
                <c:pt idx="42">
                  <c:v>46204</c:v>
                </c:pt>
                <c:pt idx="43">
                  <c:v>46235</c:v>
                </c:pt>
                <c:pt idx="44">
                  <c:v>46266</c:v>
                </c:pt>
                <c:pt idx="45">
                  <c:v>46296</c:v>
                </c:pt>
                <c:pt idx="46">
                  <c:v>46327</c:v>
                </c:pt>
                <c:pt idx="47">
                  <c:v>46357</c:v>
                </c:pt>
                <c:pt idx="48">
                  <c:v>46387</c:v>
                </c:pt>
              </c:numCache>
            </c:numRef>
          </c:cat>
          <c:val>
            <c:numRef>
              <c:f>Projections!$C$2:$C$50</c:f>
              <c:numCache>
                <c:formatCode>General</c:formatCode>
                <c:ptCount val="49"/>
                <c:pt idx="35" formatCode="0">
                  <c:v>12.955273264952035</c:v>
                </c:pt>
                <c:pt idx="36" formatCode="0">
                  <c:v>12.911744192320263</c:v>
                </c:pt>
                <c:pt idx="37" formatCode="0">
                  <c:v>13.913353362979402</c:v>
                </c:pt>
                <c:pt idx="38" formatCode="0">
                  <c:v>14.69662368405794</c:v>
                </c:pt>
                <c:pt idx="39" formatCode="0">
                  <c:v>13.05183017961115</c:v>
                </c:pt>
                <c:pt idx="40" formatCode="0">
                  <c:v>16.978290517807384</c:v>
                </c:pt>
                <c:pt idx="41" formatCode="0">
                  <c:v>14.281578174755586</c:v>
                </c:pt>
                <c:pt idx="42" formatCode="0">
                  <c:v>12.9753650374772</c:v>
                </c:pt>
                <c:pt idx="43" formatCode="0">
                  <c:v>15.770184395782611</c:v>
                </c:pt>
                <c:pt idx="44" formatCode="0">
                  <c:v>13.352853911864024</c:v>
                </c:pt>
                <c:pt idx="45" formatCode="0">
                  <c:v>14.491681062604846</c:v>
                </c:pt>
                <c:pt idx="46" formatCode="0">
                  <c:v>11.836773361666845</c:v>
                </c:pt>
                <c:pt idx="47" formatCode="0">
                  <c:v>12.787595143450741</c:v>
                </c:pt>
                <c:pt idx="48" formatCode="0">
                  <c:v>12.745470234452252</c:v>
                </c:pt>
              </c:numCache>
            </c:numRef>
          </c:val>
          <c:extLst>
            <c:ext xmlns:c16="http://schemas.microsoft.com/office/drawing/2014/chart" uri="{C3380CC4-5D6E-409C-BE32-E72D297353CC}">
              <c16:uniqueId val="{00000001-3A1D-45DB-8216-6DB6BE37D5E7}"/>
            </c:ext>
          </c:extLst>
        </c:ser>
        <c:dLbls>
          <c:showLegendKey val="0"/>
          <c:showVal val="0"/>
          <c:showCatName val="0"/>
          <c:showSerName val="0"/>
          <c:showPercent val="0"/>
          <c:showBubbleSize val="0"/>
        </c:dLbls>
        <c:gapWidth val="0"/>
        <c:overlap val="100"/>
        <c:axId val="747338816"/>
        <c:axId val="747340976"/>
      </c:barChart>
      <c:catAx>
        <c:axId val="747338816"/>
        <c:scaling>
          <c:orientation val="minMax"/>
        </c:scaling>
        <c:delete val="0"/>
        <c:axPos val="b"/>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7340976"/>
        <c:crosses val="autoZero"/>
        <c:auto val="1"/>
        <c:lblAlgn val="ctr"/>
        <c:lblOffset val="100"/>
        <c:noMultiLvlLbl val="0"/>
      </c:catAx>
      <c:valAx>
        <c:axId val="7473409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73388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ForecastTicketSales!$B$1</c:f>
              <c:strCache>
                <c:ptCount val="1"/>
                <c:pt idx="0">
                  <c:v>Total_Ticket_Sales</c:v>
                </c:pt>
              </c:strCache>
            </c:strRef>
          </c:tx>
          <c:spPr>
            <a:solidFill>
              <a:schemeClr val="accent1"/>
            </a:solidFill>
            <a:ln w="12700">
              <a:solidFill>
                <a:srgbClr val="FFFFFF"/>
              </a:solidFill>
              <a:prstDash val="solid"/>
            </a:ln>
            <a:effectLst/>
          </c:spPr>
          <c:invertIfNegative val="0"/>
          <c:val>
            <c:numRef>
              <c:f>ForecastTicketSales!$B$2:$B$50</c:f>
              <c:numCache>
                <c:formatCode>#,##0</c:formatCode>
                <c:ptCount val="49"/>
                <c:pt idx="0">
                  <c:v>1468</c:v>
                </c:pt>
                <c:pt idx="1">
                  <c:v>2844</c:v>
                </c:pt>
                <c:pt idx="2">
                  <c:v>4418</c:v>
                </c:pt>
                <c:pt idx="3">
                  <c:v>2997</c:v>
                </c:pt>
                <c:pt idx="4">
                  <c:v>2988</c:v>
                </c:pt>
                <c:pt idx="5">
                  <c:v>3050</c:v>
                </c:pt>
                <c:pt idx="6">
                  <c:v>3085</c:v>
                </c:pt>
                <c:pt idx="7">
                  <c:v>2900</c:v>
                </c:pt>
                <c:pt idx="8">
                  <c:v>3053</c:v>
                </c:pt>
                <c:pt idx="9">
                  <c:v>3001</c:v>
                </c:pt>
                <c:pt idx="10">
                  <c:v>2944</c:v>
                </c:pt>
                <c:pt idx="11">
                  <c:v>2883</c:v>
                </c:pt>
                <c:pt idx="12">
                  <c:v>3052</c:v>
                </c:pt>
                <c:pt idx="13">
                  <c:v>3069</c:v>
                </c:pt>
                <c:pt idx="14">
                  <c:v>3056</c:v>
                </c:pt>
                <c:pt idx="15">
                  <c:v>2943</c:v>
                </c:pt>
                <c:pt idx="16">
                  <c:v>4409</c:v>
                </c:pt>
                <c:pt idx="17">
                  <c:v>2922</c:v>
                </c:pt>
                <c:pt idx="18">
                  <c:v>2889</c:v>
                </c:pt>
                <c:pt idx="19">
                  <c:v>4693</c:v>
                </c:pt>
                <c:pt idx="20">
                  <c:v>3042</c:v>
                </c:pt>
                <c:pt idx="21">
                  <c:v>2803</c:v>
                </c:pt>
                <c:pt idx="22">
                  <c:v>2985</c:v>
                </c:pt>
                <c:pt idx="23">
                  <c:v>3031</c:v>
                </c:pt>
                <c:pt idx="24">
                  <c:v>2947</c:v>
                </c:pt>
                <c:pt idx="25">
                  <c:v>2965</c:v>
                </c:pt>
                <c:pt idx="26">
                  <c:v>3118</c:v>
                </c:pt>
                <c:pt idx="27">
                  <c:v>3127</c:v>
                </c:pt>
                <c:pt idx="28">
                  <c:v>3016</c:v>
                </c:pt>
                <c:pt idx="29">
                  <c:v>3045</c:v>
                </c:pt>
                <c:pt idx="30">
                  <c:v>2602</c:v>
                </c:pt>
                <c:pt idx="31">
                  <c:v>2500</c:v>
                </c:pt>
                <c:pt idx="32">
                  <c:v>2450</c:v>
                </c:pt>
                <c:pt idx="33">
                  <c:v>4007</c:v>
                </c:pt>
                <c:pt idx="34">
                  <c:v>2724</c:v>
                </c:pt>
              </c:numCache>
            </c:numRef>
          </c:val>
          <c:extLst>
            <c:ext xmlns:c16="http://schemas.microsoft.com/office/drawing/2014/chart" uri="{C3380CC4-5D6E-409C-BE32-E72D297353CC}">
              <c16:uniqueId val="{00000000-FF4D-4737-A0BF-8DCA664C5BC3}"/>
            </c:ext>
          </c:extLst>
        </c:ser>
        <c:ser>
          <c:idx val="1"/>
          <c:order val="1"/>
          <c:tx>
            <c:strRef>
              <c:f>ForecastTicketSales!$C$1</c:f>
              <c:strCache>
                <c:ptCount val="1"/>
                <c:pt idx="0">
                  <c:v>Forecast(Total_Ticket_Sales)</c:v>
                </c:pt>
              </c:strCache>
            </c:strRef>
          </c:tx>
          <c:spPr>
            <a:solidFill>
              <a:schemeClr val="accent2"/>
            </a:solidFill>
            <a:ln w="12700">
              <a:solidFill>
                <a:srgbClr val="FFFFFF"/>
              </a:solidFill>
              <a:prstDash val="solid"/>
            </a:ln>
            <a:effectLst/>
          </c:spPr>
          <c:invertIfNegative val="0"/>
          <c:errBars>
            <c:errBarType val="both"/>
            <c:errValType val="cust"/>
            <c:noEndCap val="0"/>
            <c:plus>
              <c:numRef>
                <c:f>ForecastTicketSales!$D$2:$D$50</c:f>
                <c:numCache>
                  <c:formatCode>General</c:formatCode>
                  <c:ptCount val="49"/>
                  <c:pt idx="35">
                    <c:v>1596.2920416142861</c:v>
                  </c:pt>
                  <c:pt idx="36">
                    <c:v>1996.3232356974886</c:v>
                  </c:pt>
                  <c:pt idx="37">
                    <c:v>2329.4408143411383</c:v>
                  </c:pt>
                  <c:pt idx="38">
                    <c:v>2621.2816553769098</c:v>
                  </c:pt>
                  <c:pt idx="39">
                    <c:v>2884.4029859875459</c:v>
                  </c:pt>
                  <c:pt idx="40">
                    <c:v>3126.0660277879538</c:v>
                  </c:pt>
                  <c:pt idx="41">
                    <c:v>3350.9173798618676</c:v>
                  </c:pt>
                  <c:pt idx="42">
                    <c:v>3562.142769679725</c:v>
                  </c:pt>
                  <c:pt idx="43">
                    <c:v>3762.0387266946327</c:v>
                  </c:pt>
                  <c:pt idx="44">
                    <c:v>3952.3252892016344</c:v>
                  </c:pt>
                  <c:pt idx="45">
                    <c:v>4134.3301318854456</c:v>
                  </c:pt>
                  <c:pt idx="46">
                    <c:v>4309.1033662127656</c:v>
                  </c:pt>
                  <c:pt idx="47">
                    <c:v>4601.4006227426125</c:v>
                  </c:pt>
                  <c:pt idx="48">
                    <c:v>4754.8383051028859</c:v>
                  </c:pt>
                </c:numCache>
              </c:numRef>
            </c:plus>
            <c:minus>
              <c:numRef>
                <c:f>ForecastTicketSales!$D$2:$D$50</c:f>
                <c:numCache>
                  <c:formatCode>General</c:formatCode>
                  <c:ptCount val="49"/>
                  <c:pt idx="35">
                    <c:v>1596.2920416142861</c:v>
                  </c:pt>
                  <c:pt idx="36">
                    <c:v>1996.3232356974886</c:v>
                  </c:pt>
                  <c:pt idx="37">
                    <c:v>2329.4408143411383</c:v>
                  </c:pt>
                  <c:pt idx="38">
                    <c:v>2621.2816553769098</c:v>
                  </c:pt>
                  <c:pt idx="39">
                    <c:v>2884.4029859875459</c:v>
                  </c:pt>
                  <c:pt idx="40">
                    <c:v>3126.0660277879538</c:v>
                  </c:pt>
                  <c:pt idx="41">
                    <c:v>3350.9173798618676</c:v>
                  </c:pt>
                  <c:pt idx="42">
                    <c:v>3562.142769679725</c:v>
                  </c:pt>
                  <c:pt idx="43">
                    <c:v>3762.0387266946327</c:v>
                  </c:pt>
                  <c:pt idx="44">
                    <c:v>3952.3252892016344</c:v>
                  </c:pt>
                  <c:pt idx="45">
                    <c:v>4134.3301318854456</c:v>
                  </c:pt>
                  <c:pt idx="46">
                    <c:v>4309.1033662127656</c:v>
                  </c:pt>
                  <c:pt idx="47">
                    <c:v>4601.4006227426125</c:v>
                  </c:pt>
                  <c:pt idx="48">
                    <c:v>4754.8383051028859</c:v>
                  </c:pt>
                </c:numCache>
              </c:numRef>
            </c:minus>
            <c:spPr>
              <a:noFill/>
              <a:ln w="9525" cap="flat" cmpd="sng" algn="ctr">
                <a:solidFill>
                  <a:srgbClr val="595959">
                    <a:alpha val="40392"/>
                  </a:srgbClr>
                </a:solidFill>
                <a:prstDash val="solid"/>
                <a:round/>
              </a:ln>
              <a:effectLst/>
            </c:spPr>
          </c:errBars>
          <c:cat>
            <c:numRef>
              <c:f>ForecastTicketSales!$A$2:$A$50</c:f>
              <c:numCache>
                <c:formatCode>mmm\-yy</c:formatCode>
                <c:ptCount val="49"/>
                <c:pt idx="0">
                  <c:v>44927</c:v>
                </c:pt>
                <c:pt idx="1">
                  <c:v>44958</c:v>
                </c:pt>
                <c:pt idx="2">
                  <c:v>44986</c:v>
                </c:pt>
                <c:pt idx="3">
                  <c:v>45017</c:v>
                </c:pt>
                <c:pt idx="4">
                  <c:v>45047</c:v>
                </c:pt>
                <c:pt idx="5">
                  <c:v>45078</c:v>
                </c:pt>
                <c:pt idx="6">
                  <c:v>45108</c:v>
                </c:pt>
                <c:pt idx="7">
                  <c:v>45139</c:v>
                </c:pt>
                <c:pt idx="8">
                  <c:v>45170</c:v>
                </c:pt>
                <c:pt idx="9">
                  <c:v>45200</c:v>
                </c:pt>
                <c:pt idx="10">
                  <c:v>45231</c:v>
                </c:pt>
                <c:pt idx="11">
                  <c:v>45261</c:v>
                </c:pt>
                <c:pt idx="12">
                  <c:v>45292</c:v>
                </c:pt>
                <c:pt idx="13">
                  <c:v>45323</c:v>
                </c:pt>
                <c:pt idx="14">
                  <c:v>45352</c:v>
                </c:pt>
                <c:pt idx="15">
                  <c:v>45383</c:v>
                </c:pt>
                <c:pt idx="16">
                  <c:v>45413</c:v>
                </c:pt>
                <c:pt idx="17">
                  <c:v>45444</c:v>
                </c:pt>
                <c:pt idx="18">
                  <c:v>45474</c:v>
                </c:pt>
                <c:pt idx="19">
                  <c:v>45505</c:v>
                </c:pt>
                <c:pt idx="20">
                  <c:v>45536</c:v>
                </c:pt>
                <c:pt idx="21">
                  <c:v>45566</c:v>
                </c:pt>
                <c:pt idx="22">
                  <c:v>45597</c:v>
                </c:pt>
                <c:pt idx="23">
                  <c:v>45627</c:v>
                </c:pt>
                <c:pt idx="24">
                  <c:v>45658</c:v>
                </c:pt>
                <c:pt idx="25">
                  <c:v>45689</c:v>
                </c:pt>
                <c:pt idx="26">
                  <c:v>45717</c:v>
                </c:pt>
                <c:pt idx="27">
                  <c:v>45748</c:v>
                </c:pt>
                <c:pt idx="28">
                  <c:v>45778</c:v>
                </c:pt>
                <c:pt idx="29">
                  <c:v>45809</c:v>
                </c:pt>
                <c:pt idx="30">
                  <c:v>45839</c:v>
                </c:pt>
                <c:pt idx="31">
                  <c:v>45870</c:v>
                </c:pt>
                <c:pt idx="32">
                  <c:v>45901</c:v>
                </c:pt>
                <c:pt idx="33">
                  <c:v>45931</c:v>
                </c:pt>
                <c:pt idx="34">
                  <c:v>45962</c:v>
                </c:pt>
                <c:pt idx="35">
                  <c:v>45992</c:v>
                </c:pt>
                <c:pt idx="36">
                  <c:v>46023</c:v>
                </c:pt>
                <c:pt idx="37">
                  <c:v>46054</c:v>
                </c:pt>
                <c:pt idx="38">
                  <c:v>46082</c:v>
                </c:pt>
                <c:pt idx="39">
                  <c:v>46113</c:v>
                </c:pt>
                <c:pt idx="40">
                  <c:v>46143</c:v>
                </c:pt>
                <c:pt idx="41">
                  <c:v>46174</c:v>
                </c:pt>
                <c:pt idx="42">
                  <c:v>46204</c:v>
                </c:pt>
                <c:pt idx="43">
                  <c:v>46235</c:v>
                </c:pt>
                <c:pt idx="44">
                  <c:v>46266</c:v>
                </c:pt>
                <c:pt idx="45">
                  <c:v>46296</c:v>
                </c:pt>
                <c:pt idx="46">
                  <c:v>46327</c:v>
                </c:pt>
                <c:pt idx="47">
                  <c:v>46357</c:v>
                </c:pt>
                <c:pt idx="48">
                  <c:v>46387</c:v>
                </c:pt>
              </c:numCache>
            </c:numRef>
          </c:cat>
          <c:val>
            <c:numRef>
              <c:f>ForecastTicketSales!$C$2:$C$50</c:f>
              <c:numCache>
                <c:formatCode>General</c:formatCode>
                <c:ptCount val="49"/>
                <c:pt idx="35" formatCode="#,##0">
                  <c:v>2868.7399546548263</c:v>
                </c:pt>
                <c:pt idx="36" formatCode="#,##0">
                  <c:v>2944.4814117209994</c:v>
                </c:pt>
                <c:pt idx="37" formatCode="#,##0">
                  <c:v>3199.4582909817282</c:v>
                </c:pt>
                <c:pt idx="38" formatCode="#,##0">
                  <c:v>3427.2912844359325</c:v>
                </c:pt>
                <c:pt idx="39" formatCode="#,##0">
                  <c:v>2995.9586145327967</c:v>
                </c:pt>
                <c:pt idx="40" formatCode="#,##0">
                  <c:v>3747.5326428277367</c:v>
                </c:pt>
                <c:pt idx="41" formatCode="#,##0">
                  <c:v>3218.693910196625</c:v>
                </c:pt>
                <c:pt idx="42" formatCode="#,##0">
                  <c:v>2947.2689549552483</c:v>
                </c:pt>
                <c:pt idx="43" formatCode="#,##0">
                  <c:v>3587.7484293114112</c:v>
                </c:pt>
                <c:pt idx="44" formatCode="#,##0">
                  <c:v>3069.3339687472576</c:v>
                </c:pt>
                <c:pt idx="45" formatCode="#,##0">
                  <c:v>3289.9859774964625</c:v>
                </c:pt>
                <c:pt idx="46" formatCode="#,##0">
                  <c:v>2705.7166212557067</c:v>
                </c:pt>
                <c:pt idx="47" formatCode="#,##0">
                  <c:v>2850.456575910533</c:v>
                </c:pt>
                <c:pt idx="48" formatCode="#,##0">
                  <c:v>2923.7547601681199</c:v>
                </c:pt>
              </c:numCache>
            </c:numRef>
          </c:val>
          <c:extLst>
            <c:ext xmlns:c16="http://schemas.microsoft.com/office/drawing/2014/chart" uri="{C3380CC4-5D6E-409C-BE32-E72D297353CC}">
              <c16:uniqueId val="{00000001-FF4D-4737-A0BF-8DCA664C5BC3}"/>
            </c:ext>
          </c:extLst>
        </c:ser>
        <c:dLbls>
          <c:showLegendKey val="0"/>
          <c:showVal val="0"/>
          <c:showCatName val="0"/>
          <c:showSerName val="0"/>
          <c:showPercent val="0"/>
          <c:showBubbleSize val="0"/>
        </c:dLbls>
        <c:gapWidth val="0"/>
        <c:overlap val="100"/>
        <c:axId val="1192031248"/>
        <c:axId val="1192034848"/>
      </c:barChart>
      <c:catAx>
        <c:axId val="1192031248"/>
        <c:scaling>
          <c:orientation val="minMax"/>
        </c:scaling>
        <c:delete val="0"/>
        <c:axPos val="b"/>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2034848"/>
        <c:crosses val="autoZero"/>
        <c:auto val="1"/>
        <c:lblAlgn val="ctr"/>
        <c:lblOffset val="100"/>
        <c:noMultiLvlLbl val="0"/>
      </c:catAx>
      <c:valAx>
        <c:axId val="119203484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20312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[ConferenceDataset.xlsm]Pivot Data!PivotTable3</c:name>
    <c:fmtId val="19"/>
  </c:pivotSource>
  <c:chart>
    <c:autoTitleDeleted val="1"/>
    <c:pivotFmts>
      <c:pivotFmt>
        <c:idx val="0"/>
        <c:spPr>
          <a:solidFill>
            <a:schemeClr val="lt1"/>
          </a:solidFill>
          <a:ln w="19050">
            <a:solidFill>
              <a:schemeClr val="accent1"/>
            </a:solidFill>
          </a:ln>
          <a:effectLst/>
        </c:spPr>
        <c:marker>
          <c:symbol val="circle"/>
          <c:size val="5"/>
        </c:marker>
        <c:dLbl>
          <c:idx val="0"/>
          <c:spPr>
            <a:solidFill>
              <a:srgbClr val="FFFFFF"/>
            </a:solidFill>
            <a:ln>
              <a:solidFill>
                <a:srgbClr val="4F81BD"/>
              </a:solid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showLegendKey val="0"/>
          <c:showVal val="1"/>
          <c:showCatName val="1"/>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6">
              <a:lumMod val="60000"/>
              <a:lumOff val="40000"/>
            </a:schemeClr>
          </a:solidFill>
          <a:ln w="19050">
            <a:solidFill>
              <a:schemeClr val="accent1"/>
            </a:solidFill>
          </a:ln>
          <a:effectLst/>
        </c:spPr>
        <c:dLbl>
          <c:idx val="0"/>
          <c:layout>
            <c:manualLayout>
              <c:x val="-0.14166666666666666"/>
              <c:y val="-8.4875562720133283E-17"/>
            </c:manualLayout>
          </c:layout>
          <c:spPr>
            <a:solidFill>
              <a:srgbClr val="FFFFFF"/>
            </a:solidFill>
            <a:ln>
              <a:solidFill>
                <a:srgbClr val="4F81BD"/>
              </a:solid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showLegendKey val="0"/>
          <c:showVal val="1"/>
          <c:showCatName val="1"/>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rgbClr val="FFC000"/>
          </a:solidFill>
          <a:ln w="19050">
            <a:solidFill>
              <a:schemeClr val="accent1"/>
            </a:solidFill>
          </a:ln>
          <a:effectLst/>
        </c:spPr>
        <c:dLbl>
          <c:idx val="0"/>
          <c:layout>
            <c:manualLayout>
              <c:x val="0.10833333333333328"/>
              <c:y val="9.2592592592592587E-3"/>
            </c:manualLayout>
          </c:layout>
          <c:spPr>
            <a:solidFill>
              <a:srgbClr val="FFFFFF"/>
            </a:solidFill>
            <a:ln>
              <a:solidFill>
                <a:srgbClr val="4F81BD"/>
              </a:solid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showLegendKey val="0"/>
          <c:showVal val="1"/>
          <c:showCatName val="1"/>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chemeClr val="lt1"/>
          </a:solidFill>
          <a:ln w="19050">
            <a:solidFill>
              <a:schemeClr val="accent1"/>
            </a:solidFill>
          </a:ln>
          <a:effectLst/>
        </c:spPr>
        <c:marker>
          <c:symbol val="none"/>
        </c:marker>
        <c:dLbl>
          <c:idx val="0"/>
          <c:spPr>
            <a:solidFill>
              <a:srgbClr val="FFFFFF"/>
            </a:solidFill>
            <a:ln>
              <a:solidFill>
                <a:srgbClr val="4F81BD"/>
              </a:solid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showLegendKey val="0"/>
          <c:showVal val="1"/>
          <c:showCatName val="1"/>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solidFill>
            <a:schemeClr val="accent6">
              <a:lumMod val="60000"/>
              <a:lumOff val="40000"/>
            </a:schemeClr>
          </a:solidFill>
          <a:ln w="19050">
            <a:solidFill>
              <a:schemeClr val="accent1"/>
            </a:solidFill>
          </a:ln>
          <a:effectLst/>
        </c:spPr>
        <c:dLbl>
          <c:idx val="0"/>
          <c:layout>
            <c:manualLayout>
              <c:x val="-0.14166666666666666"/>
              <c:y val="-8.4875562720133283E-17"/>
            </c:manualLayout>
          </c:layout>
          <c:spPr>
            <a:solidFill>
              <a:srgbClr val="FFFFFF"/>
            </a:solidFill>
            <a:ln>
              <a:solidFill>
                <a:srgbClr val="4F81BD"/>
              </a:solid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showLegendKey val="0"/>
          <c:showVal val="1"/>
          <c:showCatName val="1"/>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rgbClr val="FFC000"/>
          </a:solidFill>
          <a:ln w="19050">
            <a:solidFill>
              <a:schemeClr val="accent1"/>
            </a:solidFill>
          </a:ln>
          <a:effectLst/>
        </c:spPr>
        <c:dLbl>
          <c:idx val="0"/>
          <c:layout>
            <c:manualLayout>
              <c:x val="0.10833333333333328"/>
              <c:y val="9.2592592592592587E-3"/>
            </c:manualLayout>
          </c:layout>
          <c:spPr>
            <a:solidFill>
              <a:srgbClr val="FFFFFF"/>
            </a:solidFill>
            <a:ln>
              <a:solidFill>
                <a:srgbClr val="4F81BD"/>
              </a:solid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showLegendKey val="0"/>
          <c:showVal val="1"/>
          <c:showCatName val="1"/>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chemeClr val="lt1"/>
          </a:solidFill>
          <a:ln w="19050">
            <a:solidFill>
              <a:schemeClr val="accent1"/>
            </a:solidFill>
          </a:ln>
          <a:effectLst/>
        </c:spPr>
        <c:marker>
          <c:symbol val="none"/>
        </c:marker>
        <c:dLbl>
          <c:idx val="0"/>
          <c:spPr>
            <a:solidFill>
              <a:srgbClr val="FFFFFF"/>
            </a:solidFill>
            <a:ln>
              <a:solidFill>
                <a:srgbClr val="4F81BD"/>
              </a:solid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showLegendKey val="0"/>
          <c:showVal val="1"/>
          <c:showCatName val="1"/>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chemeClr val="accent6">
              <a:lumMod val="60000"/>
              <a:lumOff val="40000"/>
            </a:schemeClr>
          </a:solidFill>
          <a:ln w="19050">
            <a:solidFill>
              <a:schemeClr val="accent1"/>
            </a:solidFill>
          </a:ln>
          <a:effectLst/>
        </c:spPr>
        <c:dLbl>
          <c:idx val="0"/>
          <c:layout>
            <c:manualLayout>
              <c:x val="-0.14166666666666666"/>
              <c:y val="-8.4875562720133283E-17"/>
            </c:manualLayout>
          </c:layout>
          <c:spPr>
            <a:solidFill>
              <a:srgbClr val="FFFFFF"/>
            </a:solidFill>
            <a:ln>
              <a:solidFill>
                <a:srgbClr val="4F81BD"/>
              </a:solid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showLegendKey val="0"/>
          <c:showVal val="1"/>
          <c:showCatName val="1"/>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rgbClr val="FFC000"/>
          </a:solidFill>
          <a:ln w="19050">
            <a:solidFill>
              <a:schemeClr val="accent1"/>
            </a:solidFill>
          </a:ln>
          <a:effectLst/>
        </c:spPr>
        <c:dLbl>
          <c:idx val="0"/>
          <c:layout>
            <c:manualLayout>
              <c:x val="0.10833333333333328"/>
              <c:y val="9.2592592592592587E-3"/>
            </c:manualLayout>
          </c:layout>
          <c:spPr>
            <a:solidFill>
              <a:srgbClr val="FFFFFF"/>
            </a:solidFill>
            <a:ln>
              <a:solidFill>
                <a:srgbClr val="4F81BD"/>
              </a:solid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showLegendKey val="0"/>
          <c:showVal val="1"/>
          <c:showCatName val="1"/>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solidFill>
            <a:schemeClr val="lt1"/>
          </a:solidFill>
          <a:ln w="19050">
            <a:solidFill>
              <a:schemeClr val="accent1"/>
            </a:solidFill>
          </a:ln>
          <a:effectLst/>
        </c:spPr>
        <c:marker>
          <c:symbol val="none"/>
        </c:marker>
        <c:dLbl>
          <c:idx val="0"/>
          <c:spPr>
            <a:solidFill>
              <a:srgbClr val="FFFFFF"/>
            </a:solidFill>
            <a:ln>
              <a:solidFill>
                <a:srgbClr val="4F81BD"/>
              </a:solid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showLegendKey val="0"/>
          <c:showVal val="1"/>
          <c:showCatName val="1"/>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0"/>
        <c:spPr>
          <a:solidFill>
            <a:schemeClr val="accent6">
              <a:lumMod val="60000"/>
              <a:lumOff val="40000"/>
            </a:schemeClr>
          </a:solidFill>
          <a:ln w="19050">
            <a:solidFill>
              <a:schemeClr val="accent1"/>
            </a:solidFill>
          </a:ln>
          <a:effectLst/>
        </c:spPr>
        <c:dLbl>
          <c:idx val="0"/>
          <c:layout>
            <c:manualLayout>
              <c:x val="-0.14166666666666666"/>
              <c:y val="-8.4875562720133283E-17"/>
            </c:manualLayout>
          </c:layout>
          <c:spPr>
            <a:solidFill>
              <a:srgbClr val="FFFFFF"/>
            </a:solidFill>
            <a:ln>
              <a:solidFill>
                <a:srgbClr val="4F81BD"/>
              </a:solid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showLegendKey val="0"/>
          <c:showVal val="1"/>
          <c:showCatName val="1"/>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1"/>
        <c:spPr>
          <a:solidFill>
            <a:srgbClr val="FFC000"/>
          </a:solidFill>
          <a:ln w="19050">
            <a:solidFill>
              <a:schemeClr val="accent1"/>
            </a:solidFill>
          </a:ln>
          <a:effectLst/>
        </c:spPr>
        <c:dLbl>
          <c:idx val="0"/>
          <c:layout>
            <c:manualLayout>
              <c:x val="0.10833333333333328"/>
              <c:y val="9.2592592592592587E-3"/>
            </c:manualLayout>
          </c:layout>
          <c:spPr>
            <a:solidFill>
              <a:srgbClr val="FFFFFF"/>
            </a:solidFill>
            <a:ln>
              <a:solidFill>
                <a:srgbClr val="4F81BD"/>
              </a:solid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showLegendKey val="0"/>
          <c:showVal val="1"/>
          <c:showCatName val="1"/>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2"/>
        <c:spPr>
          <a:solidFill>
            <a:schemeClr val="lt1"/>
          </a:solidFill>
          <a:ln w="19050">
            <a:solidFill>
              <a:schemeClr val="accent1"/>
            </a:solidFill>
          </a:ln>
          <a:effectLst/>
        </c:spPr>
      </c:pivotFmt>
    </c:pivotFmts>
    <c:plotArea>
      <c:layout/>
      <c:doughnutChart>
        <c:varyColors val="1"/>
        <c:ser>
          <c:idx val="0"/>
          <c:order val="0"/>
          <c:tx>
            <c:strRef>
              <c:f>'Pivot Data'!$E$21</c:f>
              <c:strCache>
                <c:ptCount val="1"/>
                <c:pt idx="0">
                  <c:v>Total</c:v>
                </c:pt>
              </c:strCache>
            </c:strRef>
          </c:tx>
          <c:spPr>
            <a:solidFill>
              <a:schemeClr val="lt1"/>
            </a:solidFill>
            <a:ln w="19050">
              <a:solidFill>
                <a:schemeClr val="accent1"/>
              </a:solidFill>
            </a:ln>
            <a:effectLst/>
          </c:spPr>
          <c:explosion val="43"/>
          <c:dPt>
            <c:idx val="0"/>
            <c:bubble3D val="0"/>
            <c:spPr>
              <a:solidFill>
                <a:schemeClr val="accent6">
                  <a:lumMod val="60000"/>
                  <a:lumOff val="40000"/>
                </a:schemeClr>
              </a:solidFill>
              <a:ln w="19050">
                <a:solidFill>
                  <a:schemeClr val="accent1"/>
                </a:solidFill>
              </a:ln>
              <a:effectLst/>
            </c:spPr>
            <c:extLst>
              <c:ext xmlns:c16="http://schemas.microsoft.com/office/drawing/2014/chart" uri="{C3380CC4-5D6E-409C-BE32-E72D297353CC}">
                <c16:uniqueId val="{00000001-3EE0-4978-9CBB-CC7CCFF90744}"/>
              </c:ext>
            </c:extLst>
          </c:dPt>
          <c:dPt>
            <c:idx val="1"/>
            <c:bubble3D val="0"/>
            <c:spPr>
              <a:solidFill>
                <a:schemeClr val="lt1"/>
              </a:solidFill>
              <a:ln w="19050">
                <a:solidFill>
                  <a:schemeClr val="accent1"/>
                </a:solidFill>
              </a:ln>
              <a:effectLst/>
            </c:spPr>
            <c:extLst>
              <c:ext xmlns:c16="http://schemas.microsoft.com/office/drawing/2014/chart" uri="{C3380CC4-5D6E-409C-BE32-E72D297353CC}">
                <c16:uniqueId val="{00000003-3EE0-4978-9CBB-CC7CCFF90744}"/>
              </c:ext>
            </c:extLst>
          </c:dPt>
          <c:dLbls>
            <c:dLbl>
              <c:idx val="0"/>
              <c:layout>
                <c:manualLayout>
                  <c:x val="-0.14166666666666666"/>
                  <c:y val="-8.4875562720133283E-17"/>
                </c:manualLayout>
              </c:layout>
              <c:spPr>
                <a:solidFill>
                  <a:srgbClr val="FFFFFF"/>
                </a:solidFill>
                <a:ln>
                  <a:solidFill>
                    <a:srgbClr val="4F81BD"/>
                  </a:solid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showLegendKey val="0"/>
              <c:showVal val="1"/>
              <c:showCatName val="1"/>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1-3EE0-4978-9CBB-CC7CCFF90744}"/>
                </c:ext>
              </c:extLst>
            </c:dLbl>
            <c:spPr>
              <a:solidFill>
                <a:srgbClr val="FFFFFF"/>
              </a:solidFill>
              <a:ln>
                <a:solidFill>
                  <a:srgbClr val="4F81BD"/>
                </a:solid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showLegendKey val="0"/>
            <c:showVal val="1"/>
            <c:showCatName val="1"/>
            <c:showSerName val="0"/>
            <c:showPercent val="1"/>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 Data'!$D$22:$D$23</c:f>
              <c:strCache>
                <c:ptCount val="1"/>
                <c:pt idx="0">
                  <c:v>In-Person</c:v>
                </c:pt>
              </c:strCache>
            </c:strRef>
          </c:cat>
          <c:val>
            <c:numRef>
              <c:f>'Pivot Data'!$E$22:$E$23</c:f>
              <c:numCache>
                <c:formatCode>General</c:formatCode>
                <c:ptCount val="1"/>
                <c:pt idx="0">
                  <c:v>16</c:v>
                </c:pt>
              </c:numCache>
            </c:numRef>
          </c:val>
          <c:extLst>
            <c:ext xmlns:c16="http://schemas.microsoft.com/office/drawing/2014/chart" uri="{C3380CC4-5D6E-409C-BE32-E72D297353CC}">
              <c16:uniqueId val="{00000004-3EE0-4978-9CBB-CC7CCFF90744}"/>
            </c:ext>
          </c:extLst>
        </c:ser>
        <c:dLbls>
          <c:showLegendKey val="0"/>
          <c:showVal val="1"/>
          <c:showCatName val="0"/>
          <c:showSerName val="0"/>
          <c:showPercent val="0"/>
          <c:showBubbleSize val="0"/>
          <c:showLeaderLines val="0"/>
        </c:dLbls>
        <c:firstSliceAng val="0"/>
        <c:holeSize val="5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4">
        <a:lumMod val="75000"/>
      </a:schemeClr>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[ConferenceDataset.xlsm]Pivot Data!PivotTable2</c:name>
    <c:fmtId val="13"/>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Data'!$B$21</c:f>
              <c:strCache>
                <c:ptCount val="1"/>
                <c:pt idx="0">
                  <c:v>Total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 Data'!$A$22:$A$23</c:f>
              <c:strCache>
                <c:ptCount val="1"/>
                <c:pt idx="0">
                  <c:v>Business</c:v>
                </c:pt>
              </c:strCache>
            </c:strRef>
          </c:cat>
          <c:val>
            <c:numRef>
              <c:f>'Pivot Data'!$B$22:$B$23</c:f>
              <c:numCache>
                <c:formatCode>#,##0</c:formatCode>
                <c:ptCount val="1"/>
                <c:pt idx="0">
                  <c:v>3801</c:v>
                </c:pt>
              </c:numCache>
            </c:numRef>
          </c:val>
          <c:extLst>
            <c:ext xmlns:c16="http://schemas.microsoft.com/office/drawing/2014/chart" uri="{C3380CC4-5D6E-409C-BE32-E72D297353CC}">
              <c16:uniqueId val="{00000000-A5D7-4BCA-B549-23350307C099}"/>
            </c:ext>
          </c:extLst>
        </c:ser>
        <c:dLbls>
          <c:dLblPos val="outEnd"/>
          <c:showLegendKey val="0"/>
          <c:showVal val="1"/>
          <c:showCatName val="0"/>
          <c:showSerName val="0"/>
          <c:showPercent val="0"/>
          <c:showBubbleSize val="0"/>
        </c:dLbls>
        <c:gapWidth val="100"/>
        <c:overlap val="-24"/>
        <c:axId val="1184456144"/>
        <c:axId val="1184459384"/>
      </c:barChart>
      <c:catAx>
        <c:axId val="118445614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84459384"/>
        <c:crosses val="autoZero"/>
        <c:auto val="1"/>
        <c:lblAlgn val="ctr"/>
        <c:lblOffset val="100"/>
        <c:noMultiLvlLbl val="0"/>
      </c:catAx>
      <c:valAx>
        <c:axId val="1184459384"/>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8445614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[ConferenceDataset.xlsm]Pivot Data!PivotTable4</c:name>
    <c:fmtId val="62"/>
  </c:pivotSource>
  <c:chart>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1"/>
          <c:order val="1"/>
          <c:tx>
            <c:strRef>
              <c:f>'Pivot Data'!$I$2</c:f>
              <c:strCache>
                <c:ptCount val="1"/>
                <c:pt idx="0">
                  <c:v>Revenue (€)</c:v>
                </c:pt>
              </c:strCache>
            </c:strRef>
          </c:tx>
          <c:spPr>
            <a:solidFill>
              <a:schemeClr val="accent5"/>
            </a:solidFill>
            <a:ln>
              <a:noFill/>
            </a:ln>
            <a:effectLst/>
          </c:spPr>
          <c:invertIfNegative val="0"/>
          <c:cat>
            <c:multiLvlStrRef>
              <c:f>'Pivot Data'!$G$3:$G$20</c:f>
              <c:multiLvlStrCache>
                <c:ptCount val="14"/>
                <c:lvl>
                  <c:pt idx="0">
                    <c:v>Jan</c:v>
                  </c:pt>
                  <c:pt idx="1">
                    <c:v>May</c:v>
                  </c:pt>
                  <c:pt idx="2">
                    <c:v>Jul</c:v>
                  </c:pt>
                  <c:pt idx="3">
                    <c:v>Sep</c:v>
                  </c:pt>
                  <c:pt idx="4">
                    <c:v>Oct</c:v>
                  </c:pt>
                  <c:pt idx="5">
                    <c:v>May</c:v>
                  </c:pt>
                  <c:pt idx="6">
                    <c:v>Aug</c:v>
                  </c:pt>
                  <c:pt idx="7">
                    <c:v>Dec</c:v>
                  </c:pt>
                  <c:pt idx="8">
                    <c:v>Jan</c:v>
                  </c:pt>
                  <c:pt idx="9">
                    <c:v>Mar</c:v>
                  </c:pt>
                  <c:pt idx="10">
                    <c:v>Apr</c:v>
                  </c:pt>
                  <c:pt idx="11">
                    <c:v>Jul</c:v>
                  </c:pt>
                  <c:pt idx="12">
                    <c:v>Oct</c:v>
                  </c:pt>
                  <c:pt idx="13">
                    <c:v>Nov</c:v>
                  </c:pt>
                </c:lvl>
                <c:lvl>
                  <c:pt idx="0">
                    <c:v>2023</c:v>
                  </c:pt>
                  <c:pt idx="5">
                    <c:v>2024</c:v>
                  </c:pt>
                  <c:pt idx="8">
                    <c:v>2025</c:v>
                  </c:pt>
                </c:lvl>
              </c:multiLvlStrCache>
            </c:multiLvlStrRef>
          </c:cat>
          <c:val>
            <c:numRef>
              <c:f>'Pivot Data'!$I$3:$I$20</c:f>
              <c:numCache>
                <c:formatCode>#,##0</c:formatCode>
                <c:ptCount val="14"/>
                <c:pt idx="0">
                  <c:v>192</c:v>
                </c:pt>
                <c:pt idx="1">
                  <c:v>250</c:v>
                </c:pt>
                <c:pt idx="2">
                  <c:v>486</c:v>
                </c:pt>
                <c:pt idx="3">
                  <c:v>237</c:v>
                </c:pt>
                <c:pt idx="4">
                  <c:v>238</c:v>
                </c:pt>
                <c:pt idx="5">
                  <c:v>231</c:v>
                </c:pt>
                <c:pt idx="6">
                  <c:v>250</c:v>
                </c:pt>
                <c:pt idx="7">
                  <c:v>231</c:v>
                </c:pt>
                <c:pt idx="8">
                  <c:v>235</c:v>
                </c:pt>
                <c:pt idx="9">
                  <c:v>474</c:v>
                </c:pt>
                <c:pt idx="10">
                  <c:v>248</c:v>
                </c:pt>
                <c:pt idx="11">
                  <c:v>240</c:v>
                </c:pt>
                <c:pt idx="12">
                  <c:v>241</c:v>
                </c:pt>
                <c:pt idx="13">
                  <c:v>248</c:v>
                </c:pt>
              </c:numCache>
            </c:numRef>
          </c:val>
          <c:extLst>
            <c:ext xmlns:c16="http://schemas.microsoft.com/office/drawing/2014/chart" uri="{C3380CC4-5D6E-409C-BE32-E72D297353CC}">
              <c16:uniqueId val="{00000000-C609-4670-93BB-F688449114C8}"/>
            </c:ext>
          </c:extLst>
        </c:ser>
        <c:dLbls>
          <c:showLegendKey val="0"/>
          <c:showVal val="0"/>
          <c:showCatName val="0"/>
          <c:showSerName val="0"/>
          <c:showPercent val="0"/>
          <c:showBubbleSize val="0"/>
        </c:dLbls>
        <c:gapWidth val="219"/>
        <c:axId val="602133920"/>
        <c:axId val="602132120"/>
      </c:barChart>
      <c:lineChart>
        <c:grouping val="standard"/>
        <c:varyColors val="0"/>
        <c:ser>
          <c:idx val="0"/>
          <c:order val="0"/>
          <c:tx>
            <c:strRef>
              <c:f>'Pivot Data'!$H$2</c:f>
              <c:strCache>
                <c:ptCount val="1"/>
                <c:pt idx="0">
                  <c:v>Registration</c:v>
                </c:pt>
              </c:strCache>
            </c:strRef>
          </c:tx>
          <c:spPr>
            <a:ln w="28575" cap="rnd">
              <a:solidFill>
                <a:schemeClr val="accent6"/>
              </a:solidFill>
              <a:round/>
            </a:ln>
            <a:effectLst/>
          </c:spPr>
          <c:marker>
            <c:symbol val="none"/>
          </c:marker>
          <c:cat>
            <c:multiLvlStrRef>
              <c:f>'Pivot Data'!$G$3:$G$20</c:f>
              <c:multiLvlStrCache>
                <c:ptCount val="14"/>
                <c:lvl>
                  <c:pt idx="0">
                    <c:v>Jan</c:v>
                  </c:pt>
                  <c:pt idx="1">
                    <c:v>May</c:v>
                  </c:pt>
                  <c:pt idx="2">
                    <c:v>Jul</c:v>
                  </c:pt>
                  <c:pt idx="3">
                    <c:v>Sep</c:v>
                  </c:pt>
                  <c:pt idx="4">
                    <c:v>Oct</c:v>
                  </c:pt>
                  <c:pt idx="5">
                    <c:v>May</c:v>
                  </c:pt>
                  <c:pt idx="6">
                    <c:v>Aug</c:v>
                  </c:pt>
                  <c:pt idx="7">
                    <c:v>Dec</c:v>
                  </c:pt>
                  <c:pt idx="8">
                    <c:v>Jan</c:v>
                  </c:pt>
                  <c:pt idx="9">
                    <c:v>Mar</c:v>
                  </c:pt>
                  <c:pt idx="10">
                    <c:v>Apr</c:v>
                  </c:pt>
                  <c:pt idx="11">
                    <c:v>Jul</c:v>
                  </c:pt>
                  <c:pt idx="12">
                    <c:v>Oct</c:v>
                  </c:pt>
                  <c:pt idx="13">
                    <c:v>Nov</c:v>
                  </c:pt>
                </c:lvl>
                <c:lvl>
                  <c:pt idx="0">
                    <c:v>2023</c:v>
                  </c:pt>
                  <c:pt idx="5">
                    <c:v>2024</c:v>
                  </c:pt>
                  <c:pt idx="8">
                    <c:v>2025</c:v>
                  </c:pt>
                </c:lvl>
              </c:multiLvlStrCache>
            </c:multiLvlStrRef>
          </c:cat>
          <c:val>
            <c:numRef>
              <c:f>'Pivot Data'!$H$3:$H$20</c:f>
              <c:numCache>
                <c:formatCode>General</c:formatCode>
                <c:ptCount val="14"/>
                <c:pt idx="0">
                  <c:v>1</c:v>
                </c:pt>
                <c:pt idx="1">
                  <c:v>1</c:v>
                </c:pt>
                <c:pt idx="2">
                  <c:v>2</c:v>
                </c:pt>
                <c:pt idx="3">
                  <c:v>1</c:v>
                </c:pt>
                <c:pt idx="4">
                  <c:v>1</c:v>
                </c:pt>
                <c:pt idx="5">
                  <c:v>1</c:v>
                </c:pt>
                <c:pt idx="6">
                  <c:v>1</c:v>
                </c:pt>
                <c:pt idx="7">
                  <c:v>1</c:v>
                </c:pt>
                <c:pt idx="8">
                  <c:v>1</c:v>
                </c:pt>
                <c:pt idx="9">
                  <c:v>2</c:v>
                </c:pt>
                <c:pt idx="10">
                  <c:v>1</c:v>
                </c:pt>
                <c:pt idx="11">
                  <c:v>1</c:v>
                </c:pt>
                <c:pt idx="12">
                  <c:v>1</c:v>
                </c:pt>
                <c:pt idx="13">
                  <c:v>1</c:v>
                </c:pt>
              </c:numCache>
            </c:numRef>
          </c:val>
          <c:smooth val="0"/>
          <c:extLst>
            <c:ext xmlns:c16="http://schemas.microsoft.com/office/drawing/2014/chart" uri="{C3380CC4-5D6E-409C-BE32-E72D297353CC}">
              <c16:uniqueId val="{00000001-C609-4670-93BB-F688449114C8}"/>
            </c:ext>
          </c:extLst>
        </c:ser>
        <c:dLbls>
          <c:showLegendKey val="0"/>
          <c:showVal val="0"/>
          <c:showCatName val="0"/>
          <c:showSerName val="0"/>
          <c:showPercent val="0"/>
          <c:showBubbleSize val="0"/>
        </c:dLbls>
        <c:marker val="1"/>
        <c:smooth val="0"/>
        <c:axId val="602127080"/>
        <c:axId val="602126360"/>
      </c:lineChart>
      <c:catAx>
        <c:axId val="6021339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accent6">
                    <a:lumMod val="60000"/>
                    <a:lumOff val="40000"/>
                  </a:schemeClr>
                </a:solidFill>
                <a:latin typeface="+mn-lt"/>
                <a:ea typeface="+mn-ea"/>
                <a:cs typeface="+mn-cs"/>
              </a:defRPr>
            </a:pPr>
            <a:endParaRPr lang="en-US"/>
          </a:p>
        </c:txPr>
        <c:crossAx val="602132120"/>
        <c:crosses val="autoZero"/>
        <c:auto val="1"/>
        <c:lblAlgn val="ctr"/>
        <c:lblOffset val="100"/>
        <c:noMultiLvlLbl val="0"/>
      </c:catAx>
      <c:valAx>
        <c:axId val="602132120"/>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6">
                    <a:lumMod val="60000"/>
                    <a:lumOff val="40000"/>
                  </a:schemeClr>
                </a:solidFill>
                <a:latin typeface="+mn-lt"/>
                <a:ea typeface="+mn-ea"/>
                <a:cs typeface="+mn-cs"/>
              </a:defRPr>
            </a:pPr>
            <a:endParaRPr lang="en-US"/>
          </a:p>
        </c:txPr>
        <c:crossAx val="602133920"/>
        <c:crosses val="autoZero"/>
        <c:crossBetween val="between"/>
      </c:valAx>
      <c:valAx>
        <c:axId val="602126360"/>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6">
                    <a:lumMod val="60000"/>
                    <a:lumOff val="40000"/>
                  </a:schemeClr>
                </a:solidFill>
                <a:latin typeface="+mn-lt"/>
                <a:ea typeface="+mn-ea"/>
                <a:cs typeface="+mn-cs"/>
              </a:defRPr>
            </a:pPr>
            <a:endParaRPr lang="en-US"/>
          </a:p>
        </c:txPr>
        <c:crossAx val="602127080"/>
        <c:crosses val="max"/>
        <c:crossBetween val="between"/>
      </c:valAx>
      <c:catAx>
        <c:axId val="602127080"/>
        <c:scaling>
          <c:orientation val="minMax"/>
        </c:scaling>
        <c:delete val="1"/>
        <c:axPos val="b"/>
        <c:numFmt formatCode="General" sourceLinked="1"/>
        <c:majorTickMark val="out"/>
        <c:minorTickMark val="none"/>
        <c:tickLblPos val="nextTo"/>
        <c:crossAx val="602126360"/>
        <c:crosses val="autoZero"/>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1">
        <a:lumMod val="5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withinLinearReversed" id="25">
  <a:schemeClr val="accent5"/>
</cs:colorStyle>
</file>

<file path=xl/charts/colors5.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60">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3175" cap="flat" cmpd="sng" algn="ctr">
        <a:solidFill>
          <a:schemeClr val="phClr">
            <a:lumMod val="60000"/>
            <a:lumOff val="40000"/>
          </a:schemeClr>
        </a:solidFill>
        <a:round/>
      </a:ln>
    </cs:spPr>
    <cs:defRPr sz="8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styleClr val="0"/>
    </cs:lnRef>
    <cs:fillRef idx="0"/>
    <cs:effectRef idx="0"/>
    <cs:fontRef idx="minor">
      <cs:styleClr val="0"/>
    </cs:fontRef>
    <cs:defRPr sz="900" b="1" kern="1200"/>
  </cs:dataLabel>
  <cs:dataLabelCallout>
    <cs:lnRef idx="0">
      <cs:styleClr val="0"/>
    </cs:lnRef>
    <cs:fillRef idx="0"/>
    <cs:effectRef idx="0"/>
    <cs:fontRef idx="minor">
      <cs:styleClr val="0"/>
    </cs:fontRef>
    <cs:spPr>
      <a:solidFill>
        <a:schemeClr val="lt1"/>
      </a:solidFill>
      <a:ln>
        <a:solidFill>
          <a:schemeClr val="phClr"/>
        </a:solidFill>
      </a:ln>
    </cs:spPr>
    <cs:defRPr sz="900" b="1" kern="1200"/>
    <cs:bodyPr rot="0" spcFirstLastPara="1" vertOverflow="clip" horzOverflow="clip" vert="horz" wrap="square" lIns="36576" tIns="18288" rIns="36576" bIns="18288" anchor="ctr" anchorCtr="1">
      <a:spAutoFit/>
    </cs:bodyPr>
  </cs:dataLabelCallout>
  <cs:dataPoint>
    <cs:lnRef idx="0">
      <cs:styleClr val="0"/>
    </cs:lnRef>
    <cs:fillRef idx="0"/>
    <cs:effectRef idx="0"/>
    <cs:fontRef idx="minor">
      <a:schemeClr val="dk1"/>
    </cs:fontRef>
    <cs:spPr>
      <a:solidFill>
        <a:schemeClr val="lt1"/>
      </a:solidFill>
      <a:ln w="19050">
        <a:solidFill>
          <a:schemeClr val="phClr"/>
        </a:solidFill>
      </a:ln>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3</xdr:row>
          <xdr:rowOff>133350</xdr:rowOff>
        </xdr:from>
        <xdr:to>
          <xdr:col>1</xdr:col>
          <xdr:colOff>895350</xdr:colOff>
          <xdr:row>4</xdr:row>
          <xdr:rowOff>161925</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200-000004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3</xdr:row>
          <xdr:rowOff>133350</xdr:rowOff>
        </xdr:from>
        <xdr:to>
          <xdr:col>2</xdr:col>
          <xdr:colOff>914400</xdr:colOff>
          <xdr:row>4</xdr:row>
          <xdr:rowOff>161925</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200-000005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Edit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5</xdr:col>
      <xdr:colOff>266700</xdr:colOff>
      <xdr:row>1</xdr:row>
      <xdr:rowOff>100012</xdr:rowOff>
    </xdr:from>
    <xdr:to>
      <xdr:col>15</xdr:col>
      <xdr:colOff>304800</xdr:colOff>
      <xdr:row>16</xdr:row>
      <xdr:rowOff>176212</xdr:rowOff>
    </xdr:to>
    <xdr:graphicFrame macro="">
      <xdr:nvGraphicFramePr>
        <xdr:cNvPr id="2" name="Chart 1">
          <a:extLst>
            <a:ext uri="{FF2B5EF4-FFF2-40B4-BE49-F238E27FC236}">
              <a16:creationId xmlns:a16="http://schemas.microsoft.com/office/drawing/2014/main" id="{07B24A8E-16D2-5BDC-A5D2-53759B1457A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419100</xdr:colOff>
      <xdr:row>1</xdr:row>
      <xdr:rowOff>109537</xdr:rowOff>
    </xdr:from>
    <xdr:to>
      <xdr:col>14</xdr:col>
      <xdr:colOff>457200</xdr:colOff>
      <xdr:row>16</xdr:row>
      <xdr:rowOff>185737</xdr:rowOff>
    </xdr:to>
    <xdr:graphicFrame macro="">
      <xdr:nvGraphicFramePr>
        <xdr:cNvPr id="2" name="Chart 1">
          <a:extLst>
            <a:ext uri="{FF2B5EF4-FFF2-40B4-BE49-F238E27FC236}">
              <a16:creationId xmlns:a16="http://schemas.microsoft.com/office/drawing/2014/main" id="{679DEBC3-0C59-7099-80F7-BC7150EF7ED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95250</xdr:colOff>
      <xdr:row>0</xdr:row>
      <xdr:rowOff>76200</xdr:rowOff>
    </xdr:from>
    <xdr:to>
      <xdr:col>29</xdr:col>
      <xdr:colOff>66675</xdr:colOff>
      <xdr:row>39</xdr:row>
      <xdr:rowOff>9525</xdr:rowOff>
    </xdr:to>
    <xdr:sp macro="" textlink="">
      <xdr:nvSpPr>
        <xdr:cNvPr id="11" name="Rectangle: Rounded Corners 10">
          <a:extLst>
            <a:ext uri="{FF2B5EF4-FFF2-40B4-BE49-F238E27FC236}">
              <a16:creationId xmlns:a16="http://schemas.microsoft.com/office/drawing/2014/main" id="{44C31A66-FF3F-ACA9-BF97-BDA36B7E2B13}"/>
            </a:ext>
          </a:extLst>
        </xdr:cNvPr>
        <xdr:cNvSpPr/>
      </xdr:nvSpPr>
      <xdr:spPr>
        <a:xfrm>
          <a:off x="95250" y="76200"/>
          <a:ext cx="17649825" cy="7362825"/>
        </a:xfrm>
        <a:prstGeom prst="roundRect">
          <a:avLst>
            <a:gd name="adj" fmla="val 1272"/>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552450</xdr:colOff>
      <xdr:row>1</xdr:row>
      <xdr:rowOff>38100</xdr:rowOff>
    </xdr:from>
    <xdr:to>
      <xdr:col>22</xdr:col>
      <xdr:colOff>457200</xdr:colOff>
      <xdr:row>4</xdr:row>
      <xdr:rowOff>161925</xdr:rowOff>
    </xdr:to>
    <xdr:sp macro="" textlink="">
      <xdr:nvSpPr>
        <xdr:cNvPr id="9" name="Rectangle 8">
          <a:extLst>
            <a:ext uri="{FF2B5EF4-FFF2-40B4-BE49-F238E27FC236}">
              <a16:creationId xmlns:a16="http://schemas.microsoft.com/office/drawing/2014/main" id="{108656B8-C476-AE31-1CBC-400D1AB496CB}"/>
            </a:ext>
          </a:extLst>
        </xdr:cNvPr>
        <xdr:cNvSpPr/>
      </xdr:nvSpPr>
      <xdr:spPr>
        <a:xfrm>
          <a:off x="2990850" y="228600"/>
          <a:ext cx="10877550" cy="695325"/>
        </a:xfrm>
        <a:prstGeom prst="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5</xdr:col>
      <xdr:colOff>47625</xdr:colOff>
      <xdr:row>1</xdr:row>
      <xdr:rowOff>114300</xdr:rowOff>
    </xdr:from>
    <xdr:to>
      <xdr:col>22</xdr:col>
      <xdr:colOff>390525</xdr:colOff>
      <xdr:row>4</xdr:row>
      <xdr:rowOff>104775</xdr:rowOff>
    </xdr:to>
    <xdr:sp macro="" textlink="">
      <xdr:nvSpPr>
        <xdr:cNvPr id="10" name="Rectangle: Rounded Corners 9">
          <a:extLst>
            <a:ext uri="{FF2B5EF4-FFF2-40B4-BE49-F238E27FC236}">
              <a16:creationId xmlns:a16="http://schemas.microsoft.com/office/drawing/2014/main" id="{36DD8170-F13E-42B1-5F3D-7E4D83D347BB}"/>
            </a:ext>
          </a:extLst>
        </xdr:cNvPr>
        <xdr:cNvSpPr/>
      </xdr:nvSpPr>
      <xdr:spPr>
        <a:xfrm>
          <a:off x="3095625" y="304800"/>
          <a:ext cx="10706100" cy="561975"/>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endParaRPr lang="en-IN" sz="2400">
            <a:solidFill>
              <a:srgbClr val="002060"/>
            </a:solidFill>
            <a:latin typeface="+mn-lt"/>
          </a:endParaRPr>
        </a:p>
      </xdr:txBody>
    </xdr:sp>
    <xdr:clientData/>
  </xdr:twoCellAnchor>
  <xdr:twoCellAnchor>
    <xdr:from>
      <xdr:col>0</xdr:col>
      <xdr:colOff>238125</xdr:colOff>
      <xdr:row>1</xdr:row>
      <xdr:rowOff>38100</xdr:rowOff>
    </xdr:from>
    <xdr:to>
      <xdr:col>4</xdr:col>
      <xdr:colOff>485775</xdr:colOff>
      <xdr:row>21</xdr:row>
      <xdr:rowOff>28575</xdr:rowOff>
    </xdr:to>
    <xdr:sp macro="" textlink="">
      <xdr:nvSpPr>
        <xdr:cNvPr id="12" name="Rectangle: Rounded Corners 11">
          <a:extLst>
            <a:ext uri="{FF2B5EF4-FFF2-40B4-BE49-F238E27FC236}">
              <a16:creationId xmlns:a16="http://schemas.microsoft.com/office/drawing/2014/main" id="{3A86DAE7-892D-F37F-EABF-7BB7EC4882EB}"/>
            </a:ext>
          </a:extLst>
        </xdr:cNvPr>
        <xdr:cNvSpPr/>
      </xdr:nvSpPr>
      <xdr:spPr>
        <a:xfrm>
          <a:off x="238125" y="228600"/>
          <a:ext cx="2686050" cy="3800475"/>
        </a:xfrm>
        <a:prstGeom prst="roundRect">
          <a:avLst>
            <a:gd name="adj" fmla="val 2837"/>
          </a:avLst>
        </a:prstGeom>
        <a:solidFill>
          <a:schemeClr val="bg1">
            <a:lumMod val="6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323850</xdr:colOff>
      <xdr:row>1</xdr:row>
      <xdr:rowOff>114300</xdr:rowOff>
    </xdr:from>
    <xdr:to>
      <xdr:col>4</xdr:col>
      <xdr:colOff>428625</xdr:colOff>
      <xdr:row>7</xdr:row>
      <xdr:rowOff>104775</xdr:rowOff>
    </xdr:to>
    <xdr:sp macro="" textlink="">
      <xdr:nvSpPr>
        <xdr:cNvPr id="13" name="Rectangle: Rounded Corners 12">
          <a:extLst>
            <a:ext uri="{FF2B5EF4-FFF2-40B4-BE49-F238E27FC236}">
              <a16:creationId xmlns:a16="http://schemas.microsoft.com/office/drawing/2014/main" id="{528B8853-7379-EF4B-E38F-4093F593A186}"/>
            </a:ext>
          </a:extLst>
        </xdr:cNvPr>
        <xdr:cNvSpPr/>
      </xdr:nvSpPr>
      <xdr:spPr>
        <a:xfrm>
          <a:off x="323850" y="304800"/>
          <a:ext cx="2543175" cy="1133475"/>
        </a:xfrm>
        <a:prstGeom prst="roundRect">
          <a:avLst>
            <a:gd name="adj" fmla="val 1541"/>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400" b="1">
              <a:solidFill>
                <a:srgbClr val="FFFF00"/>
              </a:solidFill>
            </a:rPr>
            <a:t>Attendance Type</a:t>
          </a:r>
        </a:p>
      </xdr:txBody>
    </xdr:sp>
    <xdr:clientData/>
  </xdr:twoCellAnchor>
  <xdr:twoCellAnchor>
    <xdr:from>
      <xdr:col>0</xdr:col>
      <xdr:colOff>400050</xdr:colOff>
      <xdr:row>3</xdr:row>
      <xdr:rowOff>19050</xdr:rowOff>
    </xdr:from>
    <xdr:to>
      <xdr:col>4</xdr:col>
      <xdr:colOff>381000</xdr:colOff>
      <xdr:row>7</xdr:row>
      <xdr:rowOff>38100</xdr:rowOff>
    </xdr:to>
    <xdr:sp macro="" textlink="">
      <xdr:nvSpPr>
        <xdr:cNvPr id="14" name="Rectangle 13">
          <a:extLst>
            <a:ext uri="{FF2B5EF4-FFF2-40B4-BE49-F238E27FC236}">
              <a16:creationId xmlns:a16="http://schemas.microsoft.com/office/drawing/2014/main" id="{763C5EC0-CF6C-E7AC-90AE-00E5B50FFE6C}"/>
            </a:ext>
          </a:extLst>
        </xdr:cNvPr>
        <xdr:cNvSpPr/>
      </xdr:nvSpPr>
      <xdr:spPr>
        <a:xfrm>
          <a:off x="400050" y="590550"/>
          <a:ext cx="2419350" cy="781050"/>
        </a:xfrm>
        <a:prstGeom prst="rect">
          <a:avLst/>
        </a:prstGeom>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314325</xdr:colOff>
      <xdr:row>7</xdr:row>
      <xdr:rowOff>152401</xdr:rowOff>
    </xdr:from>
    <xdr:to>
      <xdr:col>4</xdr:col>
      <xdr:colOff>419100</xdr:colOff>
      <xdr:row>21</xdr:row>
      <xdr:rowOff>1</xdr:rowOff>
    </xdr:to>
    <xdr:sp macro="" textlink="">
      <xdr:nvSpPr>
        <xdr:cNvPr id="15" name="Rectangle: Rounded Corners 14">
          <a:extLst>
            <a:ext uri="{FF2B5EF4-FFF2-40B4-BE49-F238E27FC236}">
              <a16:creationId xmlns:a16="http://schemas.microsoft.com/office/drawing/2014/main" id="{5BC8187B-B24A-4E51-846D-8BC9D742059E}"/>
            </a:ext>
          </a:extLst>
        </xdr:cNvPr>
        <xdr:cNvSpPr/>
      </xdr:nvSpPr>
      <xdr:spPr>
        <a:xfrm>
          <a:off x="314325" y="1485901"/>
          <a:ext cx="2543175" cy="2514600"/>
        </a:xfrm>
        <a:prstGeom prst="roundRect">
          <a:avLst>
            <a:gd name="adj" fmla="val 1541"/>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400" b="1">
              <a:solidFill>
                <a:srgbClr val="FFFF00"/>
              </a:solidFill>
            </a:rPr>
            <a:t>Session Preference</a:t>
          </a:r>
        </a:p>
      </xdr:txBody>
    </xdr:sp>
    <xdr:clientData/>
  </xdr:twoCellAnchor>
  <xdr:twoCellAnchor>
    <xdr:from>
      <xdr:col>0</xdr:col>
      <xdr:colOff>371475</xdr:colOff>
      <xdr:row>9</xdr:row>
      <xdr:rowOff>66675</xdr:rowOff>
    </xdr:from>
    <xdr:to>
      <xdr:col>4</xdr:col>
      <xdr:colOff>352425</xdr:colOff>
      <xdr:row>20</xdr:row>
      <xdr:rowOff>123824</xdr:rowOff>
    </xdr:to>
    <xdr:sp macro="" textlink="">
      <xdr:nvSpPr>
        <xdr:cNvPr id="16" name="Rectangle 15">
          <a:extLst>
            <a:ext uri="{FF2B5EF4-FFF2-40B4-BE49-F238E27FC236}">
              <a16:creationId xmlns:a16="http://schemas.microsoft.com/office/drawing/2014/main" id="{16769DDD-9D19-428D-B7D1-53BBE4798397}"/>
            </a:ext>
          </a:extLst>
        </xdr:cNvPr>
        <xdr:cNvSpPr/>
      </xdr:nvSpPr>
      <xdr:spPr>
        <a:xfrm>
          <a:off x="371475" y="1781175"/>
          <a:ext cx="2419350" cy="2152649"/>
        </a:xfrm>
        <a:prstGeom prst="rect">
          <a:avLst/>
        </a:prstGeom>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561975</xdr:colOff>
      <xdr:row>4</xdr:row>
      <xdr:rowOff>171449</xdr:rowOff>
    </xdr:from>
    <xdr:to>
      <xdr:col>22</xdr:col>
      <xdr:colOff>447675</xdr:colOff>
      <xdr:row>24</xdr:row>
      <xdr:rowOff>152400</xdr:rowOff>
    </xdr:to>
    <xdr:sp macro="" textlink="">
      <xdr:nvSpPr>
        <xdr:cNvPr id="23" name="Rectangle: Rounded Corners 22">
          <a:extLst>
            <a:ext uri="{FF2B5EF4-FFF2-40B4-BE49-F238E27FC236}">
              <a16:creationId xmlns:a16="http://schemas.microsoft.com/office/drawing/2014/main" id="{0041F195-BB4B-E712-C854-FE2ABC803441}"/>
            </a:ext>
          </a:extLst>
        </xdr:cNvPr>
        <xdr:cNvSpPr/>
      </xdr:nvSpPr>
      <xdr:spPr>
        <a:xfrm>
          <a:off x="3000375" y="933449"/>
          <a:ext cx="10858500" cy="3790951"/>
        </a:xfrm>
        <a:prstGeom prst="roundRect">
          <a:avLst>
            <a:gd name="adj" fmla="val 1042"/>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590550</xdr:colOff>
      <xdr:row>9</xdr:row>
      <xdr:rowOff>161925</xdr:rowOff>
    </xdr:from>
    <xdr:to>
      <xdr:col>22</xdr:col>
      <xdr:colOff>428625</xdr:colOff>
      <xdr:row>24</xdr:row>
      <xdr:rowOff>152400</xdr:rowOff>
    </xdr:to>
    <xdr:sp macro="" textlink="">
      <xdr:nvSpPr>
        <xdr:cNvPr id="24" name="Rectangle: Rounded Corners 23">
          <a:extLst>
            <a:ext uri="{FF2B5EF4-FFF2-40B4-BE49-F238E27FC236}">
              <a16:creationId xmlns:a16="http://schemas.microsoft.com/office/drawing/2014/main" id="{75640064-F248-4B54-AAB6-084FB6BC1D05}"/>
            </a:ext>
          </a:extLst>
        </xdr:cNvPr>
        <xdr:cNvSpPr/>
      </xdr:nvSpPr>
      <xdr:spPr>
        <a:xfrm>
          <a:off x="3028950" y="1876425"/>
          <a:ext cx="10810875" cy="2847975"/>
        </a:xfrm>
        <a:prstGeom prst="roundRect">
          <a:avLst>
            <a:gd name="adj" fmla="val 1133"/>
          </a:avLst>
        </a:prstGeom>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5</xdr:col>
      <xdr:colOff>28574</xdr:colOff>
      <xdr:row>9</xdr:row>
      <xdr:rowOff>180975</xdr:rowOff>
    </xdr:from>
    <xdr:to>
      <xdr:col>17</xdr:col>
      <xdr:colOff>295275</xdr:colOff>
      <xdr:row>24</xdr:row>
      <xdr:rowOff>142875</xdr:rowOff>
    </xdr:to>
    <xdr:sp macro="" textlink="">
      <xdr:nvSpPr>
        <xdr:cNvPr id="25" name="Rectangle: Rounded Corners 24">
          <a:extLst>
            <a:ext uri="{FF2B5EF4-FFF2-40B4-BE49-F238E27FC236}">
              <a16:creationId xmlns:a16="http://schemas.microsoft.com/office/drawing/2014/main" id="{C75261C0-B0BE-0520-732D-D844BFBA2AFF}"/>
            </a:ext>
          </a:extLst>
        </xdr:cNvPr>
        <xdr:cNvSpPr/>
      </xdr:nvSpPr>
      <xdr:spPr>
        <a:xfrm>
          <a:off x="3076574" y="1895475"/>
          <a:ext cx="7581901" cy="2819400"/>
        </a:xfrm>
        <a:prstGeom prst="roundRect">
          <a:avLst>
            <a:gd name="adj" fmla="val 153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400" b="1">
              <a:solidFill>
                <a:srgbClr val="FFFF00"/>
              </a:solidFill>
            </a:rPr>
            <a:t>Revenue</a:t>
          </a:r>
          <a:r>
            <a:rPr lang="en-IN" sz="1400" b="1" baseline="0">
              <a:solidFill>
                <a:srgbClr val="FFFF00"/>
              </a:solidFill>
            </a:rPr>
            <a:t> by Session</a:t>
          </a:r>
          <a:endParaRPr lang="en-IN" sz="1400" b="1">
            <a:solidFill>
              <a:srgbClr val="FFFF00"/>
            </a:solidFill>
          </a:endParaRPr>
        </a:p>
      </xdr:txBody>
    </xdr:sp>
    <xdr:clientData/>
  </xdr:twoCellAnchor>
  <xdr:twoCellAnchor>
    <xdr:from>
      <xdr:col>17</xdr:col>
      <xdr:colOff>323850</xdr:colOff>
      <xdr:row>10</xdr:row>
      <xdr:rowOff>0</xdr:rowOff>
    </xdr:from>
    <xdr:to>
      <xdr:col>22</xdr:col>
      <xdr:colOff>419100</xdr:colOff>
      <xdr:row>24</xdr:row>
      <xdr:rowOff>123825</xdr:rowOff>
    </xdr:to>
    <xdr:sp macro="" textlink="">
      <xdr:nvSpPr>
        <xdr:cNvPr id="18" name="Rectangle 17">
          <a:extLst>
            <a:ext uri="{FF2B5EF4-FFF2-40B4-BE49-F238E27FC236}">
              <a16:creationId xmlns:a16="http://schemas.microsoft.com/office/drawing/2014/main" id="{64878A72-DCB5-9B0B-94CE-40C4E2A4664A}"/>
            </a:ext>
          </a:extLst>
        </xdr:cNvPr>
        <xdr:cNvSpPr/>
      </xdr:nvSpPr>
      <xdr:spPr>
        <a:xfrm>
          <a:off x="10687050" y="1905000"/>
          <a:ext cx="3143250" cy="2790825"/>
        </a:xfrm>
        <a:prstGeom prst="rect">
          <a:avLst/>
        </a:prstGeom>
        <a:solidFill>
          <a:schemeClr val="accent2">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r>
            <a:rPr lang="en-IN" sz="1400" b="1">
              <a:solidFill>
                <a:srgbClr val="FFFF00"/>
              </a:solidFill>
            </a:rPr>
            <a:t>Online vs In-Person</a:t>
          </a:r>
          <a:r>
            <a:rPr lang="en-IN" sz="1400" b="1" baseline="0">
              <a:solidFill>
                <a:srgbClr val="FFFF00"/>
              </a:solidFill>
            </a:rPr>
            <a:t> Attendance</a:t>
          </a:r>
          <a:endParaRPr lang="en-IN" sz="1400" b="1">
            <a:solidFill>
              <a:srgbClr val="FFFF00"/>
            </a:solidFill>
          </a:endParaRPr>
        </a:p>
      </xdr:txBody>
    </xdr:sp>
    <xdr:clientData/>
  </xdr:twoCellAnchor>
  <xdr:twoCellAnchor>
    <xdr:from>
      <xdr:col>4</xdr:col>
      <xdr:colOff>561974</xdr:colOff>
      <xdr:row>25</xdr:row>
      <xdr:rowOff>38100</xdr:rowOff>
    </xdr:from>
    <xdr:to>
      <xdr:col>22</xdr:col>
      <xdr:colOff>419099</xdr:colOff>
      <xdr:row>38</xdr:row>
      <xdr:rowOff>152400</xdr:rowOff>
    </xdr:to>
    <xdr:sp macro="" textlink="">
      <xdr:nvSpPr>
        <xdr:cNvPr id="19" name="Rectangle: Rounded Corners 18">
          <a:extLst>
            <a:ext uri="{FF2B5EF4-FFF2-40B4-BE49-F238E27FC236}">
              <a16:creationId xmlns:a16="http://schemas.microsoft.com/office/drawing/2014/main" id="{604C3F46-2B69-ED44-065C-23A3115C33D7}"/>
            </a:ext>
          </a:extLst>
        </xdr:cNvPr>
        <xdr:cNvSpPr/>
      </xdr:nvSpPr>
      <xdr:spPr>
        <a:xfrm>
          <a:off x="3000374" y="4800600"/>
          <a:ext cx="10829925" cy="2590800"/>
        </a:xfrm>
        <a:prstGeom prst="roundRect">
          <a:avLst>
            <a:gd name="adj" fmla="val 491"/>
          </a:avLst>
        </a:prstGeom>
        <a:solidFill>
          <a:schemeClr val="accent3">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r>
            <a:rPr lang="en-IN" sz="1400">
              <a:solidFill>
                <a:srgbClr val="FFFF00"/>
              </a:solidFill>
            </a:rPr>
            <a:t>Attendee Trends over time</a:t>
          </a:r>
        </a:p>
      </xdr:txBody>
    </xdr:sp>
    <xdr:clientData/>
  </xdr:twoCellAnchor>
  <xdr:twoCellAnchor>
    <xdr:from>
      <xdr:col>0</xdr:col>
      <xdr:colOff>257177</xdr:colOff>
      <xdr:row>21</xdr:row>
      <xdr:rowOff>28575</xdr:rowOff>
    </xdr:from>
    <xdr:to>
      <xdr:col>4</xdr:col>
      <xdr:colOff>476251</xdr:colOff>
      <xdr:row>38</xdr:row>
      <xdr:rowOff>161925</xdr:rowOff>
    </xdr:to>
    <xdr:sp macro="" textlink="">
      <xdr:nvSpPr>
        <xdr:cNvPr id="20" name="Rectangle: Rounded Corners 19">
          <a:extLst>
            <a:ext uri="{FF2B5EF4-FFF2-40B4-BE49-F238E27FC236}">
              <a16:creationId xmlns:a16="http://schemas.microsoft.com/office/drawing/2014/main" id="{1D9DA1BE-27D5-53BF-75F3-BE0C71EAC86C}"/>
            </a:ext>
          </a:extLst>
        </xdr:cNvPr>
        <xdr:cNvSpPr/>
      </xdr:nvSpPr>
      <xdr:spPr>
        <a:xfrm>
          <a:off x="257177" y="4029075"/>
          <a:ext cx="2657474" cy="3371850"/>
        </a:xfrm>
        <a:prstGeom prst="roundRect">
          <a:avLst>
            <a:gd name="adj" fmla="val 905"/>
          </a:avLst>
        </a:prstGeom>
        <a:solidFill>
          <a:schemeClr val="accent2">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r>
            <a:rPr lang="en-IN" sz="1400" b="1">
              <a:solidFill>
                <a:srgbClr val="FFFF00"/>
              </a:solidFill>
            </a:rPr>
            <a:t>Key Metrics</a:t>
          </a:r>
        </a:p>
      </xdr:txBody>
    </xdr:sp>
    <xdr:clientData/>
  </xdr:twoCellAnchor>
  <xdr:oneCellAnchor>
    <xdr:from>
      <xdr:col>1</xdr:col>
      <xdr:colOff>190500</xdr:colOff>
      <xdr:row>23</xdr:row>
      <xdr:rowOff>57150</xdr:rowOff>
    </xdr:from>
    <xdr:ext cx="1489575" cy="280205"/>
    <xdr:sp macro="" textlink="">
      <xdr:nvSpPr>
        <xdr:cNvPr id="21" name="TextBox 20">
          <a:extLst>
            <a:ext uri="{FF2B5EF4-FFF2-40B4-BE49-F238E27FC236}">
              <a16:creationId xmlns:a16="http://schemas.microsoft.com/office/drawing/2014/main" id="{9C11BB6B-1337-FCFB-CDFF-8DDCBA1F4C54}"/>
            </a:ext>
          </a:extLst>
        </xdr:cNvPr>
        <xdr:cNvSpPr txBox="1"/>
      </xdr:nvSpPr>
      <xdr:spPr>
        <a:xfrm>
          <a:off x="800100" y="4438650"/>
          <a:ext cx="1489575"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1200">
              <a:solidFill>
                <a:srgbClr val="FFFF00"/>
              </a:solidFill>
            </a:rPr>
            <a:t>Attendee Headcount</a:t>
          </a:r>
        </a:p>
      </xdr:txBody>
    </xdr:sp>
    <xdr:clientData/>
  </xdr:oneCellAnchor>
  <xdr:oneCellAnchor>
    <xdr:from>
      <xdr:col>1</xdr:col>
      <xdr:colOff>466725</xdr:colOff>
      <xdr:row>27</xdr:row>
      <xdr:rowOff>38100</xdr:rowOff>
    </xdr:from>
    <xdr:ext cx="729110" cy="280205"/>
    <xdr:sp macro="" textlink="">
      <xdr:nvSpPr>
        <xdr:cNvPr id="26" name="TextBox 25">
          <a:extLst>
            <a:ext uri="{FF2B5EF4-FFF2-40B4-BE49-F238E27FC236}">
              <a16:creationId xmlns:a16="http://schemas.microsoft.com/office/drawing/2014/main" id="{D70940F3-E69D-4623-AFB2-644B59968526}"/>
            </a:ext>
          </a:extLst>
        </xdr:cNvPr>
        <xdr:cNvSpPr txBox="1"/>
      </xdr:nvSpPr>
      <xdr:spPr>
        <a:xfrm>
          <a:off x="1076325" y="5181600"/>
          <a:ext cx="729110"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1200">
              <a:solidFill>
                <a:srgbClr val="FFFF00"/>
              </a:solidFill>
            </a:rPr>
            <a:t>Revenue</a:t>
          </a:r>
        </a:p>
      </xdr:txBody>
    </xdr:sp>
    <xdr:clientData/>
  </xdr:oneCellAnchor>
  <xdr:oneCellAnchor>
    <xdr:from>
      <xdr:col>1</xdr:col>
      <xdr:colOff>514350</xdr:colOff>
      <xdr:row>31</xdr:row>
      <xdr:rowOff>47625</xdr:rowOff>
    </xdr:from>
    <xdr:ext cx="532838" cy="280205"/>
    <xdr:sp macro="" textlink="">
      <xdr:nvSpPr>
        <xdr:cNvPr id="2" name="TextBox 1">
          <a:extLst>
            <a:ext uri="{FF2B5EF4-FFF2-40B4-BE49-F238E27FC236}">
              <a16:creationId xmlns:a16="http://schemas.microsoft.com/office/drawing/2014/main" id="{8E253F90-E9A5-4BD5-8D85-DE1B2095EB54}"/>
            </a:ext>
          </a:extLst>
        </xdr:cNvPr>
        <xdr:cNvSpPr txBox="1"/>
      </xdr:nvSpPr>
      <xdr:spPr>
        <a:xfrm>
          <a:off x="1123950" y="5953125"/>
          <a:ext cx="532838"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1200">
              <a:solidFill>
                <a:srgbClr val="FFFF00"/>
              </a:solidFill>
            </a:rPr>
            <a:t>Profit</a:t>
          </a:r>
        </a:p>
      </xdr:txBody>
    </xdr:sp>
    <xdr:clientData/>
  </xdr:oneCellAnchor>
  <xdr:oneCellAnchor>
    <xdr:from>
      <xdr:col>1</xdr:col>
      <xdr:colOff>257175</xdr:colOff>
      <xdr:row>24</xdr:row>
      <xdr:rowOff>123824</xdr:rowOff>
    </xdr:from>
    <xdr:ext cx="1276350" cy="468013"/>
    <xdr:sp macro="" textlink="'Pivot Data'!E28">
      <xdr:nvSpPr>
        <xdr:cNvPr id="17" name="TextBox 16">
          <a:extLst>
            <a:ext uri="{FF2B5EF4-FFF2-40B4-BE49-F238E27FC236}">
              <a16:creationId xmlns:a16="http://schemas.microsoft.com/office/drawing/2014/main" id="{580351DD-4CA8-5BA0-C242-A0D7599DDB1E}"/>
            </a:ext>
          </a:extLst>
        </xdr:cNvPr>
        <xdr:cNvSpPr txBox="1"/>
      </xdr:nvSpPr>
      <xdr:spPr>
        <a:xfrm>
          <a:off x="866775" y="4695824"/>
          <a:ext cx="1276350" cy="468013"/>
        </a:xfrm>
        <a:prstGeom prst="rect">
          <a:avLst/>
        </a:prstGeom>
        <a:solidFill>
          <a:schemeClr val="accent6">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r"/>
          <a:fld id="{BAC9384B-2B96-41FC-A4E1-056F0D2526E5}" type="TxLink">
            <a:rPr lang="en-US" sz="2400" b="0" i="0" u="none" strike="noStrike">
              <a:solidFill>
                <a:schemeClr val="accent1">
                  <a:lumMod val="50000"/>
                </a:schemeClr>
              </a:solidFill>
              <a:latin typeface="Calibri"/>
              <a:cs typeface="Calibri"/>
            </a:rPr>
            <a:pPr algn="r"/>
            <a:t>16</a:t>
          </a:fld>
          <a:endParaRPr lang="en-IN" sz="2400">
            <a:solidFill>
              <a:schemeClr val="accent1">
                <a:lumMod val="50000"/>
              </a:schemeClr>
            </a:solidFill>
          </a:endParaRPr>
        </a:p>
      </xdr:txBody>
    </xdr:sp>
    <xdr:clientData/>
  </xdr:oneCellAnchor>
  <xdr:oneCellAnchor>
    <xdr:from>
      <xdr:col>1</xdr:col>
      <xdr:colOff>228600</xdr:colOff>
      <xdr:row>28</xdr:row>
      <xdr:rowOff>95249</xdr:rowOff>
    </xdr:from>
    <xdr:ext cx="1276350" cy="468013"/>
    <xdr:sp macro="" textlink="'Pivot Data'!E29">
      <xdr:nvSpPr>
        <xdr:cNvPr id="22" name="TextBox 21">
          <a:extLst>
            <a:ext uri="{FF2B5EF4-FFF2-40B4-BE49-F238E27FC236}">
              <a16:creationId xmlns:a16="http://schemas.microsoft.com/office/drawing/2014/main" id="{D8853A8A-6CA6-4FEB-818F-48C7D52E4B69}"/>
            </a:ext>
          </a:extLst>
        </xdr:cNvPr>
        <xdr:cNvSpPr txBox="1"/>
      </xdr:nvSpPr>
      <xdr:spPr>
        <a:xfrm>
          <a:off x="838200" y="5429249"/>
          <a:ext cx="1276350" cy="468013"/>
        </a:xfrm>
        <a:prstGeom prst="rect">
          <a:avLst/>
        </a:prstGeom>
        <a:solidFill>
          <a:schemeClr val="accent6">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r"/>
          <a:fld id="{C43EC633-EC6E-498D-9E1D-7B3F94B9C541}" type="TxLink">
            <a:rPr lang="en-US" sz="2400" b="0" i="0" u="none" strike="noStrike">
              <a:solidFill>
                <a:schemeClr val="accent1">
                  <a:lumMod val="50000"/>
                </a:schemeClr>
              </a:solidFill>
              <a:latin typeface="Calibri"/>
              <a:cs typeface="Calibri"/>
            </a:rPr>
            <a:pPr algn="r"/>
            <a:t>3,801</a:t>
          </a:fld>
          <a:endParaRPr lang="en-IN" sz="2400">
            <a:solidFill>
              <a:schemeClr val="accent1">
                <a:lumMod val="50000"/>
              </a:schemeClr>
            </a:solidFill>
          </a:endParaRPr>
        </a:p>
      </xdr:txBody>
    </xdr:sp>
    <xdr:clientData/>
  </xdr:oneCellAnchor>
  <xdr:oneCellAnchor>
    <xdr:from>
      <xdr:col>1</xdr:col>
      <xdr:colOff>209550</xdr:colOff>
      <xdr:row>32</xdr:row>
      <xdr:rowOff>133349</xdr:rowOff>
    </xdr:from>
    <xdr:ext cx="1276350" cy="468013"/>
    <xdr:sp macro="" textlink="'Pivot Data'!E30">
      <xdr:nvSpPr>
        <xdr:cNvPr id="27" name="TextBox 26">
          <a:extLst>
            <a:ext uri="{FF2B5EF4-FFF2-40B4-BE49-F238E27FC236}">
              <a16:creationId xmlns:a16="http://schemas.microsoft.com/office/drawing/2014/main" id="{D08CCA3F-B98B-4FE3-923D-AE2C01131FE9}"/>
            </a:ext>
          </a:extLst>
        </xdr:cNvPr>
        <xdr:cNvSpPr txBox="1"/>
      </xdr:nvSpPr>
      <xdr:spPr>
        <a:xfrm>
          <a:off x="819150" y="6229349"/>
          <a:ext cx="1276350" cy="468013"/>
        </a:xfrm>
        <a:prstGeom prst="rect">
          <a:avLst/>
        </a:prstGeom>
        <a:solidFill>
          <a:schemeClr val="accent6">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r"/>
          <a:fld id="{7F25FB77-C364-4656-A9C2-8C4873302014}" type="TxLink">
            <a:rPr lang="en-US" sz="2400" b="0" i="0" u="none" strike="noStrike">
              <a:solidFill>
                <a:schemeClr val="accent1">
                  <a:lumMod val="50000"/>
                </a:schemeClr>
              </a:solidFill>
              <a:latin typeface="Calibri"/>
              <a:cs typeface="Calibri"/>
            </a:rPr>
            <a:pPr algn="r"/>
            <a:t>-5,699</a:t>
          </a:fld>
          <a:endParaRPr lang="en-IN" sz="2400">
            <a:solidFill>
              <a:schemeClr val="accent1">
                <a:lumMod val="50000"/>
              </a:schemeClr>
            </a:solidFill>
          </a:endParaRPr>
        </a:p>
      </xdr:txBody>
    </xdr:sp>
    <xdr:clientData/>
  </xdr:oneCellAnchor>
  <xdr:twoCellAnchor>
    <xdr:from>
      <xdr:col>11</xdr:col>
      <xdr:colOff>361950</xdr:colOff>
      <xdr:row>1</xdr:row>
      <xdr:rowOff>142875</xdr:rowOff>
    </xdr:from>
    <xdr:to>
      <xdr:col>15</xdr:col>
      <xdr:colOff>390526</xdr:colOff>
      <xdr:row>4</xdr:row>
      <xdr:rowOff>85725</xdr:rowOff>
    </xdr:to>
    <xdr:sp macro="[0]!Refresh_Event_Dashboard" textlink="">
      <xdr:nvSpPr>
        <xdr:cNvPr id="3" name="Rectangle: Rounded Corners 2">
          <a:extLst>
            <a:ext uri="{FF2B5EF4-FFF2-40B4-BE49-F238E27FC236}">
              <a16:creationId xmlns:a16="http://schemas.microsoft.com/office/drawing/2014/main" id="{89FD01CD-D670-B9FA-B134-B355EDCEAE74}"/>
            </a:ext>
          </a:extLst>
        </xdr:cNvPr>
        <xdr:cNvSpPr/>
      </xdr:nvSpPr>
      <xdr:spPr>
        <a:xfrm>
          <a:off x="7067550" y="333375"/>
          <a:ext cx="2466976" cy="514350"/>
        </a:xfrm>
        <a:prstGeom prst="roundRect">
          <a:avLst>
            <a:gd name="adj" fmla="val 50000"/>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IN" sz="2400">
              <a:solidFill>
                <a:schemeClr val="accent1">
                  <a:lumMod val="50000"/>
                </a:schemeClr>
              </a:solidFill>
            </a:rPr>
            <a:t>Event Dashboard</a:t>
          </a:r>
        </a:p>
      </xdr:txBody>
    </xdr:sp>
    <xdr:clientData/>
  </xdr:twoCellAnchor>
  <xdr:twoCellAnchor editAs="oneCell">
    <xdr:from>
      <xdr:col>0</xdr:col>
      <xdr:colOff>409575</xdr:colOff>
      <xdr:row>3</xdr:row>
      <xdr:rowOff>28575</xdr:rowOff>
    </xdr:from>
    <xdr:to>
      <xdr:col>4</xdr:col>
      <xdr:colOff>361950</xdr:colOff>
      <xdr:row>7</xdr:row>
      <xdr:rowOff>47625</xdr:rowOff>
    </xdr:to>
    <mc:AlternateContent xmlns:mc="http://schemas.openxmlformats.org/markup-compatibility/2006" xmlns:a14="http://schemas.microsoft.com/office/drawing/2010/main">
      <mc:Choice Requires="a14">
        <xdr:graphicFrame macro="">
          <xdr:nvGraphicFramePr>
            <xdr:cNvPr id="6" name="Attendance Type">
              <a:extLst>
                <a:ext uri="{FF2B5EF4-FFF2-40B4-BE49-F238E27FC236}">
                  <a16:creationId xmlns:a16="http://schemas.microsoft.com/office/drawing/2014/main" id="{B820423F-429D-458A-8ED5-D695441AEE93}"/>
                </a:ext>
              </a:extLst>
            </xdr:cNvPr>
            <xdr:cNvGraphicFramePr/>
          </xdr:nvGraphicFramePr>
          <xdr:xfrm>
            <a:off x="0" y="0"/>
            <a:ext cx="0" cy="0"/>
          </xdr:xfrm>
          <a:graphic>
            <a:graphicData uri="http://schemas.microsoft.com/office/drawing/2010/slicer">
              <sle:slicer xmlns:sle="http://schemas.microsoft.com/office/drawing/2010/slicer" name="Attendance Type"/>
            </a:graphicData>
          </a:graphic>
        </xdr:graphicFrame>
      </mc:Choice>
      <mc:Fallback xmlns="">
        <xdr:sp macro="" textlink="">
          <xdr:nvSpPr>
            <xdr:cNvPr id="0" name=""/>
            <xdr:cNvSpPr>
              <a:spLocks noTextEdit="1"/>
            </xdr:cNvSpPr>
          </xdr:nvSpPr>
          <xdr:spPr>
            <a:xfrm>
              <a:off x="409575" y="600075"/>
              <a:ext cx="2390775" cy="7810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400049</xdr:colOff>
      <xdr:row>9</xdr:row>
      <xdr:rowOff>104773</xdr:rowOff>
    </xdr:from>
    <xdr:to>
      <xdr:col>4</xdr:col>
      <xdr:colOff>304800</xdr:colOff>
      <xdr:row>20</xdr:row>
      <xdr:rowOff>95250</xdr:rowOff>
    </xdr:to>
    <mc:AlternateContent xmlns:mc="http://schemas.openxmlformats.org/markup-compatibility/2006" xmlns:a14="http://schemas.microsoft.com/office/drawing/2010/main">
      <mc:Choice Requires="a14">
        <xdr:graphicFrame macro="">
          <xdr:nvGraphicFramePr>
            <xdr:cNvPr id="8" name="Session Preference">
              <a:extLst>
                <a:ext uri="{FF2B5EF4-FFF2-40B4-BE49-F238E27FC236}">
                  <a16:creationId xmlns:a16="http://schemas.microsoft.com/office/drawing/2014/main" id="{30DDE910-F154-4E29-B2B5-76BBC0E69AAC}"/>
                </a:ext>
              </a:extLst>
            </xdr:cNvPr>
            <xdr:cNvGraphicFramePr/>
          </xdr:nvGraphicFramePr>
          <xdr:xfrm>
            <a:off x="0" y="0"/>
            <a:ext cx="0" cy="0"/>
          </xdr:xfrm>
          <a:graphic>
            <a:graphicData uri="http://schemas.microsoft.com/office/drawing/2010/slicer">
              <sle:slicer xmlns:sle="http://schemas.microsoft.com/office/drawing/2010/slicer" name="Session Preference"/>
            </a:graphicData>
          </a:graphic>
        </xdr:graphicFrame>
      </mc:Choice>
      <mc:Fallback xmlns="">
        <xdr:sp macro="" textlink="">
          <xdr:nvSpPr>
            <xdr:cNvPr id="0" name=""/>
            <xdr:cNvSpPr>
              <a:spLocks noTextEdit="1"/>
            </xdr:cNvSpPr>
          </xdr:nvSpPr>
          <xdr:spPr>
            <a:xfrm>
              <a:off x="400049" y="1819273"/>
              <a:ext cx="2343151" cy="208597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17</xdr:col>
      <xdr:colOff>333375</xdr:colOff>
      <xdr:row>11</xdr:row>
      <xdr:rowOff>76200</xdr:rowOff>
    </xdr:from>
    <xdr:to>
      <xdr:col>22</xdr:col>
      <xdr:colOff>390525</xdr:colOff>
      <xdr:row>24</xdr:row>
      <xdr:rowOff>114300</xdr:rowOff>
    </xdr:to>
    <xdr:graphicFrame macro="">
      <xdr:nvGraphicFramePr>
        <xdr:cNvPr id="32" name="Chart 31">
          <a:extLst>
            <a:ext uri="{FF2B5EF4-FFF2-40B4-BE49-F238E27FC236}">
              <a16:creationId xmlns:a16="http://schemas.microsoft.com/office/drawing/2014/main" id="{52ED187C-1C13-4A08-A69C-2923B75EF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47623</xdr:colOff>
      <xdr:row>11</xdr:row>
      <xdr:rowOff>76200</xdr:rowOff>
    </xdr:from>
    <xdr:to>
      <xdr:col>17</xdr:col>
      <xdr:colOff>276224</xdr:colOff>
      <xdr:row>24</xdr:row>
      <xdr:rowOff>133350</xdr:rowOff>
    </xdr:to>
    <xdr:graphicFrame macro="">
      <xdr:nvGraphicFramePr>
        <xdr:cNvPr id="33" name="Chart 32">
          <a:extLst>
            <a:ext uri="{FF2B5EF4-FFF2-40B4-BE49-F238E27FC236}">
              <a16:creationId xmlns:a16="http://schemas.microsoft.com/office/drawing/2014/main" id="{313C01EC-9CF0-4925-9468-E0AD78D2B98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4</xdr:col>
      <xdr:colOff>581024</xdr:colOff>
      <xdr:row>5</xdr:row>
      <xdr:rowOff>0</xdr:rowOff>
    </xdr:from>
    <xdr:to>
      <xdr:col>22</xdr:col>
      <xdr:colOff>419100</xdr:colOff>
      <xdr:row>9</xdr:row>
      <xdr:rowOff>133349</xdr:rowOff>
    </xdr:to>
    <mc:AlternateContent xmlns:mc="http://schemas.openxmlformats.org/markup-compatibility/2006" xmlns:tsle="http://schemas.microsoft.com/office/drawing/2012/timeslicer">
      <mc:Choice Requires="tsle">
        <xdr:graphicFrame macro="">
          <xdr:nvGraphicFramePr>
            <xdr:cNvPr id="5" name="Registration Date 1">
              <a:extLst>
                <a:ext uri="{FF2B5EF4-FFF2-40B4-BE49-F238E27FC236}">
                  <a16:creationId xmlns:a16="http://schemas.microsoft.com/office/drawing/2014/main" id="{0B6BC6F6-3901-4121-902A-354F7D814785}"/>
                </a:ext>
              </a:extLst>
            </xdr:cNvPr>
            <xdr:cNvGraphicFramePr/>
          </xdr:nvGraphicFramePr>
          <xdr:xfrm>
            <a:off x="0" y="0"/>
            <a:ext cx="0" cy="0"/>
          </xdr:xfrm>
          <a:graphic>
            <a:graphicData uri="http://schemas.microsoft.com/office/drawing/2012/timeslicer">
              <tsle:timeslicer name="Registration Date 1"/>
            </a:graphicData>
          </a:graphic>
        </xdr:graphicFrame>
      </mc:Choice>
      <mc:Fallback xmlns="">
        <xdr:sp macro="" textlink="">
          <xdr:nvSpPr>
            <xdr:cNvPr id="0" name=""/>
            <xdr:cNvSpPr>
              <a:spLocks noTextEdit="1"/>
            </xdr:cNvSpPr>
          </xdr:nvSpPr>
          <xdr:spPr>
            <a:xfrm>
              <a:off x="3019424" y="952500"/>
              <a:ext cx="10810876" cy="895349"/>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xdr:from>
      <xdr:col>4</xdr:col>
      <xdr:colOff>590548</xdr:colOff>
      <xdr:row>26</xdr:row>
      <xdr:rowOff>133350</xdr:rowOff>
    </xdr:from>
    <xdr:to>
      <xdr:col>22</xdr:col>
      <xdr:colOff>380999</xdr:colOff>
      <xdr:row>38</xdr:row>
      <xdr:rowOff>133350</xdr:rowOff>
    </xdr:to>
    <xdr:graphicFrame macro="">
      <xdr:nvGraphicFramePr>
        <xdr:cNvPr id="7" name="Chart 6">
          <a:extLst>
            <a:ext uri="{FF2B5EF4-FFF2-40B4-BE49-F238E27FC236}">
              <a16:creationId xmlns:a16="http://schemas.microsoft.com/office/drawing/2014/main" id="{2E555D66-56CE-4A65-85FD-EF35E64CE1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ADMIN" refreshedDate="45981.247061458336" createdVersion="8" refreshedVersion="8" minRefreshableVersion="3" recordCount="500" xr:uid="{7F855693-19AD-44BB-840A-000F7EBE2B4D}">
  <cacheSource type="worksheet">
    <worksheetSource name="ConferenceDetails"/>
  </cacheSource>
  <cacheFields count="12">
    <cacheField name="AttendeeID" numFmtId="0">
      <sharedItems/>
    </cacheField>
    <cacheField name="Name" numFmtId="0">
      <sharedItems/>
    </cacheField>
    <cacheField name="Email" numFmtId="0">
      <sharedItems/>
    </cacheField>
    <cacheField name="Session Preference" numFmtId="0">
      <sharedItems count="10">
        <s v="Business"/>
        <s v="Education"/>
        <s v="Finance"/>
        <s v="Health Care"/>
        <s v="Hospitality"/>
        <s v="Investment"/>
        <s v="Leadership"/>
        <s v="Marketing"/>
        <s v="Technology"/>
        <s v="Tourism"/>
      </sharedItems>
    </cacheField>
    <cacheField name="Attendance Type" numFmtId="0">
      <sharedItems count="2">
        <s v="In-Person"/>
        <s v="Online"/>
      </sharedItems>
    </cacheField>
    <cacheField name="Workshop" numFmtId="0">
      <sharedItems/>
    </cacheField>
    <cacheField name="Dietary Preference" numFmtId="0">
      <sharedItems/>
    </cacheField>
    <cacheField name="Registration Date" numFmtId="14">
      <sharedItems containsSemiMixedTypes="0" containsNonDate="0" containsDate="1" containsString="0" minDate="2023-01-19T00:00:00" maxDate="2025-11-21T00:00:00" count="73">
        <d v="2023-01-19T00:00:00"/>
        <d v="2023-02-09T00:00:00"/>
        <d v="2023-02-23T00:00:00"/>
        <d v="2023-03-02T00:00:00"/>
        <d v="2023-03-16T00:00:00"/>
        <d v="2023-03-30T00:00:00"/>
        <d v="2023-04-06T00:00:00"/>
        <d v="2023-04-20T00:00:00"/>
        <d v="2023-05-11T00:00:00"/>
        <d v="2023-05-25T00:00:00"/>
        <d v="2023-06-08T00:00:00"/>
        <d v="2023-06-22T00:00:00"/>
        <d v="2023-07-06T00:00:00"/>
        <d v="2023-07-20T00:00:00"/>
        <d v="2023-08-10T00:00:00"/>
        <d v="2023-08-24T00:00:00"/>
        <d v="2023-09-07T00:00:00"/>
        <d v="2023-09-21T00:00:00"/>
        <d v="2023-10-05T00:00:00"/>
        <d v="2023-10-19T00:00:00"/>
        <d v="2023-11-09T00:00:00"/>
        <d v="2023-11-23T00:00:00"/>
        <d v="2023-12-07T00:00:00"/>
        <d v="2023-12-21T00:00:00"/>
        <d v="2024-01-11T00:00:00"/>
        <d v="2024-01-25T00:00:00"/>
        <d v="2024-02-08T00:00:00"/>
        <d v="2024-02-22T00:00:00"/>
        <d v="2024-03-07T00:00:00"/>
        <d v="2024-03-21T00:00:00"/>
        <d v="2024-04-04T00:00:00"/>
        <d v="2024-04-18T00:00:00"/>
        <d v="2024-05-02T00:00:00"/>
        <d v="2024-05-16T00:00:00"/>
        <d v="2024-05-30T00:00:00"/>
        <d v="2024-06-06T00:00:00"/>
        <d v="2024-06-20T00:00:00"/>
        <d v="2024-07-04T00:00:00"/>
        <d v="2024-07-18T00:00:00"/>
        <d v="2024-08-01T00:00:00"/>
        <d v="2024-08-15T00:00:00"/>
        <d v="2024-08-29T00:00:00"/>
        <d v="2024-09-05T00:00:00"/>
        <d v="2024-09-19T00:00:00"/>
        <d v="2024-10-10T00:00:00"/>
        <d v="2024-10-24T00:00:00"/>
        <d v="2024-11-07T00:00:00"/>
        <d v="2024-11-21T00:00:00"/>
        <d v="2024-12-05T00:00:00"/>
        <d v="2024-12-19T00:00:00"/>
        <d v="2025-01-09T00:00:00"/>
        <d v="2025-01-23T00:00:00"/>
        <d v="2025-02-06T00:00:00"/>
        <d v="2025-02-20T00:00:00"/>
        <d v="2025-03-06T00:00:00"/>
        <d v="2025-03-20T00:00:00"/>
        <d v="2025-04-03T00:00:00"/>
        <d v="2025-04-17T00:00:00"/>
        <d v="2025-05-08T00:00:00"/>
        <d v="2025-05-22T00:00:00"/>
        <d v="2025-06-12T00:00:00"/>
        <d v="2025-06-26T00:00:00"/>
        <d v="2025-07-10T00:00:00"/>
        <d v="2025-07-24T00:00:00"/>
        <d v="2025-08-07T00:00:00"/>
        <d v="2025-08-21T00:00:00"/>
        <d v="2025-09-04T00:00:00"/>
        <d v="2025-09-18T00:00:00"/>
        <d v="2025-10-02T00:00:00"/>
        <d v="2025-10-16T00:00:00"/>
        <d v="2025-10-30T00:00:00"/>
        <d v="2025-11-06T00:00:00"/>
        <d v="2025-11-20T00:00:00"/>
      </sharedItems>
      <fieldGroup par="11"/>
    </cacheField>
    <cacheField name="Admission Price (€)" numFmtId="0">
      <sharedItems containsSemiMixedTypes="0" containsString="0" containsNumber="1" containsInteger="1" minValue="143" maxValue="254"/>
    </cacheField>
    <cacheField name="Months (Registration Date)" numFmtId="0" databaseField="0">
      <fieldGroup base="7">
        <rangePr groupBy="months" startDate="2023-01-19T00:00:00" endDate="2025-11-21T00:00:00"/>
        <groupItems count="14">
          <s v="&lt;19-01-2023"/>
          <s v="Jan"/>
          <s v="Feb"/>
          <s v="Mar"/>
          <s v="Apr"/>
          <s v="May"/>
          <s v="Jun"/>
          <s v="Jul"/>
          <s v="Aug"/>
          <s v="Sep"/>
          <s v="Oct"/>
          <s v="Nov"/>
          <s v="Dec"/>
          <s v="&gt;21-11-2025"/>
        </groupItems>
      </fieldGroup>
    </cacheField>
    <cacheField name="Quarters (Registration Date)" numFmtId="0" databaseField="0">
      <fieldGroup base="7">
        <rangePr groupBy="quarters" startDate="2023-01-19T00:00:00" endDate="2025-11-21T00:00:00"/>
        <groupItems count="6">
          <s v="&lt;19-01-2023"/>
          <s v="Qtr1"/>
          <s v="Qtr2"/>
          <s v="Qtr3"/>
          <s v="Qtr4"/>
          <s v="&gt;21-11-2025"/>
        </groupItems>
      </fieldGroup>
    </cacheField>
    <cacheField name="Years (Registration Date)" numFmtId="0" databaseField="0">
      <fieldGroup base="7">
        <rangePr groupBy="years" startDate="2023-01-19T00:00:00" endDate="2025-11-21T00:00:00"/>
        <groupItems count="5">
          <s v="&lt;19-01-2023"/>
          <s v="2023"/>
          <s v="2024"/>
          <s v="2025"/>
          <s v="&gt;21-11-2025"/>
        </groupItems>
      </fieldGroup>
    </cacheField>
  </cacheFields>
  <extLst>
    <ext xmlns:x14="http://schemas.microsoft.com/office/spreadsheetml/2009/9/main" uri="{725AE2AE-9491-48be-B2B4-4EB974FC3084}">
      <x14:pivotCacheDefinition pivotCacheId="98103332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
  <r>
    <s v="A0001"/>
    <s v="Katherine Lewis"/>
    <s v="michaelcole@gmail.com"/>
    <x v="0"/>
    <x v="0"/>
    <s v="None"/>
    <s v="Gluten-Free"/>
    <x v="0"/>
    <n v="192"/>
  </r>
  <r>
    <s v="A0002"/>
    <s v="Joshua Stephens"/>
    <s v="erin02@robinson-moody.biz"/>
    <x v="1"/>
    <x v="0"/>
    <s v="Workshop A1"/>
    <s v="Non-Vegetarian"/>
    <x v="1"/>
    <n v="229"/>
  </r>
  <r>
    <s v="A0003"/>
    <s v="Gabrielle Jennings"/>
    <s v="william93@yahoo.com"/>
    <x v="2"/>
    <x v="1"/>
    <s v="Workshop A2"/>
    <s v="Not-Required"/>
    <x v="2"/>
    <n v="187"/>
  </r>
  <r>
    <s v="A0004"/>
    <s v="Tina Carrillo"/>
    <s v="marygarcia@gutierrez-tyler.com"/>
    <x v="3"/>
    <x v="1"/>
    <s v="Workshop A3"/>
    <s v="Unlimited"/>
    <x v="3"/>
    <n v="181"/>
  </r>
  <r>
    <s v="A0005"/>
    <s v="Bryan Hamilton"/>
    <s v="antonio90@yahoo.com"/>
    <x v="4"/>
    <x v="1"/>
    <s v="Workshop B1"/>
    <s v="Vegan"/>
    <x v="4"/>
    <n v="209"/>
  </r>
  <r>
    <s v="A0006"/>
    <s v="Tina Williams"/>
    <s v="bmoore@gmail.com"/>
    <x v="5"/>
    <x v="0"/>
    <s v="Workshop B2"/>
    <s v="Vegetarian"/>
    <x v="5"/>
    <n v="229"/>
  </r>
  <r>
    <s v="A0007"/>
    <s v="Rebecca Tate"/>
    <s v="millerfrank@gmail.com"/>
    <x v="6"/>
    <x v="1"/>
    <s v="Workshop B3"/>
    <s v="Gluten-Free"/>
    <x v="6"/>
    <n v="211"/>
  </r>
  <r>
    <s v="A0008"/>
    <s v="Curtis Ortiz"/>
    <s v="justinlopez@yahoo.com"/>
    <x v="7"/>
    <x v="0"/>
    <s v="Workshop C1"/>
    <s v="Non-Vegetarian"/>
    <x v="7"/>
    <n v="245"/>
  </r>
  <r>
    <s v="A0009"/>
    <s v="Christopher Burns"/>
    <s v="brianna75@hotmail.com"/>
    <x v="8"/>
    <x v="0"/>
    <s v="Workshop C2"/>
    <s v="Not-Required"/>
    <x v="8"/>
    <n v="223"/>
  </r>
  <r>
    <s v="A0010"/>
    <s v="Bethany Turner"/>
    <s v="johnbullock@hotmail.com"/>
    <x v="9"/>
    <x v="0"/>
    <s v="Workshop D1"/>
    <s v="Unlimited"/>
    <x v="9"/>
    <n v="214"/>
  </r>
  <r>
    <s v="A0011"/>
    <s v="Kimberly Anderson"/>
    <s v="jenniferclark@yahoo.com"/>
    <x v="9"/>
    <x v="1"/>
    <s v="Workshop D2"/>
    <s v="Vegan"/>
    <x v="10"/>
    <n v="221"/>
  </r>
  <r>
    <s v="A0012"/>
    <s v="Timothy Butler"/>
    <s v="ujennings@day.biz"/>
    <x v="8"/>
    <x v="1"/>
    <s v="Workshop D2"/>
    <s v="Vegetarian"/>
    <x v="11"/>
    <n v="224"/>
  </r>
  <r>
    <s v="A0013"/>
    <s v="Gloria Ryan"/>
    <s v="michelemyers@hall-coleman.com"/>
    <x v="7"/>
    <x v="1"/>
    <s v="Workshop D1"/>
    <s v="Gluten-Free"/>
    <x v="12"/>
    <n v="222"/>
  </r>
  <r>
    <s v="A0014"/>
    <s v="Darin Hampton"/>
    <s v="bthornton@tran.com"/>
    <x v="6"/>
    <x v="1"/>
    <s v="Workshop C2"/>
    <s v="Non-Vegetarian"/>
    <x v="13"/>
    <n v="218"/>
  </r>
  <r>
    <s v="A0015"/>
    <s v="Neil Lester"/>
    <s v="miguelkim@harrington.com"/>
    <x v="5"/>
    <x v="1"/>
    <s v="Workshop C1"/>
    <s v="Not-Required"/>
    <x v="14"/>
    <n v="190"/>
  </r>
  <r>
    <s v="A0016"/>
    <s v="Barbara Dominguez"/>
    <s v="volson@jones-watts.com"/>
    <x v="4"/>
    <x v="1"/>
    <s v="Workshop B3"/>
    <s v="Unlimited"/>
    <x v="15"/>
    <n v="183"/>
  </r>
  <r>
    <s v="A0017"/>
    <s v="David Williams"/>
    <s v="hollymeadows@davis-allison.net"/>
    <x v="3"/>
    <x v="0"/>
    <s v="Workshop B2"/>
    <s v="Vegan"/>
    <x v="16"/>
    <n v="236"/>
  </r>
  <r>
    <s v="A0018"/>
    <s v="Nancy Lee"/>
    <s v="stephen94@hotmail.com"/>
    <x v="2"/>
    <x v="0"/>
    <s v="Workshop B1"/>
    <s v="Vegetarian"/>
    <x v="17"/>
    <n v="233"/>
  </r>
  <r>
    <s v="A0019"/>
    <s v="Oscar Fowler"/>
    <s v="uhayden@yahoo.com"/>
    <x v="1"/>
    <x v="1"/>
    <s v="Workshop A3"/>
    <s v="Gluten-Free"/>
    <x v="18"/>
    <n v="205"/>
  </r>
  <r>
    <s v="A0020"/>
    <s v="Amy Miller"/>
    <s v="susan21@yahoo.com"/>
    <x v="0"/>
    <x v="1"/>
    <s v="Workshop A2"/>
    <s v="Non-Vegetarian"/>
    <x v="19"/>
    <n v="210"/>
  </r>
  <r>
    <s v="A0021"/>
    <s v="Lydia Mcdonald"/>
    <s v="peggyfriedman@yahoo.com"/>
    <x v="3"/>
    <x v="0"/>
    <s v="Workshop A1"/>
    <s v="Not-Required"/>
    <x v="20"/>
    <n v="201"/>
  </r>
  <r>
    <s v="A0022"/>
    <s v="Emily Mcdonald"/>
    <s v="iwebb@mullins.com"/>
    <x v="4"/>
    <x v="0"/>
    <s v="None"/>
    <s v="Unlimited"/>
    <x v="21"/>
    <n v="163"/>
  </r>
  <r>
    <s v="A0023"/>
    <s v="Carolyn Graves"/>
    <s v="brookenavarro@hotmail.com"/>
    <x v="8"/>
    <x v="0"/>
    <s v="None"/>
    <s v="Vegan"/>
    <x v="22"/>
    <n v="205"/>
  </r>
  <r>
    <s v="A0024"/>
    <s v="Linda White"/>
    <s v="nancy35@yahoo.com"/>
    <x v="9"/>
    <x v="1"/>
    <s v="Workshop A1"/>
    <s v="Vegetarian"/>
    <x v="23"/>
    <n v="198"/>
  </r>
  <r>
    <s v="A0025"/>
    <s v="Andrew Becker"/>
    <s v="jeffreyshepherd@yahoo.com"/>
    <x v="1"/>
    <x v="0"/>
    <s v="Workshop B1"/>
    <s v="Gluten-Free"/>
    <x v="24"/>
    <n v="231"/>
  </r>
  <r>
    <s v="A0026"/>
    <s v="Regina Zimmerman"/>
    <s v="martindarrell@todd.com"/>
    <x v="6"/>
    <x v="0"/>
    <s v="Workshop C1"/>
    <s v="Non-Vegetarian"/>
    <x v="25"/>
    <n v="240"/>
  </r>
  <r>
    <s v="A0027"/>
    <s v="Meagan Wheeler"/>
    <s v="rsmith@schmidt.com"/>
    <x v="7"/>
    <x v="1"/>
    <s v="Workshop D1"/>
    <s v="Not-Required"/>
    <x v="26"/>
    <n v="199"/>
  </r>
  <r>
    <s v="A0028"/>
    <s v="Lisa Green"/>
    <s v="anthony55@gmail.com"/>
    <x v="8"/>
    <x v="0"/>
    <s v="Workshop A2"/>
    <s v="Unlimited"/>
    <x v="27"/>
    <n v="216"/>
  </r>
  <r>
    <s v="A0029"/>
    <s v="Tammy Brown"/>
    <s v="brittany10@williams-smith.com"/>
    <x v="0"/>
    <x v="1"/>
    <s v="Workshop B2"/>
    <s v="Vegan"/>
    <x v="28"/>
    <n v="218"/>
  </r>
  <r>
    <s v="A0030"/>
    <s v="Debbie Bryant MD"/>
    <s v="kjohnson@yahoo.com"/>
    <x v="1"/>
    <x v="0"/>
    <s v="Workshop C2"/>
    <s v="Vegetarian"/>
    <x v="29"/>
    <n v="236"/>
  </r>
  <r>
    <s v="A0031"/>
    <s v="Felicia Parker"/>
    <s v="jeffreyrivera@watkins.com"/>
    <x v="1"/>
    <x v="1"/>
    <s v="Workshop D2"/>
    <s v="Gluten-Free"/>
    <x v="30"/>
    <n v="218"/>
  </r>
  <r>
    <s v="A0032"/>
    <s v="Raven Cruz"/>
    <s v="trevor71@gmail.com"/>
    <x v="2"/>
    <x v="0"/>
    <s v="Workshop A3"/>
    <s v="Non-Vegetarian"/>
    <x v="31"/>
    <n v="234"/>
  </r>
  <r>
    <s v="A0033"/>
    <s v="Bethany Evans"/>
    <s v="simsjoseph@yahoo.com"/>
    <x v="2"/>
    <x v="1"/>
    <s v="Workshop B3"/>
    <s v="Not-Required"/>
    <x v="32"/>
    <n v="191"/>
  </r>
  <r>
    <s v="A0034"/>
    <s v="Jeremy Hogan"/>
    <s v="njohnson@gray.net"/>
    <x v="5"/>
    <x v="1"/>
    <s v="Workshop A3"/>
    <s v="Unlimited"/>
    <x v="33"/>
    <n v="183"/>
  </r>
  <r>
    <s v="A0035"/>
    <s v="Joan Foster"/>
    <s v="abrown@gmail.com"/>
    <x v="5"/>
    <x v="1"/>
    <s v="Workshop B3"/>
    <s v="Vegan"/>
    <x v="34"/>
    <n v="216"/>
  </r>
  <r>
    <s v="A0036"/>
    <s v="Isaac Deleon"/>
    <s v="michelleperry@day.com"/>
    <x v="8"/>
    <x v="0"/>
    <s v="Workshop A2"/>
    <s v="Vegetarian"/>
    <x v="35"/>
    <n v="235"/>
  </r>
  <r>
    <s v="A0037"/>
    <s v="Nathan Gonzales"/>
    <s v="isaiahbuckley@yahoo.com"/>
    <x v="7"/>
    <x v="1"/>
    <s v="Workshop B2"/>
    <s v="Gluten-Free"/>
    <x v="36"/>
    <n v="215"/>
  </r>
  <r>
    <s v="A0038"/>
    <s v="Dawn Ruiz"/>
    <s v="ballcourtney@yahoo.com"/>
    <x v="8"/>
    <x v="0"/>
    <s v="Workshop C2"/>
    <s v="Non-Vegetarian"/>
    <x v="37"/>
    <n v="248"/>
  </r>
  <r>
    <s v="A0039"/>
    <s v="Sharon George"/>
    <s v="kristina80@nichols.com"/>
    <x v="6"/>
    <x v="1"/>
    <s v="Workshop D2"/>
    <s v="Not-Required"/>
    <x v="38"/>
    <n v="196"/>
  </r>
  <r>
    <s v="A0040"/>
    <s v="Sarah Pratt"/>
    <s v="srichards@gmail.com"/>
    <x v="7"/>
    <x v="0"/>
    <s v="Workshop A1"/>
    <s v="Unlimited"/>
    <x v="39"/>
    <n v="212"/>
  </r>
  <r>
    <s v="A0041"/>
    <s v="Carlos Patrick"/>
    <s v="devin54@carpenter.net"/>
    <x v="0"/>
    <x v="1"/>
    <s v="Workshop B1"/>
    <s v="Vegan"/>
    <x v="40"/>
    <n v="217"/>
  </r>
  <r>
    <s v="A0042"/>
    <s v="Kevin Morrison"/>
    <s v="daviseric@gmail.com"/>
    <x v="1"/>
    <x v="0"/>
    <s v="Workshop C1"/>
    <s v="Vegetarian"/>
    <x v="41"/>
    <n v="235"/>
  </r>
  <r>
    <s v="A0043"/>
    <s v="Amber Vargas"/>
    <s v="mkeller@miller-evans.com"/>
    <x v="2"/>
    <x v="0"/>
    <s v="Workshop D1"/>
    <s v="Gluten-Free"/>
    <x v="42"/>
    <n v="243"/>
  </r>
  <r>
    <s v="A0044"/>
    <s v="Matthew Ayala"/>
    <s v="carla47@boyer.com"/>
    <x v="5"/>
    <x v="1"/>
    <s v="None"/>
    <s v="Non-Vegetarian"/>
    <x v="43"/>
    <n v="168"/>
  </r>
  <r>
    <s v="A0045"/>
    <s v="Dylan Bowen"/>
    <s v="crystal98@smith.net"/>
    <x v="6"/>
    <x v="0"/>
    <s v="None"/>
    <s v="Not-Required"/>
    <x v="44"/>
    <n v="168"/>
  </r>
  <r>
    <s v="A0046"/>
    <s v="Scott Moore"/>
    <s v="paul42@gardner.biz"/>
    <x v="7"/>
    <x v="1"/>
    <s v="Workshop A1"/>
    <s v="Unlimited"/>
    <x v="45"/>
    <n v="189"/>
  </r>
  <r>
    <s v="A0047"/>
    <s v="Richard Sawyer"/>
    <s v="stevenanderson@gmail.com"/>
    <x v="8"/>
    <x v="1"/>
    <s v="Workshop A2"/>
    <s v="Vegan"/>
    <x v="46"/>
    <n v="221"/>
  </r>
  <r>
    <s v="A0048"/>
    <s v="Nicole Norris"/>
    <s v="nmorris@yahoo.com"/>
    <x v="3"/>
    <x v="0"/>
    <s v="Workshop A3"/>
    <s v="Vegetarian"/>
    <x v="47"/>
    <n v="223"/>
  </r>
  <r>
    <s v="A0049"/>
    <s v="Patrick Farley"/>
    <s v="moyerduane@page.net"/>
    <x v="4"/>
    <x v="0"/>
    <s v="Workshop B1"/>
    <s v="Gluten-Free"/>
    <x v="48"/>
    <n v="225"/>
  </r>
  <r>
    <s v="A0050"/>
    <s v="Jacob Martinez"/>
    <s v="lindamckenzie@yahoo.com"/>
    <x v="9"/>
    <x v="0"/>
    <s v="Workshop B2"/>
    <s v="Non-Vegetarian"/>
    <x v="49"/>
    <n v="230"/>
  </r>
  <r>
    <s v="A0051"/>
    <s v="Julie Santiago"/>
    <s v="jennifer57@wright.info"/>
    <x v="2"/>
    <x v="0"/>
    <s v="Workshop B3"/>
    <s v="Not-Required"/>
    <x v="50"/>
    <n v="214"/>
  </r>
  <r>
    <s v="A0052"/>
    <s v="Rebecca Chapman"/>
    <s v="sydneyhall@yahoo.com"/>
    <x v="3"/>
    <x v="0"/>
    <s v="Workshop C1"/>
    <s v="Unlimited"/>
    <x v="51"/>
    <n v="213"/>
  </r>
  <r>
    <s v="A0053"/>
    <s v="Sarah Day"/>
    <s v="antonio31@suarez.com"/>
    <x v="4"/>
    <x v="0"/>
    <s v="Workshop C2"/>
    <s v="Vegan"/>
    <x v="52"/>
    <n v="239"/>
  </r>
  <r>
    <s v="A0054"/>
    <s v="Laura Mueller"/>
    <s v="webbmegan@murray.com"/>
    <x v="9"/>
    <x v="1"/>
    <s v="Workshop D1"/>
    <s v="Vegetarian"/>
    <x v="53"/>
    <n v="210"/>
  </r>
  <r>
    <s v="A0055"/>
    <s v="Bradley Rodgers"/>
    <s v="jdunlap@gmail.com"/>
    <x v="0"/>
    <x v="0"/>
    <s v="Workshop D2"/>
    <s v="Gluten-Free"/>
    <x v="54"/>
    <n v="243"/>
  </r>
  <r>
    <s v="A0056"/>
    <s v="Tracy Frazier"/>
    <s v="michael45@yahoo.com"/>
    <x v="1"/>
    <x v="0"/>
    <s v="Workshop D2"/>
    <s v="Non-Vegetarian"/>
    <x v="55"/>
    <n v="243"/>
  </r>
  <r>
    <s v="A0057"/>
    <s v="Michaela Mendoza"/>
    <s v="klinecarlos@gmail.com"/>
    <x v="2"/>
    <x v="0"/>
    <s v="Workshop D1"/>
    <s v="Not-Required"/>
    <x v="56"/>
    <n v="220"/>
  </r>
  <r>
    <s v="A0058"/>
    <s v="Kim Williams"/>
    <s v="bradleymelissa@hotmail.com"/>
    <x v="3"/>
    <x v="0"/>
    <s v="Workshop C2"/>
    <s v="Unlimited"/>
    <x v="57"/>
    <n v="214"/>
  </r>
  <r>
    <s v="A0059"/>
    <s v="Dustin Bird"/>
    <s v="cantuscott@wilson.com"/>
    <x v="4"/>
    <x v="1"/>
    <s v="Workshop C1"/>
    <s v="Vegan"/>
    <x v="58"/>
    <n v="215"/>
  </r>
  <r>
    <s v="A0060"/>
    <s v="Jennifer Bell"/>
    <s v="eatonlauren@yahoo.com"/>
    <x v="5"/>
    <x v="0"/>
    <s v="Workshop B3"/>
    <s v="Vegetarian"/>
    <x v="59"/>
    <n v="230"/>
  </r>
  <r>
    <s v="A0061"/>
    <s v="Kayla Burns"/>
    <s v="anthony24@schmidt.biz"/>
    <x v="6"/>
    <x v="1"/>
    <s v="Workshop B2"/>
    <s v="Gluten-Free"/>
    <x v="60"/>
    <n v="210"/>
  </r>
  <r>
    <s v="A0062"/>
    <s v="Natasha Schmidt"/>
    <s v="mariopotts@burke.com"/>
    <x v="7"/>
    <x v="0"/>
    <s v="Workshop B1"/>
    <s v="Non-Vegetarian"/>
    <x v="61"/>
    <n v="239"/>
  </r>
  <r>
    <s v="A0063"/>
    <s v="Kimberly Forbes"/>
    <s v="blakeandrews@yahoo.com"/>
    <x v="8"/>
    <x v="1"/>
    <s v="Workshop A3"/>
    <s v="Not-Required"/>
    <x v="62"/>
    <n v="190"/>
  </r>
  <r>
    <s v="A0064"/>
    <s v="Frank Stephens"/>
    <s v="amymalone@mayer-roberson.com"/>
    <x v="9"/>
    <x v="0"/>
    <s v="Workshop A2"/>
    <s v="Unlimited"/>
    <x v="63"/>
    <n v="204"/>
  </r>
  <r>
    <s v="A0065"/>
    <s v="James Heath"/>
    <s v="morganstacy@chavez.info"/>
    <x v="9"/>
    <x v="1"/>
    <s v="Workshop A1"/>
    <s v="Vegan"/>
    <x v="64"/>
    <n v="207"/>
  </r>
  <r>
    <s v="A0066"/>
    <s v="Cody Parker"/>
    <s v="xdeleon@reynolds-smith.com"/>
    <x v="8"/>
    <x v="1"/>
    <s v="None"/>
    <s v="Vegetarian"/>
    <x v="65"/>
    <n v="173"/>
  </r>
  <r>
    <s v="A0067"/>
    <s v="Bradley Griffin"/>
    <s v="john38@evans-johnson.com"/>
    <x v="7"/>
    <x v="1"/>
    <s v="None"/>
    <s v="Gluten-Free"/>
    <x v="66"/>
    <n v="173"/>
  </r>
  <r>
    <s v="A0068"/>
    <s v="James Hood"/>
    <s v="mary24@espinoza.com"/>
    <x v="6"/>
    <x v="0"/>
    <s v="Workshop A1"/>
    <s v="Non-Vegetarian"/>
    <x v="67"/>
    <n v="230"/>
  </r>
  <r>
    <s v="A0069"/>
    <s v="Shannon Bradford"/>
    <s v="ewhite@gmail.com"/>
    <x v="5"/>
    <x v="0"/>
    <s v="Workshop B1"/>
    <s v="Not-Required"/>
    <x v="68"/>
    <n v="207"/>
  </r>
  <r>
    <s v="A0070"/>
    <s v="Kimberly Saunders"/>
    <s v="mpetty@wood.org"/>
    <x v="4"/>
    <x v="0"/>
    <s v="Workshop C1"/>
    <s v="Unlimited"/>
    <x v="69"/>
    <n v="210"/>
  </r>
  <r>
    <s v="A0071"/>
    <s v="Michelle Chavez"/>
    <s v="natalieclayton@contreras-reilly.org"/>
    <x v="3"/>
    <x v="0"/>
    <s v="Workshop D1"/>
    <s v="Vegan"/>
    <x v="70"/>
    <n v="243"/>
  </r>
  <r>
    <s v="A0072"/>
    <s v="Laurie Scott"/>
    <s v="ashley48@roberts-osborne.com"/>
    <x v="2"/>
    <x v="0"/>
    <s v="Workshop A2"/>
    <s v="Vegetarian"/>
    <x v="71"/>
    <n v="231"/>
  </r>
  <r>
    <s v="A0073"/>
    <s v="Patrick Cox"/>
    <s v="grant63@gmail.com"/>
    <x v="1"/>
    <x v="0"/>
    <s v="Workshop B2"/>
    <s v="Gluten-Free"/>
    <x v="72"/>
    <n v="232"/>
  </r>
  <r>
    <s v="A0074"/>
    <s v="Courtney Conner"/>
    <s v="matthewsjessica@stevens-baker.org"/>
    <x v="0"/>
    <x v="1"/>
    <s v="Workshop C2"/>
    <s v="Non-Vegetarian"/>
    <x v="0"/>
    <n v="219"/>
  </r>
  <r>
    <s v="A0075"/>
    <s v="Robert Roberts"/>
    <s v="milleralex@johnson.biz"/>
    <x v="3"/>
    <x v="0"/>
    <s v="Workshop D2"/>
    <s v="Not-Required"/>
    <x v="1"/>
    <n v="215"/>
  </r>
  <r>
    <s v="A0076"/>
    <s v="Heather Rivera"/>
    <s v="stacy40@gmail.com"/>
    <x v="4"/>
    <x v="1"/>
    <s v="Workshop A3"/>
    <s v="Unlimited"/>
    <x v="2"/>
    <n v="178"/>
  </r>
  <r>
    <s v="A0077"/>
    <s v="Nicholas Moran"/>
    <s v="morgan12@yahoo.com"/>
    <x v="8"/>
    <x v="1"/>
    <s v="Workshop B3"/>
    <s v="Vegan"/>
    <x v="3"/>
    <n v="225"/>
  </r>
  <r>
    <s v="A0078"/>
    <s v="Timothy Cook"/>
    <s v="livingstonrichard@yahoo.com"/>
    <x v="9"/>
    <x v="0"/>
    <s v="Workshop A3"/>
    <s v="Vegetarian"/>
    <x v="4"/>
    <n v="222"/>
  </r>
  <r>
    <s v="A0079"/>
    <s v="Robert Parks"/>
    <s v="sreynolds@anderson.com"/>
    <x v="1"/>
    <x v="1"/>
    <s v="Workshop B3"/>
    <s v="Gluten-Free"/>
    <x v="5"/>
    <n v="210"/>
  </r>
  <r>
    <s v="A0080"/>
    <s v="Edward Barker"/>
    <s v="courtney57@gmail.com"/>
    <x v="6"/>
    <x v="0"/>
    <s v="Workshop A2"/>
    <s v="Non-Vegetarian"/>
    <x v="6"/>
    <n v="232"/>
  </r>
  <r>
    <s v="A0081"/>
    <s v="William Pierce"/>
    <s v="hoffmancraig@mckenzie.com"/>
    <x v="7"/>
    <x v="0"/>
    <s v="Workshop B2"/>
    <s v="Not-Required"/>
    <x v="7"/>
    <n v="215"/>
  </r>
  <r>
    <s v="A0082"/>
    <s v="Judith Miller"/>
    <s v="zacharyroy@gmail.com"/>
    <x v="8"/>
    <x v="0"/>
    <s v="Workshop C2"/>
    <s v="Unlimited"/>
    <x v="8"/>
    <n v="225"/>
  </r>
  <r>
    <s v="A0083"/>
    <s v="Alan Liu"/>
    <s v="wrangel@hotmail.com"/>
    <x v="0"/>
    <x v="0"/>
    <s v="Workshop D2"/>
    <s v="Vegan"/>
    <x v="9"/>
    <n v="250"/>
  </r>
  <r>
    <s v="A0084"/>
    <s v="James Villarreal"/>
    <s v="henry03@obrien.net"/>
    <x v="1"/>
    <x v="1"/>
    <s v="Workshop A1"/>
    <s v="Vegetarian"/>
    <x v="10"/>
    <n v="202"/>
  </r>
  <r>
    <s v="A0085"/>
    <s v="Christopher Boyer"/>
    <s v="michaelunderwood@gmail.com"/>
    <x v="1"/>
    <x v="0"/>
    <s v="Workshop B1"/>
    <s v="Gluten-Free"/>
    <x v="11"/>
    <n v="231"/>
  </r>
  <r>
    <s v="A0086"/>
    <s v="Colin Kramer"/>
    <s v="shawnoconnor@hotmail.com"/>
    <x v="2"/>
    <x v="1"/>
    <s v="Workshop C1"/>
    <s v="Non-Vegetarian"/>
    <x v="12"/>
    <n v="220"/>
  </r>
  <r>
    <s v="A0087"/>
    <s v="Jacob Benton"/>
    <s v="nathan01@costa-thomas.info"/>
    <x v="2"/>
    <x v="0"/>
    <s v="Workshop D1"/>
    <s v="Not-Required"/>
    <x v="13"/>
    <n v="220"/>
  </r>
  <r>
    <s v="A0088"/>
    <s v="Elizabeth Orozco"/>
    <s v="pamelagonzalez@rodriguez.com"/>
    <x v="5"/>
    <x v="0"/>
    <s v="None"/>
    <s v="Unlimited"/>
    <x v="14"/>
    <n v="168"/>
  </r>
  <r>
    <s v="A0089"/>
    <s v="Christopher Potts"/>
    <s v="cynthia21@foley.com"/>
    <x v="5"/>
    <x v="0"/>
    <s v="None"/>
    <s v="Vegan"/>
    <x v="15"/>
    <n v="196"/>
  </r>
  <r>
    <s v="A0090"/>
    <s v="Rodney Jones"/>
    <s v="vaughncaleb@yahoo.com"/>
    <x v="8"/>
    <x v="1"/>
    <s v="Workshop A1"/>
    <s v="Vegetarian"/>
    <x v="16"/>
    <n v="210"/>
  </r>
  <r>
    <s v="A0091"/>
    <s v="Carlos Ray"/>
    <s v="matthewhayes@gibson-tucker.org"/>
    <x v="7"/>
    <x v="0"/>
    <s v="Workshop A2"/>
    <s v="Gluten-Free"/>
    <x v="17"/>
    <n v="235"/>
  </r>
  <r>
    <s v="A0092"/>
    <s v="Veronica Wall"/>
    <s v="riggsjeffrey@jackson.com"/>
    <x v="8"/>
    <x v="0"/>
    <s v="Workshop A3"/>
    <s v="Non-Vegetarian"/>
    <x v="18"/>
    <n v="238"/>
  </r>
  <r>
    <s v="A0093"/>
    <s v="Susan Johnson"/>
    <s v="larryewing@hotmail.com"/>
    <x v="6"/>
    <x v="0"/>
    <s v="Workshop B1"/>
    <s v="Not-Required"/>
    <x v="19"/>
    <n v="209"/>
  </r>
  <r>
    <s v="A0094"/>
    <s v="Sarah Lewis"/>
    <s v="williamramos@wood.com"/>
    <x v="7"/>
    <x v="0"/>
    <s v="Workshop B2"/>
    <s v="Unlimited"/>
    <x v="20"/>
    <n v="217"/>
  </r>
  <r>
    <s v="A0095"/>
    <s v="Mark Patterson"/>
    <s v="davenportrobert@johnson.biz"/>
    <x v="0"/>
    <x v="1"/>
    <s v="Workshop B3"/>
    <s v="Vegan"/>
    <x v="21"/>
    <n v="219"/>
  </r>
  <r>
    <s v="A0096"/>
    <s v="Stephanie Davis"/>
    <s v="james41@jackson.com"/>
    <x v="1"/>
    <x v="0"/>
    <s v="Workshop C1"/>
    <s v="Vegetarian"/>
    <x v="22"/>
    <n v="235"/>
  </r>
  <r>
    <s v="A0097"/>
    <s v="Julia Brown"/>
    <s v="gonzalesjames@gmail.com"/>
    <x v="2"/>
    <x v="1"/>
    <s v="Workshop C2"/>
    <s v="Gluten-Free"/>
    <x v="23"/>
    <n v="219"/>
  </r>
  <r>
    <s v="A0098"/>
    <s v="James Kane"/>
    <s v="deanmolly@hall.com"/>
    <x v="5"/>
    <x v="0"/>
    <s v="Workshop D1"/>
    <s v="Non-Vegetarian"/>
    <x v="24"/>
    <n v="240"/>
  </r>
  <r>
    <s v="A0099"/>
    <s v="Melissa Parker"/>
    <s v="nicoleflores@davis-hernandez.com"/>
    <x v="6"/>
    <x v="0"/>
    <s v="Workshop D2"/>
    <s v="Not-Required"/>
    <x v="25"/>
    <n v="219"/>
  </r>
  <r>
    <s v="A0100"/>
    <s v="Emily Williams"/>
    <s v="hpotts@yahoo.com"/>
    <x v="7"/>
    <x v="0"/>
    <s v="Workshop D2"/>
    <s v="Unlimited"/>
    <x v="26"/>
    <n v="226"/>
  </r>
  <r>
    <s v="A0101"/>
    <s v="Ernest Barnes"/>
    <s v="ernestbarnes31@outlook.com"/>
    <x v="8"/>
    <x v="1"/>
    <s v="Workshop D1"/>
    <s v="Vegan"/>
    <x v="27"/>
    <n v="231"/>
  </r>
  <r>
    <s v="A0102"/>
    <s v="Andrea Baker"/>
    <s v="andreabaker94@aol.com"/>
    <x v="3"/>
    <x v="0"/>
    <s v="Workshop C2"/>
    <s v="Vegetarian"/>
    <x v="28"/>
    <n v="233"/>
  </r>
  <r>
    <s v="A0103"/>
    <s v="Rebecca Parker"/>
    <s v="rebeccaparker@comcast.net"/>
    <x v="4"/>
    <x v="1"/>
    <s v="Workshop C1"/>
    <s v="Gluten-Free"/>
    <x v="29"/>
    <n v="208"/>
  </r>
  <r>
    <s v="A0104"/>
    <s v="Laura Murray"/>
    <s v="lauram@gmail.com"/>
    <x v="9"/>
    <x v="0"/>
    <s v="Workshop B3"/>
    <s v="Non-Vegetarian"/>
    <x v="30"/>
    <n v="231"/>
  </r>
  <r>
    <s v="A0105"/>
    <s v="Linda Hines"/>
    <s v="lhines@verizon.com"/>
    <x v="2"/>
    <x v="1"/>
    <s v="Workshop B2"/>
    <s v="Not-Required"/>
    <x v="31"/>
    <n v="190"/>
  </r>
  <r>
    <s v="A0106"/>
    <s v="Jasmine Fletcher"/>
    <s v="jfletcher43@xfinity.com"/>
    <x v="3"/>
    <x v="0"/>
    <s v="Workshop B1"/>
    <s v="Unlimited"/>
    <x v="32"/>
    <n v="207"/>
  </r>
  <r>
    <s v="A0107"/>
    <s v="Dylan Rangel"/>
    <s v="rangeldylan@comcast.net"/>
    <x v="4"/>
    <x v="1"/>
    <s v="Workshop A3"/>
    <s v="Vegan"/>
    <x v="33"/>
    <n v="206"/>
  </r>
  <r>
    <s v="A0108"/>
    <s v="William Velez"/>
    <s v="velezwilliam@mail.com"/>
    <x v="9"/>
    <x v="0"/>
    <s v="Workshop A2"/>
    <s v="Vegetarian"/>
    <x v="34"/>
    <n v="223"/>
  </r>
  <r>
    <s v="A0109"/>
    <s v="Steven Murphy"/>
    <s v="stevenmurphy54@aol.com"/>
    <x v="0"/>
    <x v="1"/>
    <s v="Workshop A1"/>
    <s v="Gluten-Free"/>
    <x v="35"/>
    <n v="206"/>
  </r>
  <r>
    <s v="A0110"/>
    <s v="Michael Moore"/>
    <s v="michaelmoore81@outlook.com"/>
    <x v="1"/>
    <x v="0"/>
    <s v="None"/>
    <s v="Non-Vegetarian"/>
    <x v="36"/>
    <n v="192"/>
  </r>
  <r>
    <s v="A0111"/>
    <s v="Priscilla Collins PhD"/>
    <s v="phdpriscilla74@att.com"/>
    <x v="2"/>
    <x v="1"/>
    <s v="None"/>
    <s v="Not-Required"/>
    <x v="37"/>
    <n v="148"/>
  </r>
  <r>
    <s v="A0112"/>
    <s v="Laurie Smith"/>
    <s v="smithlaurie@att.com"/>
    <x v="3"/>
    <x v="0"/>
    <s v="Workshop A1"/>
    <s v="Unlimited"/>
    <x v="38"/>
    <n v="203"/>
  </r>
  <r>
    <s v="A0113"/>
    <s v="Casey Thomas"/>
    <s v="caseyt78@outlook.com"/>
    <x v="4"/>
    <x v="1"/>
    <s v="Workshop B1"/>
    <s v="Vegan"/>
    <x v="39"/>
    <n v="209"/>
  </r>
  <r>
    <s v="A0114"/>
    <s v="Rachel Friedman"/>
    <s v="rachelf@protonmail.com"/>
    <x v="5"/>
    <x v="0"/>
    <s v="Workshop C1"/>
    <s v="Vegetarian"/>
    <x v="40"/>
    <n v="234"/>
  </r>
  <r>
    <s v="A0115"/>
    <s v="Edward Torres"/>
    <s v="edwardt@zoho.com"/>
    <x v="6"/>
    <x v="1"/>
    <s v="Workshop D1"/>
    <s v="Gluten-Free"/>
    <x v="41"/>
    <n v="217"/>
  </r>
  <r>
    <s v="A0116"/>
    <s v="Samuel Zavala"/>
    <s v="zavalasamuel46@xfinity.com"/>
    <x v="7"/>
    <x v="0"/>
    <s v="Workshop A2"/>
    <s v="Non-Vegetarian"/>
    <x v="42"/>
    <n v="237"/>
  </r>
  <r>
    <s v="A0117"/>
    <s v="Dr Victor Martin"/>
    <s v="drmartin@xfinity.com"/>
    <x v="8"/>
    <x v="1"/>
    <s v="Workshop B2"/>
    <s v="Not-Required"/>
    <x v="43"/>
    <n v="194"/>
  </r>
  <r>
    <s v="A0118"/>
    <s v="Sara Lee"/>
    <s v="saral@hotmail.com"/>
    <x v="9"/>
    <x v="0"/>
    <s v="Workshop C2"/>
    <s v="Unlimited"/>
    <x v="44"/>
    <n v="213"/>
  </r>
  <r>
    <s v="A0119"/>
    <s v="Curtis Rodriguez"/>
    <s v="crodriguez@verizon.com"/>
    <x v="9"/>
    <x v="1"/>
    <s v="Workshop D2"/>
    <s v="Vegan"/>
    <x v="45"/>
    <n v="221"/>
  </r>
  <r>
    <s v="A0120"/>
    <s v="Stephanie Schmidt"/>
    <s v="stephanieschmidt@hotmail.com"/>
    <x v="8"/>
    <x v="0"/>
    <s v="Workshop A3"/>
    <s v="Vegetarian"/>
    <x v="46"/>
    <n v="234"/>
  </r>
  <r>
    <s v="A0121"/>
    <s v="John Matthews"/>
    <s v="johnmatthews@aol.com"/>
    <x v="7"/>
    <x v="1"/>
    <s v="Workshop B3"/>
    <s v="Gluten-Free"/>
    <x v="47"/>
    <n v="216"/>
  </r>
  <r>
    <s v="A0122"/>
    <s v="Robert Chung"/>
    <s v="robertchung47@yandex.com"/>
    <x v="6"/>
    <x v="0"/>
    <s v="Workshop A3"/>
    <s v="Non-Vegetarian"/>
    <x v="48"/>
    <n v="231"/>
  </r>
  <r>
    <s v="A0123"/>
    <s v="Mark Garcia"/>
    <s v="mgarcia16@comcast.net"/>
    <x v="5"/>
    <x v="1"/>
    <s v="Workshop B3"/>
    <s v="Not-Required"/>
    <x v="49"/>
    <n v="186"/>
  </r>
  <r>
    <s v="A0124"/>
    <s v="Brandon Taylor"/>
    <s v="brandontaylor@hotmail.com"/>
    <x v="4"/>
    <x v="0"/>
    <s v="Workshop A2"/>
    <s v="Unlimited"/>
    <x v="50"/>
    <n v="202"/>
  </r>
  <r>
    <s v="A0125"/>
    <s v="Angie Sanchez"/>
    <s v="angiesanchez@att.com"/>
    <x v="3"/>
    <x v="1"/>
    <s v="Workshop B2"/>
    <s v="Vegan"/>
    <x v="51"/>
    <n v="213"/>
  </r>
  <r>
    <s v="A0126"/>
    <s v="Alexis King"/>
    <s v="kingalexis70@hotmail.com"/>
    <x v="2"/>
    <x v="0"/>
    <s v="Workshop C2"/>
    <s v="Vegetarian"/>
    <x v="52"/>
    <n v="240"/>
  </r>
  <r>
    <s v="A0127"/>
    <s v="Michael Davidson"/>
    <s v="michaeldavidson82@att.com"/>
    <x v="1"/>
    <x v="1"/>
    <s v="Workshop D2"/>
    <s v="Gluten-Free"/>
    <x v="53"/>
    <n v="218"/>
  </r>
  <r>
    <s v="A0128"/>
    <s v="Jaime Flynn"/>
    <s v="jaimeflynn29@gmail.com"/>
    <x v="0"/>
    <x v="0"/>
    <s v="Workshop A1"/>
    <s v="Non-Vegetarian"/>
    <x v="54"/>
    <n v="231"/>
  </r>
  <r>
    <s v="A0129"/>
    <s v="Mrs Alicia Williams"/>
    <s v="mrsw61@yandex.com"/>
    <x v="3"/>
    <x v="0"/>
    <s v="Workshop B1"/>
    <s v="Not-Required"/>
    <x v="55"/>
    <n v="205"/>
  </r>
  <r>
    <s v="A0130"/>
    <s v="Heather Hart"/>
    <s v="heatherh@xfinity.com"/>
    <x v="4"/>
    <x v="0"/>
    <s v="Workshop C1"/>
    <s v="Unlimited"/>
    <x v="56"/>
    <n v="210"/>
  </r>
  <r>
    <s v="A0131"/>
    <s v="Diamond Wilson"/>
    <s v="wilsondiamond@comcast.net"/>
    <x v="8"/>
    <x v="0"/>
    <s v="Workshop D1"/>
    <s v="Vegan"/>
    <x v="57"/>
    <n v="254"/>
  </r>
  <r>
    <s v="A0132"/>
    <s v="Paul Williams"/>
    <s v="williamspaul@xfinity.com"/>
    <x v="9"/>
    <x v="0"/>
    <s v="None"/>
    <s v="Vegetarian"/>
    <x v="58"/>
    <n v="184"/>
  </r>
  <r>
    <s v="A0133"/>
    <s v="Reginald Cunningham"/>
    <s v="reginaldc57@outlook.com"/>
    <x v="1"/>
    <x v="0"/>
    <s v="None"/>
    <s v="Gluten-Free"/>
    <x v="59"/>
    <n v="190"/>
  </r>
  <r>
    <s v="A0134"/>
    <s v="Willie Sims"/>
    <s v="willies@yahoo.com"/>
    <x v="6"/>
    <x v="0"/>
    <s v="Workshop A1"/>
    <s v="Non-Vegetarian"/>
    <x v="60"/>
    <n v="230"/>
  </r>
  <r>
    <s v="A0135"/>
    <s v="Alex Brown"/>
    <s v="alexb@zoho.com"/>
    <x v="7"/>
    <x v="0"/>
    <s v="Workshop A2"/>
    <s v="Not-Required"/>
    <x v="61"/>
    <n v="212"/>
  </r>
  <r>
    <s v="A0136"/>
    <s v="Virginia Holden"/>
    <s v="virginiah@aol.com"/>
    <x v="8"/>
    <x v="0"/>
    <s v="Workshop A3"/>
    <s v="Unlimited"/>
    <x v="62"/>
    <n v="215"/>
  </r>
  <r>
    <s v="A0137"/>
    <s v="John Smith"/>
    <s v="johnsmith@xfinity.com"/>
    <x v="0"/>
    <x v="0"/>
    <s v="Workshop B1"/>
    <s v="Vegan"/>
    <x v="63"/>
    <n v="240"/>
  </r>
  <r>
    <s v="A0138"/>
    <s v="Jennifer Barton"/>
    <s v="jbarton@hotmail.com"/>
    <x v="1"/>
    <x v="0"/>
    <s v="Workshop B2"/>
    <s v="Vegetarian"/>
    <x v="64"/>
    <n v="230"/>
  </r>
  <r>
    <s v="A0139"/>
    <s v="Richard Holt"/>
    <s v="richardholt@hotmail.com"/>
    <x v="1"/>
    <x v="0"/>
    <s v="Workshop B3"/>
    <s v="Gluten-Free"/>
    <x v="65"/>
    <n v="233"/>
  </r>
  <r>
    <s v="A0140"/>
    <s v="Amy Green"/>
    <s v="amygreen56@gmail.com"/>
    <x v="2"/>
    <x v="0"/>
    <s v="Workshop C1"/>
    <s v="Non-Vegetarian"/>
    <x v="66"/>
    <n v="243"/>
  </r>
  <r>
    <s v="A0141"/>
    <s v="Kimberly Perez"/>
    <s v="perezkimberly84@hotmail.com"/>
    <x v="2"/>
    <x v="0"/>
    <s v="Workshop C2"/>
    <s v="Not-Required"/>
    <x v="67"/>
    <n v="219"/>
  </r>
  <r>
    <s v="A0142"/>
    <s v="Carly Armstrong"/>
    <s v="carmstrong@mail.com"/>
    <x v="5"/>
    <x v="0"/>
    <s v="Workshop D1"/>
    <s v="Unlimited"/>
    <x v="68"/>
    <n v="217"/>
  </r>
  <r>
    <s v="A0143"/>
    <s v="Scott Hammond"/>
    <s v="scotthammond41@verizon.com"/>
    <x v="5"/>
    <x v="0"/>
    <s v="Workshop D2"/>
    <s v="Vegan"/>
    <x v="69"/>
    <n v="247"/>
  </r>
  <r>
    <s v="A0144"/>
    <s v="Debra Fuller"/>
    <s v="debrafuller@protonmail.com"/>
    <x v="8"/>
    <x v="0"/>
    <s v="Workshop D2"/>
    <s v="Vegetarian"/>
    <x v="70"/>
    <n v="247"/>
  </r>
  <r>
    <s v="A0145"/>
    <s v="Rachel Davis"/>
    <s v="racheldavis@mail.com"/>
    <x v="7"/>
    <x v="0"/>
    <s v="Workshop D1"/>
    <s v="Gluten-Free"/>
    <x v="71"/>
    <n v="245"/>
  </r>
  <r>
    <s v="A0146"/>
    <s v="Michael Mccormick"/>
    <s v="mccormickmichael19@aol.com"/>
    <x v="8"/>
    <x v="0"/>
    <s v="Workshop C2"/>
    <s v="Non-Vegetarian"/>
    <x v="72"/>
    <n v="248"/>
  </r>
  <r>
    <s v="A0147"/>
    <s v="Ann Sullivan"/>
    <s v="annsullivan@att.com"/>
    <x v="6"/>
    <x v="1"/>
    <s v="Workshop C1"/>
    <s v="Not-Required"/>
    <x v="0"/>
    <n v="192"/>
  </r>
  <r>
    <s v="A0148"/>
    <s v="Rachel Wallace"/>
    <s v="rachelw79@xfinity.com"/>
    <x v="7"/>
    <x v="1"/>
    <s v="Workshop B3"/>
    <s v="Unlimited"/>
    <x v="1"/>
    <n v="195"/>
  </r>
  <r>
    <s v="A0149"/>
    <s v="Carla Ferguson"/>
    <s v="carlaferguson@att.com"/>
    <x v="0"/>
    <x v="1"/>
    <s v="Workshop B2"/>
    <s v="Vegan"/>
    <x v="2"/>
    <n v="218"/>
  </r>
  <r>
    <s v="A0150"/>
    <s v="Greg Hardin"/>
    <s v="hardingreg@gmail.com"/>
    <x v="1"/>
    <x v="1"/>
    <s v="Workshop B1"/>
    <s v="Vegetarian"/>
    <x v="3"/>
    <n v="206"/>
  </r>
  <r>
    <s v="A0151"/>
    <s v="Rachel Ho"/>
    <s v="horachel74@aol.com"/>
    <x v="2"/>
    <x v="1"/>
    <s v="Workshop A3"/>
    <s v="Gluten-Free"/>
    <x v="4"/>
    <n v="209"/>
  </r>
  <r>
    <s v="A0152"/>
    <s v="Elizabeth Joseph"/>
    <s v="josephelizabeth@yandex.com"/>
    <x v="5"/>
    <x v="1"/>
    <s v="Workshop A2"/>
    <s v="Non-Vegetarian"/>
    <x v="5"/>
    <n v="207"/>
  </r>
  <r>
    <s v="A0153"/>
    <s v="Stephen Brown"/>
    <s v="stephenbrown@att.com"/>
    <x v="6"/>
    <x v="1"/>
    <s v="Workshop A1"/>
    <s v="Not-Required"/>
    <x v="6"/>
    <n v="182"/>
  </r>
  <r>
    <s v="A0154"/>
    <s v="Scott Ward"/>
    <s v="scottward11@hotmail.com"/>
    <x v="7"/>
    <x v="1"/>
    <s v="None"/>
    <s v="Unlimited"/>
    <x v="7"/>
    <n v="152"/>
  </r>
  <r>
    <s v="A0155"/>
    <s v="Derrick Bailey"/>
    <s v="derrickbailey@protonmail.com"/>
    <x v="8"/>
    <x v="1"/>
    <s v="None"/>
    <s v="Vegan"/>
    <x v="8"/>
    <n v="182"/>
  </r>
  <r>
    <s v="A0156"/>
    <s v="Jessica Cole"/>
    <s v="jessicacole@yahoo.com"/>
    <x v="3"/>
    <x v="1"/>
    <s v="Workshop A1"/>
    <s v="Vegetarian"/>
    <x v="9"/>
    <n v="199"/>
  </r>
  <r>
    <s v="A0157"/>
    <s v="Reginald Russo"/>
    <s v="russoreginald65@comcast.net"/>
    <x v="4"/>
    <x v="1"/>
    <s v="Workshop B1"/>
    <s v="Gluten-Free"/>
    <x v="10"/>
    <n v="202"/>
  </r>
  <r>
    <s v="A0158"/>
    <s v="William Sanchez"/>
    <s v="williamsanchez@mail.com"/>
    <x v="9"/>
    <x v="1"/>
    <s v="Workshop C1"/>
    <s v="Non-Vegetarian"/>
    <x v="11"/>
    <n v="212"/>
  </r>
  <r>
    <s v="A0159"/>
    <s v="Diane Rose"/>
    <s v="dianerose@protonmail.com"/>
    <x v="2"/>
    <x v="1"/>
    <s v="Workshop D1"/>
    <s v="Not-Required"/>
    <x v="12"/>
    <n v="197"/>
  </r>
  <r>
    <s v="A0160"/>
    <s v="Nathan Smith"/>
    <s v="nathansmith@comcast.net"/>
    <x v="3"/>
    <x v="1"/>
    <s v="Workshop A2"/>
    <s v="Unlimited"/>
    <x v="13"/>
    <n v="182"/>
  </r>
  <r>
    <s v="A0161"/>
    <s v="Andrew Bullock"/>
    <s v="andrewbullock17@hotmail.com"/>
    <x v="4"/>
    <x v="1"/>
    <s v="Workshop B2"/>
    <s v="Vegan"/>
    <x v="14"/>
    <n v="210"/>
  </r>
  <r>
    <s v="A0162"/>
    <s v="Nancy Mccormick"/>
    <s v="nancym@protonmail.com"/>
    <x v="9"/>
    <x v="1"/>
    <s v="Workshop C2"/>
    <s v="Vegetarian"/>
    <x v="15"/>
    <n v="209"/>
  </r>
  <r>
    <s v="A0163"/>
    <s v="Barbara Cole"/>
    <s v="barbaracole@hotmail.com"/>
    <x v="0"/>
    <x v="1"/>
    <s v="Workshop D2"/>
    <s v="Gluten-Free"/>
    <x v="16"/>
    <n v="220"/>
  </r>
  <r>
    <s v="A0164"/>
    <s v="Sheri Aguilar"/>
    <s v="aguilarsheri22@att.com"/>
    <x v="1"/>
    <x v="1"/>
    <s v="Workshop A3"/>
    <s v="Non-Vegetarian"/>
    <x v="17"/>
    <n v="207"/>
  </r>
  <r>
    <s v="A0165"/>
    <s v="Sandra Graham"/>
    <s v="sandragraham@xfinity.com"/>
    <x v="2"/>
    <x v="1"/>
    <s v="Workshop B3"/>
    <s v="Not-Required"/>
    <x v="18"/>
    <n v="191"/>
  </r>
  <r>
    <s v="A0166"/>
    <s v="Christopher Cabrera"/>
    <s v="cabrerachristopher@yahoo.com"/>
    <x v="3"/>
    <x v="1"/>
    <s v="Workshop A3"/>
    <s v="Unlimited"/>
    <x v="19"/>
    <n v="181"/>
  </r>
  <r>
    <s v="A0167"/>
    <s v="Melinda Flores"/>
    <s v="floresmelinda@yahoo.com"/>
    <x v="4"/>
    <x v="1"/>
    <s v="Workshop B3"/>
    <s v="Vegan"/>
    <x v="20"/>
    <n v="211"/>
  </r>
  <r>
    <s v="A0168"/>
    <s v="Michael Whitehead"/>
    <s v="michaelw@mail.com"/>
    <x v="5"/>
    <x v="1"/>
    <s v="Workshop A2"/>
    <s v="Vegetarian"/>
    <x v="21"/>
    <n v="203"/>
  </r>
  <r>
    <s v="A0169"/>
    <s v="Brent Hamilton"/>
    <s v="brenthamilton15@gmail.com"/>
    <x v="6"/>
    <x v="1"/>
    <s v="Workshop B2"/>
    <s v="Gluten-Free"/>
    <x v="22"/>
    <n v="210"/>
  </r>
  <r>
    <s v="A0170"/>
    <s v="Jessica Bradford"/>
    <s v="jbradford@outlook.com"/>
    <x v="7"/>
    <x v="1"/>
    <s v="Workshop C2"/>
    <s v="Non-Vegetarian"/>
    <x v="23"/>
    <n v="223"/>
  </r>
  <r>
    <s v="A0171"/>
    <s v="Marissa Robinson"/>
    <s v="marissarobinson@mail.com"/>
    <x v="8"/>
    <x v="1"/>
    <s v="Workshop D2"/>
    <s v="Not-Required"/>
    <x v="24"/>
    <n v="203"/>
  </r>
  <r>
    <s v="A0172"/>
    <s v="Jennifer Curry"/>
    <s v="jennifercurry@hotmail.com"/>
    <x v="9"/>
    <x v="1"/>
    <s v="Workshop A1"/>
    <s v="Unlimited"/>
    <x v="25"/>
    <n v="179"/>
  </r>
  <r>
    <s v="A0173"/>
    <s v="Teresa Maldonado"/>
    <s v="maldonadoteresa95@protonmail.com"/>
    <x v="9"/>
    <x v="1"/>
    <s v="Workshop B1"/>
    <s v="Vegan"/>
    <x v="26"/>
    <n v="211"/>
  </r>
  <r>
    <s v="A0174"/>
    <s v="Bryan Perez"/>
    <s v="bryanperez@gmail.com"/>
    <x v="8"/>
    <x v="1"/>
    <s v="Workshop C1"/>
    <s v="Vegetarian"/>
    <x v="27"/>
    <n v="220"/>
  </r>
  <r>
    <s v="A0175"/>
    <s v="Timothy Horn"/>
    <s v="timothyh@yandex.com"/>
    <x v="7"/>
    <x v="1"/>
    <s v="Workshop D1"/>
    <s v="Gluten-Free"/>
    <x v="28"/>
    <n v="222"/>
  </r>
  <r>
    <s v="A0176"/>
    <s v="Angela Williams"/>
    <s v="angelawilliams@xfinity.com"/>
    <x v="6"/>
    <x v="1"/>
    <s v="None"/>
    <s v="Non-Vegetarian"/>
    <x v="29"/>
    <n v="170"/>
  </r>
  <r>
    <s v="A0177"/>
    <s v="Lee Ramirez MD"/>
    <s v="lmd@yahoo.com"/>
    <x v="5"/>
    <x v="1"/>
    <s v="None"/>
    <s v="Not-Required"/>
    <x v="30"/>
    <n v="143"/>
  </r>
  <r>
    <s v="A0178"/>
    <s v="Allen Hoffman"/>
    <s v="ahoffman@protonmail.com"/>
    <x v="4"/>
    <x v="1"/>
    <s v="Workshop A1"/>
    <s v="Unlimited"/>
    <x v="31"/>
    <n v="177"/>
  </r>
  <r>
    <s v="A0179"/>
    <s v="Michael Yu"/>
    <s v="michaelyu59@comcast.net"/>
    <x v="3"/>
    <x v="0"/>
    <s v="Workshop A2"/>
    <s v="Vegan"/>
    <x v="32"/>
    <n v="233"/>
  </r>
  <r>
    <s v="A0180"/>
    <s v="Anthony Moss"/>
    <s v="anthonymoss18@yandex.com"/>
    <x v="2"/>
    <x v="0"/>
    <s v="Workshop A3"/>
    <s v="Vegetarian"/>
    <x v="33"/>
    <n v="230"/>
  </r>
  <r>
    <s v="A0181"/>
    <s v="Tony Olson"/>
    <s v="tonyo@outlook.com"/>
    <x v="1"/>
    <x v="1"/>
    <s v="Workshop B1"/>
    <s v="Gluten-Free"/>
    <x v="34"/>
    <n v="208"/>
  </r>
  <r>
    <s v="A0182"/>
    <s v="Clayton Cowan"/>
    <s v="claytoncowan31@protonmail.com"/>
    <x v="0"/>
    <x v="1"/>
    <s v="Workshop B2"/>
    <s v="Non-Vegetarian"/>
    <x v="35"/>
    <n v="213"/>
  </r>
  <r>
    <s v="A0183"/>
    <s v="Mrs Debra Jackson DDS"/>
    <s v="ddsmrs@att.com"/>
    <x v="3"/>
    <x v="1"/>
    <s v="Workshop B3"/>
    <s v="Not-Required"/>
    <x v="36"/>
    <n v="184"/>
  </r>
  <r>
    <s v="A0184"/>
    <s v="Raymond Young"/>
    <s v="youngraymond92@verizon.com"/>
    <x v="4"/>
    <x v="0"/>
    <s v="Workshop C1"/>
    <s v="Unlimited"/>
    <x v="37"/>
    <n v="210"/>
  </r>
  <r>
    <s v="A0185"/>
    <s v="Lisa Schroeder"/>
    <s v="schroederlisa@comcast.net"/>
    <x v="8"/>
    <x v="1"/>
    <s v="Workshop C2"/>
    <s v="Vegan"/>
    <x v="38"/>
    <n v="230"/>
  </r>
  <r>
    <s v="A0186"/>
    <s v="Kristin Roberts"/>
    <s v="kristinroberts56@protonmail.com"/>
    <x v="9"/>
    <x v="0"/>
    <s v="Workshop D1"/>
    <s v="Vegetarian"/>
    <x v="39"/>
    <n v="233"/>
  </r>
  <r>
    <s v="A0187"/>
    <s v="Howard Williams"/>
    <s v="howardw@outlook.com"/>
    <x v="1"/>
    <x v="0"/>
    <s v="Workshop D2"/>
    <s v="Gluten-Free"/>
    <x v="40"/>
    <n v="241"/>
  </r>
  <r>
    <s v="A0188"/>
    <s v="Jennifer Murphy"/>
    <s v="murphyjennifer59@yandex.com"/>
    <x v="6"/>
    <x v="0"/>
    <s v="Workshop D2"/>
    <s v="Non-Vegetarian"/>
    <x v="41"/>
    <n v="244"/>
  </r>
  <r>
    <s v="A0189"/>
    <s v="Joshua Delacruz"/>
    <s v="joshuadelacruz@outlook.com"/>
    <x v="7"/>
    <x v="1"/>
    <s v="Workshop D1"/>
    <s v="Not-Required"/>
    <x v="42"/>
    <n v="199"/>
  </r>
  <r>
    <s v="A0190"/>
    <s v="Colleen Murphy"/>
    <s v="colleenmurphy@mail.com"/>
    <x v="8"/>
    <x v="1"/>
    <s v="Workshop C2"/>
    <s v="Unlimited"/>
    <x v="43"/>
    <n v="202"/>
  </r>
  <r>
    <s v="A0191"/>
    <s v="Rebecca Hebert"/>
    <s v="rhebert34@zoho.com"/>
    <x v="0"/>
    <x v="1"/>
    <s v="Workshop C1"/>
    <s v="Vegan"/>
    <x v="44"/>
    <n v="223"/>
  </r>
  <r>
    <s v="A0192"/>
    <s v="Robert Campbell"/>
    <s v="rcampbell@verizon.com"/>
    <x v="1"/>
    <x v="1"/>
    <s v="Workshop B3"/>
    <s v="Vegetarian"/>
    <x v="45"/>
    <n v="208"/>
  </r>
  <r>
    <s v="A0193"/>
    <s v="Matthew Lang"/>
    <s v="langmatthew34@hotmail.com"/>
    <x v="1"/>
    <x v="1"/>
    <s v="Workshop B2"/>
    <s v="Gluten-Free"/>
    <x v="46"/>
    <n v="209"/>
  </r>
  <r>
    <s v="A0194"/>
    <s v="David Mcgee"/>
    <s v="davidm@aol.com"/>
    <x v="2"/>
    <x v="1"/>
    <s v="Workshop B1"/>
    <s v="Non-Vegetarian"/>
    <x v="47"/>
    <n v="214"/>
  </r>
  <r>
    <s v="A0195"/>
    <s v="Jill Key"/>
    <s v="jillkey89@att.com"/>
    <x v="2"/>
    <x v="0"/>
    <s v="Workshop A3"/>
    <s v="Not-Required"/>
    <x v="48"/>
    <n v="209"/>
  </r>
  <r>
    <s v="A0196"/>
    <s v="Nicole Campbell"/>
    <s v="nicolecampbell26@zoho.com"/>
    <x v="5"/>
    <x v="0"/>
    <s v="Workshop A2"/>
    <s v="Unlimited"/>
    <x v="49"/>
    <n v="207"/>
  </r>
  <r>
    <s v="A0197"/>
    <s v="James Hill"/>
    <s v="hilljames@mail.com"/>
    <x v="5"/>
    <x v="1"/>
    <s v="Workshop A1"/>
    <s v="Vegan"/>
    <x v="50"/>
    <n v="210"/>
  </r>
  <r>
    <s v="A0198"/>
    <s v="Daniel Richard"/>
    <s v="danielr@xfinity.com"/>
    <x v="8"/>
    <x v="1"/>
    <s v="None"/>
    <s v="Vegetarian"/>
    <x v="51"/>
    <n v="173"/>
  </r>
  <r>
    <s v="A0199"/>
    <s v="Jacob Porter"/>
    <s v="porterjacob@verizon.com"/>
    <x v="7"/>
    <x v="0"/>
    <s v="None"/>
    <s v="Gluten-Free"/>
    <x v="52"/>
    <n v="196"/>
  </r>
  <r>
    <s v="A0200"/>
    <s v="Susan Wilson"/>
    <s v="wilsonsusan@comcast.net"/>
    <x v="8"/>
    <x v="0"/>
    <s v="Workshop A1"/>
    <s v="Non-Vegetarian"/>
    <x v="53"/>
    <n v="237"/>
  </r>
  <r>
    <s v="A0201"/>
    <s v="Barbara Alvarez"/>
    <s v="barbaraa87@outlook.com"/>
    <x v="6"/>
    <x v="0"/>
    <s v="Workshop B1"/>
    <s v="Not-Required"/>
    <x v="54"/>
    <n v="209"/>
  </r>
  <r>
    <s v="A0202"/>
    <s v="Noah Bowers"/>
    <s v="noahbowers@protonmail.com"/>
    <x v="7"/>
    <x v="1"/>
    <s v="Workshop C1"/>
    <s v="Unlimited"/>
    <x v="55"/>
    <n v="199"/>
  </r>
  <r>
    <s v="A0203"/>
    <s v="Thomas Morales"/>
    <s v="moralesthomas@att.com"/>
    <x v="0"/>
    <x v="0"/>
    <s v="Workshop D1"/>
    <s v="Vegan"/>
    <x v="56"/>
    <n v="248"/>
  </r>
  <r>
    <s v="A0204"/>
    <s v="Christopher Wilson"/>
    <s v="christopherwilson@mail.com"/>
    <x v="1"/>
    <x v="0"/>
    <s v="Workshop A2"/>
    <s v="Vegetarian"/>
    <x v="57"/>
    <n v="227"/>
  </r>
  <r>
    <s v="A0205"/>
    <s v="Marcus Mitchell"/>
    <s v="marcusmitchell40@hotmail.com"/>
    <x v="2"/>
    <x v="1"/>
    <s v="Workshop B2"/>
    <s v="Gluten-Free"/>
    <x v="58"/>
    <n v="213"/>
  </r>
  <r>
    <s v="A0206"/>
    <s v="Joshua Bailey"/>
    <s v="jbailey29@aol.com"/>
    <x v="5"/>
    <x v="0"/>
    <s v="Workshop C2"/>
    <s v="Non-Vegetarian"/>
    <x v="59"/>
    <n v="239"/>
  </r>
  <r>
    <s v="A0207"/>
    <s v="Dennis Weaver"/>
    <s v="dweaver@yandex.com"/>
    <x v="6"/>
    <x v="1"/>
    <s v="Workshop D2"/>
    <s v="Not-Required"/>
    <x v="60"/>
    <n v="196"/>
  </r>
  <r>
    <s v="A0208"/>
    <s v="William Gordon"/>
    <s v="williamgordon@xfinity.com"/>
    <x v="7"/>
    <x v="0"/>
    <s v="Workshop A3"/>
    <s v="Unlimited"/>
    <x v="61"/>
    <n v="213"/>
  </r>
  <r>
    <s v="A0209"/>
    <s v="Nicholas Acosta"/>
    <s v="nacosta52@gmail.com"/>
    <x v="8"/>
    <x v="1"/>
    <s v="Workshop B3"/>
    <s v="Vegan"/>
    <x v="62"/>
    <n v="225"/>
  </r>
  <r>
    <s v="A0210"/>
    <s v="Angel Smith"/>
    <s v="angels@zoho.com"/>
    <x v="3"/>
    <x v="0"/>
    <s v="Workshop A3"/>
    <s v="Vegetarian"/>
    <x v="63"/>
    <n v="223"/>
  </r>
  <r>
    <s v="A0211"/>
    <s v="Rebecca Brooks"/>
    <s v="rebeccabrooks84@yahoo.com"/>
    <x v="4"/>
    <x v="1"/>
    <s v="Workshop B3"/>
    <s v="Gluten-Free"/>
    <x v="64"/>
    <n v="204"/>
  </r>
  <r>
    <s v="A0212"/>
    <s v="John Rojas"/>
    <s v="johnr@gmail.com"/>
    <x v="9"/>
    <x v="1"/>
    <s v="Workshop A2"/>
    <s v="Non-Vegetarian"/>
    <x v="65"/>
    <n v="204"/>
  </r>
  <r>
    <s v="A0213"/>
    <s v="Julie Rivera"/>
    <s v="julierivera@verizon.com"/>
    <x v="2"/>
    <x v="1"/>
    <s v="Workshop B2"/>
    <s v="Not-Required"/>
    <x v="66"/>
    <n v="190"/>
  </r>
  <r>
    <s v="A0214"/>
    <s v="Roberto Watson"/>
    <s v="watsonroberto@xfinity.com"/>
    <x v="3"/>
    <x v="0"/>
    <s v="Workshop C2"/>
    <s v="Unlimited"/>
    <x v="67"/>
    <n v="214"/>
  </r>
  <r>
    <s v="A0215"/>
    <s v="Joseph Yu"/>
    <s v="josephyu48@aol.com"/>
    <x v="4"/>
    <x v="1"/>
    <s v="Workshop D2"/>
    <s v="Vegan"/>
    <x v="68"/>
    <n v="219"/>
  </r>
  <r>
    <s v="A0216"/>
    <s v="George Campbell"/>
    <s v="campbellgeorge@zoho.com"/>
    <x v="9"/>
    <x v="0"/>
    <s v="Workshop A1"/>
    <s v="Vegetarian"/>
    <x v="69"/>
    <n v="221"/>
  </r>
  <r>
    <s v="A0217"/>
    <s v="Edwin Norton"/>
    <s v="edwinnorton@aol.com"/>
    <x v="0"/>
    <x v="1"/>
    <s v="Workshop B1"/>
    <s v="Gluten-Free"/>
    <x v="70"/>
    <n v="210"/>
  </r>
  <r>
    <s v="A0218"/>
    <s v="Leslie Lewis"/>
    <s v="leslielewis@xfinity.com"/>
    <x v="1"/>
    <x v="0"/>
    <s v="Workshop C1"/>
    <s v="Non-Vegetarian"/>
    <x v="71"/>
    <n v="239"/>
  </r>
  <r>
    <s v="A0219"/>
    <s v="Wendy Adkins"/>
    <s v="adkinswendy86@gmail.com"/>
    <x v="2"/>
    <x v="1"/>
    <s v="Workshop D1"/>
    <s v="Not-Required"/>
    <x v="72"/>
    <n v="197"/>
  </r>
  <r>
    <s v="A0220"/>
    <s v="Brenda Rodgers"/>
    <s v="brendarodgers@xfinity.com"/>
    <x v="3"/>
    <x v="0"/>
    <s v="None"/>
    <s v="Unlimited"/>
    <x v="0"/>
    <n v="166"/>
  </r>
  <r>
    <s v="A0221"/>
    <s v="Michael Griffin MD"/>
    <s v="mmd@hotmail.com"/>
    <x v="4"/>
    <x v="0"/>
    <s v="None"/>
    <s v="Vegan"/>
    <x v="1"/>
    <n v="191"/>
  </r>
  <r>
    <s v="A0222"/>
    <s v="Todd Cox"/>
    <s v="toddcox97@verizon.com"/>
    <x v="5"/>
    <x v="1"/>
    <s v="Workshop A1"/>
    <s v="Vegetarian"/>
    <x v="2"/>
    <n v="201"/>
  </r>
  <r>
    <s v="A0223"/>
    <s v="Linda Anderson"/>
    <s v="lindaanderson@att.com"/>
    <x v="6"/>
    <x v="0"/>
    <s v="Workshop A2"/>
    <s v="Gluten-Free"/>
    <x v="3"/>
    <n v="230"/>
  </r>
  <r>
    <s v="A0224"/>
    <s v="Sharon Nelson"/>
    <s v="nelsonsharon70@xfinity.com"/>
    <x v="7"/>
    <x v="1"/>
    <s v="Workshop A3"/>
    <s v="Non-Vegetarian"/>
    <x v="4"/>
    <n v="213"/>
  </r>
  <r>
    <s v="A0225"/>
    <s v="Mario Bennett"/>
    <s v="mariobennett@hotmail.com"/>
    <x v="8"/>
    <x v="1"/>
    <s v="Workshop B1"/>
    <s v="Not-Required"/>
    <x v="5"/>
    <n v="193"/>
  </r>
  <r>
    <s v="A0226"/>
    <s v="Kristin Campos"/>
    <s v="kristincampos48@att.com"/>
    <x v="9"/>
    <x v="0"/>
    <s v="Workshop B2"/>
    <s v="Unlimited"/>
    <x v="6"/>
    <n v="207"/>
  </r>
  <r>
    <s v="A0227"/>
    <s v="Tamara Kennedy"/>
    <s v="kennedytamara@comcast.net"/>
    <x v="9"/>
    <x v="0"/>
    <s v="Workshop B3"/>
    <s v="Vegan"/>
    <x v="7"/>
    <n v="236"/>
  </r>
  <r>
    <s v="A0228"/>
    <s v="Tiffany Phillips"/>
    <s v="tiffanyphillips@outlook.com"/>
    <x v="8"/>
    <x v="0"/>
    <s v="Workshop C1"/>
    <s v="Vegetarian"/>
    <x v="8"/>
    <n v="243"/>
  </r>
  <r>
    <s v="A0229"/>
    <s v="Larry Velasquez"/>
    <s v="larryvelasquez83@yahoo.com"/>
    <x v="7"/>
    <x v="0"/>
    <s v="Workshop C2"/>
    <s v="Gluten-Free"/>
    <x v="9"/>
    <n v="244"/>
  </r>
  <r>
    <s v="A0230"/>
    <s v="Troy Wolf"/>
    <s v="wolftroy22@gmail.com"/>
    <x v="6"/>
    <x v="0"/>
    <s v="Workshop D1"/>
    <s v="Non-Vegetarian"/>
    <x v="10"/>
    <n v="242"/>
  </r>
  <r>
    <s v="A0231"/>
    <s v="Richard Jones"/>
    <s v="richardj@att.com"/>
    <x v="5"/>
    <x v="0"/>
    <s v="Workshop D2"/>
    <s v="Not-Required"/>
    <x v="11"/>
    <n v="217"/>
  </r>
  <r>
    <s v="A0232"/>
    <s v="Samantha Porter"/>
    <s v="portersamantha@protonmail.com"/>
    <x v="4"/>
    <x v="1"/>
    <s v="Workshop D2"/>
    <s v="Unlimited"/>
    <x v="12"/>
    <n v="191"/>
  </r>
  <r>
    <s v="A0233"/>
    <s v="Michael Bass"/>
    <s v="bassmichael@att.com"/>
    <x v="3"/>
    <x v="0"/>
    <s v="Workshop D1"/>
    <s v="Vegan"/>
    <x v="13"/>
    <n v="243"/>
  </r>
  <r>
    <s v="A0234"/>
    <s v="Glen Chavez"/>
    <s v="chavezglen@xfinity.com"/>
    <x v="2"/>
    <x v="0"/>
    <s v="Workshop C2"/>
    <s v="Vegetarian"/>
    <x v="14"/>
    <n v="240"/>
  </r>
  <r>
    <s v="A0235"/>
    <s v="Rebecca Jones"/>
    <s v="jonesrebecca@comcast.net"/>
    <x v="1"/>
    <x v="0"/>
    <s v="Workshop C1"/>
    <s v="Gluten-Free"/>
    <x v="15"/>
    <n v="237"/>
  </r>
  <r>
    <s v="A0236"/>
    <s v="Dr Michael Gallegos"/>
    <s v="gallegosdr61@xfinity.com"/>
    <x v="0"/>
    <x v="0"/>
    <s v="Workshop B3"/>
    <s v="Non-Vegetarian"/>
    <x v="16"/>
    <n v="237"/>
  </r>
  <r>
    <s v="A0237"/>
    <s v="Veronica Allen"/>
    <s v="veronicaa@comcast.net"/>
    <x v="3"/>
    <x v="1"/>
    <s v="Workshop B2"/>
    <s v="Not-Required"/>
    <x v="17"/>
    <n v="183"/>
  </r>
  <r>
    <s v="A0238"/>
    <s v="Mike Anderson"/>
    <s v="andersonmike50@mail.com"/>
    <x v="4"/>
    <x v="0"/>
    <s v="Workshop B1"/>
    <s v="Unlimited"/>
    <x v="18"/>
    <n v="204"/>
  </r>
  <r>
    <s v="A0239"/>
    <s v="James Foster"/>
    <s v="fosterjames@att.com"/>
    <x v="8"/>
    <x v="1"/>
    <s v="Workshop A3"/>
    <s v="Vegan"/>
    <x v="19"/>
    <n v="220"/>
  </r>
  <r>
    <s v="A0240"/>
    <s v="Brian Fisher"/>
    <s v="brianfisher86@comcast.net"/>
    <x v="9"/>
    <x v="0"/>
    <s v="Workshop A2"/>
    <s v="Vegetarian"/>
    <x v="20"/>
    <n v="223"/>
  </r>
  <r>
    <s v="A0241"/>
    <s v="Elizabeth Wilson"/>
    <s v="elizabethw17@zoho.com"/>
    <x v="1"/>
    <x v="1"/>
    <s v="Workshop A1"/>
    <s v="Gluten-Free"/>
    <x v="21"/>
    <n v="204"/>
  </r>
  <r>
    <s v="A0242"/>
    <s v="Joshua Graham"/>
    <s v="joshuag42@gmail.com"/>
    <x v="6"/>
    <x v="0"/>
    <s v="None"/>
    <s v="Non-Vegetarian"/>
    <x v="22"/>
    <n v="193"/>
  </r>
  <r>
    <s v="A0243"/>
    <s v="Kevin Lee"/>
    <s v="kevinlee17@verizon.com"/>
    <x v="7"/>
    <x v="1"/>
    <s v="None"/>
    <s v="Not-Required"/>
    <x v="23"/>
    <n v="150"/>
  </r>
  <r>
    <s v="A0244"/>
    <s v="Eric Pugh"/>
    <s v="ericpugh@mail.com"/>
    <x v="8"/>
    <x v="1"/>
    <s v="Workshop A1"/>
    <s v="Unlimited"/>
    <x v="24"/>
    <n v="191"/>
  </r>
  <r>
    <s v="A0245"/>
    <s v="Kendra Kent"/>
    <s v="kkent@comcast.net"/>
    <x v="0"/>
    <x v="1"/>
    <s v="Workshop B1"/>
    <s v="Vegan"/>
    <x v="25"/>
    <n v="217"/>
  </r>
  <r>
    <s v="A0246"/>
    <s v="Ashley Hall"/>
    <s v="hallashley@zoho.com"/>
    <x v="1"/>
    <x v="0"/>
    <s v="Workshop C1"/>
    <s v="Vegetarian"/>
    <x v="26"/>
    <n v="235"/>
  </r>
  <r>
    <s v="A0247"/>
    <s v="Rodney Bailey"/>
    <s v="rbailey@comcast.net"/>
    <x v="1"/>
    <x v="0"/>
    <s v="Workshop D1"/>
    <s v="Gluten-Free"/>
    <x v="27"/>
    <n v="239"/>
  </r>
  <r>
    <s v="A0248"/>
    <s v="Pamela West"/>
    <s v="westpamela@zoho.com"/>
    <x v="2"/>
    <x v="0"/>
    <s v="Workshop A2"/>
    <s v="Non-Vegetarian"/>
    <x v="28"/>
    <n v="235"/>
  </r>
  <r>
    <s v="A0249"/>
    <s v="Patrick Curry"/>
    <s v="patrickcurry89@att.com"/>
    <x v="2"/>
    <x v="0"/>
    <s v="Workshop B2"/>
    <s v="Not-Required"/>
    <x v="29"/>
    <n v="213"/>
  </r>
  <r>
    <s v="A0250"/>
    <s v="Stacey Chan"/>
    <s v="staceyc@yandex.com"/>
    <x v="5"/>
    <x v="0"/>
    <s v="Workshop C2"/>
    <s v="Unlimited"/>
    <x v="30"/>
    <n v="216"/>
  </r>
  <r>
    <s v="A0251"/>
    <s v="Patricia Serrano"/>
    <s v="patricias@xfinity.com"/>
    <x v="5"/>
    <x v="0"/>
    <s v="Workshop D2"/>
    <s v="Vegan"/>
    <x v="31"/>
    <n v="247"/>
  </r>
  <r>
    <s v="A0252"/>
    <s v="John Anderson"/>
    <s v="andersonjohn67@yandex.com"/>
    <x v="8"/>
    <x v="1"/>
    <s v="Workshop A3"/>
    <s v="Vegetarian"/>
    <x v="32"/>
    <n v="211"/>
  </r>
  <r>
    <s v="A0253"/>
    <s v="Dawn Adams"/>
    <s v="dawna68@protonmail.com"/>
    <x v="7"/>
    <x v="0"/>
    <s v="Workshop B3"/>
    <s v="Gluten-Free"/>
    <x v="33"/>
    <n v="239"/>
  </r>
  <r>
    <s v="A0254"/>
    <s v="Molly Mclaughlin"/>
    <s v="mollymclaughlin23@xfinity.com"/>
    <x v="8"/>
    <x v="1"/>
    <s v="Workshop A3"/>
    <s v="Non-Vegetarian"/>
    <x v="34"/>
    <n v="215"/>
  </r>
  <r>
    <s v="A0255"/>
    <s v="Amanda Fox"/>
    <s v="amandafox@verizon.com"/>
    <x v="6"/>
    <x v="1"/>
    <s v="Workshop B3"/>
    <s v="Not-Required"/>
    <x v="35"/>
    <n v="188"/>
  </r>
  <r>
    <s v="A0256"/>
    <s v="Rose Gutierrez"/>
    <s v="roseg65@outlook.com"/>
    <x v="7"/>
    <x v="0"/>
    <s v="Workshop A2"/>
    <s v="Unlimited"/>
    <x v="36"/>
    <n v="214"/>
  </r>
  <r>
    <s v="A0257"/>
    <s v="Alexander Bass"/>
    <s v="bassalexander65@zoho.com"/>
    <x v="0"/>
    <x v="1"/>
    <s v="Workshop B2"/>
    <s v="Vegan"/>
    <x v="37"/>
    <n v="218"/>
  </r>
  <r>
    <s v="A0258"/>
    <s v="Leslie Wilson"/>
    <s v="lesliewilson@comcast.net"/>
    <x v="1"/>
    <x v="0"/>
    <s v="Workshop C2"/>
    <s v="Vegetarian"/>
    <x v="38"/>
    <n v="236"/>
  </r>
  <r>
    <s v="A0259"/>
    <s v="Emily Pennington"/>
    <s v="epennington@protonmail.com"/>
    <x v="2"/>
    <x v="0"/>
    <s v="Workshop D2"/>
    <s v="Gluten-Free"/>
    <x v="39"/>
    <n v="245"/>
  </r>
  <r>
    <s v="A0260"/>
    <s v="Mary Mendez"/>
    <s v="marymendez@protonmail.com"/>
    <x v="5"/>
    <x v="0"/>
    <s v="Workshop A1"/>
    <s v="Non-Vegetarian"/>
    <x v="40"/>
    <n v="228"/>
  </r>
  <r>
    <s v="A0261"/>
    <s v="Rebecca Price"/>
    <s v="rebeccaprice@zoho.com"/>
    <x v="6"/>
    <x v="0"/>
    <s v="Workshop B1"/>
    <s v="Not-Required"/>
    <x v="41"/>
    <n v="209"/>
  </r>
  <r>
    <s v="A0262"/>
    <s v="Diana Mcdowell DDS"/>
    <s v="ddds@comcast.net"/>
    <x v="7"/>
    <x v="1"/>
    <s v="Workshop C1"/>
    <s v="Unlimited"/>
    <x v="42"/>
    <n v="199"/>
  </r>
  <r>
    <s v="A0263"/>
    <s v="Jennifer Terry"/>
    <s v="jenniferterry58@outlook.com"/>
    <x v="8"/>
    <x v="0"/>
    <s v="Workshop D1"/>
    <s v="Vegan"/>
    <x v="43"/>
    <n v="254"/>
  </r>
  <r>
    <s v="A0264"/>
    <s v="Andrew Barnett"/>
    <s v="andrewb@yahoo.com"/>
    <x v="3"/>
    <x v="1"/>
    <s v="None"/>
    <s v="Vegetarian"/>
    <x v="44"/>
    <n v="162"/>
  </r>
  <r>
    <s v="A0265"/>
    <s v="Evelyn Day"/>
    <s v="dayevelyn@outlook.com"/>
    <x v="4"/>
    <x v="0"/>
    <s v="None"/>
    <s v="Gluten-Free"/>
    <x v="45"/>
    <n v="184"/>
  </r>
  <r>
    <s v="A0266"/>
    <s v="Natalie Anderson"/>
    <s v="andersonnatalie@gmail.com"/>
    <x v="9"/>
    <x v="0"/>
    <s v="Workshop A1"/>
    <s v="Non-Vegetarian"/>
    <x v="46"/>
    <n v="225"/>
  </r>
  <r>
    <s v="A0267"/>
    <s v="Kathryn Morgan"/>
    <s v="morgankathryn@mail.com"/>
    <x v="2"/>
    <x v="0"/>
    <s v="Workshop A2"/>
    <s v="Not-Required"/>
    <x v="47"/>
    <n v="210"/>
  </r>
  <r>
    <s v="A0268"/>
    <s v="Stacy Simmons"/>
    <s v="stacysimmons@comcast.net"/>
    <x v="3"/>
    <x v="1"/>
    <s v="Workshop A3"/>
    <s v="Unlimited"/>
    <x v="48"/>
    <n v="181"/>
  </r>
  <r>
    <s v="A0269"/>
    <s v="Rebecca Reyes"/>
    <s v="reyesrebecca@xfinity.com"/>
    <x v="4"/>
    <x v="0"/>
    <s v="Workshop B1"/>
    <s v="Vegan"/>
    <x v="49"/>
    <n v="232"/>
  </r>
  <r>
    <s v="A0270"/>
    <s v="Tracey Hebert"/>
    <s v="traceyhebert39@xfinity.com"/>
    <x v="9"/>
    <x v="0"/>
    <s v="Workshop B2"/>
    <s v="Vegetarian"/>
    <x v="50"/>
    <n v="226"/>
  </r>
  <r>
    <s v="A0271"/>
    <s v="Jessica Cunningham"/>
    <s v="jessicac20@aol.com"/>
    <x v="0"/>
    <x v="0"/>
    <s v="Workshop B3"/>
    <s v="Gluten-Free"/>
    <x v="51"/>
    <n v="235"/>
  </r>
  <r>
    <s v="A0272"/>
    <s v="Stephanie Rodriguez"/>
    <s v="stephanier@mail.com"/>
    <x v="1"/>
    <x v="0"/>
    <s v="Workshop C1"/>
    <s v="Non-Vegetarian"/>
    <x v="52"/>
    <n v="239"/>
  </r>
  <r>
    <s v="A0273"/>
    <s v="Richard Arias"/>
    <s v="richardarias28@att.com"/>
    <x v="2"/>
    <x v="1"/>
    <s v="Workshop C2"/>
    <s v="Not-Required"/>
    <x v="53"/>
    <n v="196"/>
  </r>
  <r>
    <s v="A0274"/>
    <s v="Courtney Barr"/>
    <s v="barrcourtney@mail.com"/>
    <x v="3"/>
    <x v="0"/>
    <s v="Workshop D1"/>
    <s v="Unlimited"/>
    <x v="54"/>
    <n v="215"/>
  </r>
  <r>
    <s v="A0275"/>
    <s v="Justin Webb"/>
    <s v="justinw@protonmail.com"/>
    <x v="4"/>
    <x v="1"/>
    <s v="Workshop D2"/>
    <s v="Vegan"/>
    <x v="55"/>
    <n v="219"/>
  </r>
  <r>
    <s v="A0276"/>
    <s v="Audrey Garcia"/>
    <s v="audreygarcia66@verizon.com"/>
    <x v="5"/>
    <x v="0"/>
    <s v="Workshop D2"/>
    <s v="Vegetarian"/>
    <x v="56"/>
    <n v="238"/>
  </r>
  <r>
    <s v="A0277"/>
    <s v="George Mcgee"/>
    <s v="georgemcgee@comcast.net"/>
    <x v="6"/>
    <x v="0"/>
    <s v="Workshop D1"/>
    <s v="Gluten-Free"/>
    <x v="57"/>
    <n v="240"/>
  </r>
  <r>
    <s v="A0278"/>
    <s v="Michelle Perez"/>
    <s v="michellep@xfinity.com"/>
    <x v="7"/>
    <x v="0"/>
    <s v="Workshop C2"/>
    <s v="Non-Vegetarian"/>
    <x v="58"/>
    <n v="246"/>
  </r>
  <r>
    <s v="A0279"/>
    <s v="Kelly Rogers"/>
    <s v="rogerskelly@gmail.com"/>
    <x v="8"/>
    <x v="1"/>
    <s v="Workshop C1"/>
    <s v="Not-Required"/>
    <x v="59"/>
    <n v="199"/>
  </r>
  <r>
    <s v="A0280"/>
    <s v="Kelly Daniels"/>
    <s v="kellyd@aol.com"/>
    <x v="9"/>
    <x v="0"/>
    <s v="Workshop B3"/>
    <s v="Unlimited"/>
    <x v="60"/>
    <n v="208"/>
  </r>
  <r>
    <s v="A0281"/>
    <s v="Chelsea Wilson"/>
    <s v="cwilson@yandex.com"/>
    <x v="9"/>
    <x v="1"/>
    <s v="Workshop B2"/>
    <s v="Vegan"/>
    <x v="61"/>
    <n v="212"/>
  </r>
  <r>
    <s v="A0282"/>
    <s v="Nicolas Adams"/>
    <s v="nicolasa@outlook.com"/>
    <x v="8"/>
    <x v="0"/>
    <s v="Workshop B1"/>
    <s v="Vegetarian"/>
    <x v="62"/>
    <n v="237"/>
  </r>
  <r>
    <s v="A0283"/>
    <s v="Jane Mckinney"/>
    <s v="mckinneyjane@comcast.net"/>
    <x v="7"/>
    <x v="1"/>
    <s v="Workshop A3"/>
    <s v="Gluten-Free"/>
    <x v="63"/>
    <n v="211"/>
  </r>
  <r>
    <s v="A0284"/>
    <s v="Derrick Washington"/>
    <s v="derrickw94@outlook.com"/>
    <x v="6"/>
    <x v="0"/>
    <s v="Workshop A2"/>
    <s v="Non-Vegetarian"/>
    <x v="64"/>
    <n v="232"/>
  </r>
  <r>
    <s v="A0285"/>
    <s v="Molly Schultz"/>
    <s v="mschultz71@hotmail.com"/>
    <x v="5"/>
    <x v="1"/>
    <s v="Workshop A1"/>
    <s v="Not-Required"/>
    <x v="65"/>
    <n v="180"/>
  </r>
  <r>
    <s v="A0286"/>
    <s v="Jesse Wright"/>
    <s v="jessewright@comcast.net"/>
    <x v="4"/>
    <x v="0"/>
    <s v="None"/>
    <s v="Unlimited"/>
    <x v="66"/>
    <n v="163"/>
  </r>
  <r>
    <s v="A0287"/>
    <s v="Paula Howard"/>
    <s v="paulahoward@xfinity.com"/>
    <x v="3"/>
    <x v="1"/>
    <s v="None"/>
    <s v="Vegan"/>
    <x v="67"/>
    <n v="171"/>
  </r>
  <r>
    <s v="A0288"/>
    <s v="Norman Clark"/>
    <s v="normanc23@hotmail.com"/>
    <x v="2"/>
    <x v="0"/>
    <s v="Workshop A1"/>
    <s v="Vegetarian"/>
    <x v="68"/>
    <n v="229"/>
  </r>
  <r>
    <s v="A0289"/>
    <s v="Sarah Carter"/>
    <s v="sarahc@comcast.net"/>
    <x v="1"/>
    <x v="1"/>
    <s v="Workshop B1"/>
    <s v="Gluten-Free"/>
    <x v="69"/>
    <n v="208"/>
  </r>
  <r>
    <s v="A0290"/>
    <s v="Mary Robinson"/>
    <s v="robinsonmary34@att.com"/>
    <x v="0"/>
    <x v="0"/>
    <s v="Workshop C1"/>
    <s v="Non-Vegetarian"/>
    <x v="70"/>
    <n v="241"/>
  </r>
  <r>
    <s v="A0291"/>
    <s v="Sarah Wong"/>
    <s v="sarahw@protonmail.com"/>
    <x v="3"/>
    <x v="1"/>
    <s v="Workshop D1"/>
    <s v="Not-Required"/>
    <x v="71"/>
    <n v="190"/>
  </r>
  <r>
    <s v="A0292"/>
    <s v="Jonathan Torres"/>
    <s v="jonathant@comcast.net"/>
    <x v="4"/>
    <x v="0"/>
    <s v="Workshop A2"/>
    <s v="Unlimited"/>
    <x v="72"/>
    <n v="202"/>
  </r>
  <r>
    <s v="A0293"/>
    <s v="Tammy Delgado"/>
    <s v="tammydelgado@comcast.net"/>
    <x v="8"/>
    <x v="1"/>
    <s v="Workshop B2"/>
    <s v="Vegan"/>
    <x v="0"/>
    <n v="224"/>
  </r>
  <r>
    <s v="A0294"/>
    <s v="Kimberly Frazier"/>
    <s v="frazierkimberly@yandex.com"/>
    <x v="9"/>
    <x v="0"/>
    <s v="Workshop C2"/>
    <s v="Vegetarian"/>
    <x v="1"/>
    <n v="232"/>
  </r>
  <r>
    <s v="A0295"/>
    <s v="Victoria Herman"/>
    <s v="victoriaherman@zoho.com"/>
    <x v="1"/>
    <x v="1"/>
    <s v="Workshop D2"/>
    <s v="Gluten-Free"/>
    <x v="2"/>
    <n v="218"/>
  </r>
  <r>
    <s v="A0296"/>
    <s v="Abigail Bowers"/>
    <s v="abigailbowers@yahoo.com"/>
    <x v="6"/>
    <x v="0"/>
    <s v="Workshop A3"/>
    <s v="Non-Vegetarian"/>
    <x v="3"/>
    <n v="231"/>
  </r>
  <r>
    <s v="A0297"/>
    <s v="Veronica Howard"/>
    <s v="vhoward23@gmail.com"/>
    <x v="7"/>
    <x v="1"/>
    <s v="Workshop B3"/>
    <s v="Not-Required"/>
    <x v="4"/>
    <n v="193"/>
  </r>
  <r>
    <s v="A0298"/>
    <s v="Jenna Harrington"/>
    <s v="jennaharrington@protonmail.com"/>
    <x v="8"/>
    <x v="0"/>
    <s v="Workshop A3"/>
    <s v="Unlimited"/>
    <x v="5"/>
    <n v="215"/>
  </r>
  <r>
    <s v="A0299"/>
    <s v="Elizabeth Hendrix"/>
    <s v="ehendrix@yandex.com"/>
    <x v="0"/>
    <x v="1"/>
    <s v="Workshop B3"/>
    <s v="Vegan"/>
    <x v="6"/>
    <n v="219"/>
  </r>
  <r>
    <s v="A0300"/>
    <s v="Shannon Tate"/>
    <s v="tateshannon54@yahoo.com"/>
    <x v="1"/>
    <x v="0"/>
    <s v="Workshop A2"/>
    <s v="Vegetarian"/>
    <x v="7"/>
    <n v="227"/>
  </r>
  <r>
    <s v="A0301"/>
    <s v="Christopher Briggs Jr"/>
    <s v="christopherj25@gmail.com"/>
    <x v="1"/>
    <x v="1"/>
    <s v="Workshop B2"/>
    <s v="Gluten-Free"/>
    <x v="8"/>
    <n v="209"/>
  </r>
  <r>
    <s v="A0302"/>
    <s v="Virginia Jones"/>
    <s v="jonesvirginia@zoho.com"/>
    <x v="2"/>
    <x v="0"/>
    <s v="Workshop C2"/>
    <s v="Non-Vegetarian"/>
    <x v="9"/>
    <n v="244"/>
  </r>
  <r>
    <s v="A0303"/>
    <s v="Casey Cobb"/>
    <s v="caseycobb89@outlook.com"/>
    <x v="2"/>
    <x v="1"/>
    <s v="Workshop D2"/>
    <s v="Not-Required"/>
    <x v="10"/>
    <n v="199"/>
  </r>
  <r>
    <s v="A0304"/>
    <s v="Timothy Kim"/>
    <s v="timothyk@xfinity.com"/>
    <x v="5"/>
    <x v="0"/>
    <s v="Workshop A1"/>
    <s v="Unlimited"/>
    <x v="11"/>
    <n v="205"/>
  </r>
  <r>
    <s v="A0305"/>
    <s v="Daniel Gilbert"/>
    <s v="dgilbert@xfinity.com"/>
    <x v="5"/>
    <x v="1"/>
    <s v="Workshop B1"/>
    <s v="Vegan"/>
    <x v="12"/>
    <n v="214"/>
  </r>
  <r>
    <s v="A0306"/>
    <s v="Cheryl Adams"/>
    <s v="cadams@outlook.com"/>
    <x v="8"/>
    <x v="0"/>
    <s v="Workshop C1"/>
    <s v="Vegetarian"/>
    <x v="13"/>
    <n v="243"/>
  </r>
  <r>
    <s v="A0307"/>
    <s v="Luis Grant"/>
    <s v="luisgrant@aol.com"/>
    <x v="7"/>
    <x v="0"/>
    <s v="Workshop D1"/>
    <s v="Gluten-Free"/>
    <x v="14"/>
    <n v="245"/>
  </r>
  <r>
    <s v="A0308"/>
    <s v="Kevin Blankenship"/>
    <s v="kevinb@gmail.com"/>
    <x v="8"/>
    <x v="0"/>
    <s v="None"/>
    <s v="Non-Vegetarian"/>
    <x v="15"/>
    <n v="200"/>
  </r>
  <r>
    <s v="A0309"/>
    <s v="Roberto Wolfe"/>
    <s v="rwolfe@yahoo.com"/>
    <x v="6"/>
    <x v="0"/>
    <s v="None"/>
    <s v="Not-Required"/>
    <x v="16"/>
    <n v="168"/>
  </r>
  <r>
    <s v="A0310"/>
    <s v="Lance Lopez"/>
    <s v="llopez@verizon.com"/>
    <x v="7"/>
    <x v="0"/>
    <s v="Workshop A1"/>
    <s v="Unlimited"/>
    <x v="17"/>
    <n v="212"/>
  </r>
  <r>
    <s v="A0311"/>
    <s v="Robert Baker"/>
    <s v="rbaker@zoho.com"/>
    <x v="0"/>
    <x v="0"/>
    <s v="Workshop A2"/>
    <s v="Vegan"/>
    <x v="18"/>
    <n v="238"/>
  </r>
  <r>
    <s v="A0312"/>
    <s v="Brianna Malone"/>
    <s v="malonebrianna70@comcast.net"/>
    <x v="1"/>
    <x v="0"/>
    <s v="Workshop A3"/>
    <s v="Vegetarian"/>
    <x v="19"/>
    <n v="226"/>
  </r>
  <r>
    <s v="A0313"/>
    <s v="Paul Wilson"/>
    <s v="paulwilson@gmail.com"/>
    <x v="2"/>
    <x v="0"/>
    <s v="Workshop B1"/>
    <s v="Gluten-Free"/>
    <x v="20"/>
    <n v="235"/>
  </r>
  <r>
    <s v="A0314"/>
    <s v="Derek Peterson"/>
    <s v="dpeterson@xfinity.com"/>
    <x v="5"/>
    <x v="0"/>
    <s v="Workshop B2"/>
    <s v="Non-Vegetarian"/>
    <x v="21"/>
    <n v="233"/>
  </r>
  <r>
    <s v="A0315"/>
    <s v="Brian Greene"/>
    <s v="greenebrian@comcast.net"/>
    <x v="6"/>
    <x v="0"/>
    <s v="Workshop B3"/>
    <s v="Not-Required"/>
    <x v="22"/>
    <n v="211"/>
  </r>
  <r>
    <s v="A0316"/>
    <s v="Seth Marshall"/>
    <s v="sethm@att.com"/>
    <x v="7"/>
    <x v="0"/>
    <s v="Workshop C1"/>
    <s v="Unlimited"/>
    <x v="23"/>
    <n v="222"/>
  </r>
  <r>
    <s v="A0317"/>
    <s v="Sarah Wagner"/>
    <s v="wagnersarah@yandex.com"/>
    <x v="8"/>
    <x v="0"/>
    <s v="Workshop C2"/>
    <s v="Vegan"/>
    <x v="24"/>
    <n v="253"/>
  </r>
  <r>
    <s v="A0318"/>
    <s v="Michael Rivas"/>
    <s v="rivasmichael63@xfinity.com"/>
    <x v="3"/>
    <x v="0"/>
    <s v="Workshop D1"/>
    <s v="Vegetarian"/>
    <x v="25"/>
    <n v="234"/>
  </r>
  <r>
    <s v="A0319"/>
    <s v="Amanda Myers"/>
    <s v="amandamyers@att.com"/>
    <x v="4"/>
    <x v="0"/>
    <s v="Workshop D2"/>
    <s v="Gluten-Free"/>
    <x v="26"/>
    <n v="235"/>
  </r>
  <r>
    <s v="A0320"/>
    <s v="Joshua Patrick"/>
    <s v="joshuapatrick@xfinity.com"/>
    <x v="9"/>
    <x v="0"/>
    <s v="Workshop D2"/>
    <s v="Non-Vegetarian"/>
    <x v="27"/>
    <n v="239"/>
  </r>
  <r>
    <s v="A0321"/>
    <s v="Martin Mcknight"/>
    <s v="mcknightmartin17@comcast.net"/>
    <x v="2"/>
    <x v="0"/>
    <s v="Workshop D1"/>
    <s v="Not-Required"/>
    <x v="28"/>
    <n v="220"/>
  </r>
  <r>
    <s v="A0322"/>
    <s v="Robert Wagner"/>
    <s v="robertwagner78@att.com"/>
    <x v="3"/>
    <x v="0"/>
    <s v="Workshop C2"/>
    <s v="Unlimited"/>
    <x v="29"/>
    <n v="214"/>
  </r>
  <r>
    <s v="A0323"/>
    <s v="Leah Payne"/>
    <s v="leahpayne26@yahoo.com"/>
    <x v="4"/>
    <x v="0"/>
    <s v="Workshop C1"/>
    <s v="Vegan"/>
    <x v="30"/>
    <n v="238"/>
  </r>
  <r>
    <s v="A0324"/>
    <s v="Victoria Stewart"/>
    <s v="victoriastewart31@yahoo.com"/>
    <x v="9"/>
    <x v="0"/>
    <s v="Workshop B3"/>
    <s v="Vegetarian"/>
    <x v="31"/>
    <n v="227"/>
  </r>
  <r>
    <s v="A0325"/>
    <s v="Mr Ryan Wright"/>
    <s v="mwright51@aol.com"/>
    <x v="0"/>
    <x v="1"/>
    <s v="Workshop B2"/>
    <s v="Gluten-Free"/>
    <x v="32"/>
    <n v="211"/>
  </r>
  <r>
    <s v="A0326"/>
    <s v="William Duncan"/>
    <s v="williamduncan26@hotmail.com"/>
    <x v="1"/>
    <x v="1"/>
    <s v="Workshop B1"/>
    <s v="Non-Vegetarian"/>
    <x v="33"/>
    <n v="210"/>
  </r>
  <r>
    <s v="A0327"/>
    <s v="Jonathan Kelly"/>
    <s v="kellyjonathan@zoho.com"/>
    <x v="2"/>
    <x v="1"/>
    <s v="Workshop A3"/>
    <s v="Not-Required"/>
    <x v="34"/>
    <n v="186"/>
  </r>
  <r>
    <s v="A0328"/>
    <s v="Erik Young"/>
    <s v="eyoung@gmail.com"/>
    <x v="3"/>
    <x v="1"/>
    <s v="Workshop A2"/>
    <s v="Unlimited"/>
    <x v="35"/>
    <n v="182"/>
  </r>
  <r>
    <s v="A0329"/>
    <s v="Brittany Smith"/>
    <s v="bsmith32@yandex.com"/>
    <x v="4"/>
    <x v="1"/>
    <s v="Workshop A1"/>
    <s v="Vegan"/>
    <x v="36"/>
    <n v="205"/>
  </r>
  <r>
    <s v="A0330"/>
    <s v="Jennifer Oliver"/>
    <s v="jenniferoliver@outlook.com"/>
    <x v="5"/>
    <x v="1"/>
    <s v="None"/>
    <s v="Vegetarian"/>
    <x v="37"/>
    <n v="164"/>
  </r>
  <r>
    <s v="A0331"/>
    <s v="Jennifer Cunningham"/>
    <s v="jennifercunningham@comcast.net"/>
    <x v="6"/>
    <x v="1"/>
    <s v="None"/>
    <s v="Gluten-Free"/>
    <x v="38"/>
    <n v="168"/>
  </r>
  <r>
    <s v="A0332"/>
    <s v="Judy Lucero"/>
    <s v="judylucero94@protonmail.com"/>
    <x v="7"/>
    <x v="1"/>
    <s v="Workshop A1"/>
    <s v="Non-Vegetarian"/>
    <x v="39"/>
    <n v="212"/>
  </r>
  <r>
    <s v="A0333"/>
    <s v="Stephanie Mccoy"/>
    <s v="mccoystephanie@zoho.com"/>
    <x v="8"/>
    <x v="1"/>
    <s v="Workshop B1"/>
    <s v="Not-Required"/>
    <x v="40"/>
    <n v="193"/>
  </r>
  <r>
    <s v="A0334"/>
    <s v="Amy Lee"/>
    <s v="amylee70@att.com"/>
    <x v="9"/>
    <x v="1"/>
    <s v="Workshop C1"/>
    <s v="Unlimited"/>
    <x v="41"/>
    <n v="189"/>
  </r>
  <r>
    <s v="A0335"/>
    <s v="Phyllis Dunn"/>
    <s v="pdunn@aol.com"/>
    <x v="9"/>
    <x v="1"/>
    <s v="Workshop D1"/>
    <s v="Vegan"/>
    <x v="42"/>
    <n v="219"/>
  </r>
  <r>
    <s v="A0336"/>
    <s v="Joseph Nichols"/>
    <s v="josephn@yahoo.com"/>
    <x v="8"/>
    <x v="1"/>
    <s v="Workshop A2"/>
    <s v="Vegetarian"/>
    <x v="43"/>
    <n v="212"/>
  </r>
  <r>
    <s v="A0337"/>
    <s v="Robert Gonzalez"/>
    <s v="robertgonzalez@hotmail.com"/>
    <x v="7"/>
    <x v="1"/>
    <s v="Workshop B2"/>
    <s v="Gluten-Free"/>
    <x v="44"/>
    <n v="215"/>
  </r>
  <r>
    <s v="A0338"/>
    <s v="Jenna Castillo"/>
    <s v="castillojenna@yahoo.com"/>
    <x v="6"/>
    <x v="1"/>
    <s v="Workshop C2"/>
    <s v="Non-Vegetarian"/>
    <x v="45"/>
    <n v="218"/>
  </r>
  <r>
    <s v="A0339"/>
    <s v="Karen Harris"/>
    <s v="karenh@protonmail.com"/>
    <x v="5"/>
    <x v="1"/>
    <s v="Workshop D2"/>
    <s v="Not-Required"/>
    <x v="46"/>
    <n v="194"/>
  </r>
  <r>
    <s v="A0340"/>
    <s v="Kristen Williams"/>
    <s v="kristenwilliams@protonmail.com"/>
    <x v="4"/>
    <x v="1"/>
    <s v="Workshop A3"/>
    <s v="Unlimited"/>
    <x v="47"/>
    <n v="178"/>
  </r>
  <r>
    <s v="A0341"/>
    <s v="Bradley Dickson"/>
    <s v="dicksonbradley@yahoo.com"/>
    <x v="3"/>
    <x v="1"/>
    <s v="Workshop B3"/>
    <s v="Vegan"/>
    <x v="48"/>
    <n v="214"/>
  </r>
  <r>
    <s v="A0342"/>
    <s v="Rodney Ford"/>
    <s v="rodneyford39@mail.com"/>
    <x v="2"/>
    <x v="1"/>
    <s v="Workshop A3"/>
    <s v="Vegetarian"/>
    <x v="49"/>
    <n v="207"/>
  </r>
  <r>
    <s v="A0343"/>
    <s v="Christopher Giles"/>
    <s v="cgiles29@comcast.net"/>
    <x v="1"/>
    <x v="1"/>
    <s v="Workshop B3"/>
    <s v="Gluten-Free"/>
    <x v="50"/>
    <n v="210"/>
  </r>
  <r>
    <s v="A0344"/>
    <s v="Tracy Escobar"/>
    <s v="tracyescobar85@gmail.com"/>
    <x v="0"/>
    <x v="1"/>
    <s v="Workshop A2"/>
    <s v="Non-Vegetarian"/>
    <x v="51"/>
    <n v="210"/>
  </r>
  <r>
    <s v="A0345"/>
    <s v="Tracy Johnson"/>
    <s v="tjohnson85@hotmail.com"/>
    <x v="3"/>
    <x v="1"/>
    <s v="Workshop B2"/>
    <s v="Not-Required"/>
    <x v="52"/>
    <n v="183"/>
  </r>
  <r>
    <s v="A0346"/>
    <s v="Mark Cox MD"/>
    <s v="markmd62@mail.com"/>
    <x v="4"/>
    <x v="1"/>
    <s v="Workshop C2"/>
    <s v="Unlimited"/>
    <x v="53"/>
    <n v="188"/>
  </r>
  <r>
    <s v="A0347"/>
    <s v="Brooke Martin"/>
    <s v="bmartin@aol.com"/>
    <x v="8"/>
    <x v="1"/>
    <s v="Workshop D2"/>
    <s v="Vegan"/>
    <x v="54"/>
    <n v="233"/>
  </r>
  <r>
    <s v="A0348"/>
    <s v="Victoria Vargas"/>
    <s v="vargasvictoria86@mail.com"/>
    <x v="9"/>
    <x v="1"/>
    <s v="Workshop A1"/>
    <s v="Vegetarian"/>
    <x v="55"/>
    <n v="198"/>
  </r>
  <r>
    <s v="A0349"/>
    <s v="Amanda Johnson"/>
    <s v="amandajohnson30@att.com"/>
    <x v="1"/>
    <x v="1"/>
    <s v="Workshop B1"/>
    <s v="Gluten-Free"/>
    <x v="56"/>
    <n v="208"/>
  </r>
  <r>
    <s v="A0350"/>
    <s v="Kevin Wu"/>
    <s v="kevinwu@xfinity.com"/>
    <x v="6"/>
    <x v="1"/>
    <s v="Workshop C1"/>
    <s v="Non-Vegetarian"/>
    <x v="57"/>
    <n v="217"/>
  </r>
  <r>
    <s v="A0351"/>
    <s v="Thomas Johnson"/>
    <s v="tjohnson28@mail.com"/>
    <x v="7"/>
    <x v="1"/>
    <s v="Workshop D1"/>
    <s v="Not-Required"/>
    <x v="58"/>
    <n v="199"/>
  </r>
  <r>
    <s v="A0352"/>
    <s v="Jamie Smith"/>
    <s v="jsmith@gmail.com"/>
    <x v="8"/>
    <x v="1"/>
    <s v="None"/>
    <s v="Unlimited"/>
    <x v="59"/>
    <n v="154"/>
  </r>
  <r>
    <s v="A0353"/>
    <s v="Brianna Montgomery"/>
    <s v="montgomerybrianna@xfinity.com"/>
    <x v="0"/>
    <x v="1"/>
    <s v="None"/>
    <s v="Vegan"/>
    <x v="60"/>
    <n v="176"/>
  </r>
  <r>
    <s v="A0354"/>
    <s v="Marie Sullivan"/>
    <s v="mariesullivan@yahoo.com"/>
    <x v="1"/>
    <x v="1"/>
    <s v="Workshop A1"/>
    <s v="Vegetarian"/>
    <x v="61"/>
    <n v="202"/>
  </r>
  <r>
    <s v="A0355"/>
    <s v="Aaron Miller"/>
    <s v="aaronmiller@hotmail.com"/>
    <x v="1"/>
    <x v="1"/>
    <s v="Workshop A2"/>
    <s v="Gluten-Free"/>
    <x v="62"/>
    <n v="206"/>
  </r>
  <r>
    <s v="A0356"/>
    <s v="Roy Murphy"/>
    <s v="rmurphy52@yahoo.com"/>
    <x v="2"/>
    <x v="1"/>
    <s v="Workshop A3"/>
    <s v="Non-Vegetarian"/>
    <x v="63"/>
    <n v="211"/>
  </r>
  <r>
    <s v="A0357"/>
    <s v="Catherine Chan DDS"/>
    <s v="catherinedds@comcast.net"/>
    <x v="2"/>
    <x v="0"/>
    <s v="Workshop B1"/>
    <s v="Not-Required"/>
    <x v="64"/>
    <n v="212"/>
  </r>
  <r>
    <s v="A0358"/>
    <s v="Amy Khan"/>
    <s v="amykhan@zoho.com"/>
    <x v="5"/>
    <x v="0"/>
    <s v="Workshop B2"/>
    <s v="Unlimited"/>
    <x v="65"/>
    <n v="210"/>
  </r>
  <r>
    <s v="A0359"/>
    <s v="Joshua Sullivan"/>
    <s v="joshuasullivan@comcast.net"/>
    <x v="5"/>
    <x v="1"/>
    <s v="Workshop B3"/>
    <s v="Vegan"/>
    <x v="66"/>
    <n v="216"/>
  </r>
  <r>
    <s v="A0360"/>
    <s v="Brooke Mccarty"/>
    <s v="brookemccarty@protonmail.com"/>
    <x v="8"/>
    <x v="1"/>
    <s v="Workshop C1"/>
    <s v="Vegetarian"/>
    <x v="67"/>
    <n v="220"/>
  </r>
  <r>
    <s v="A0361"/>
    <s v="Kelsey Herman"/>
    <s v="hermankelsey34@mail.com"/>
    <x v="7"/>
    <x v="1"/>
    <s v="Workshop C2"/>
    <s v="Gluten-Free"/>
    <x v="68"/>
    <n v="221"/>
  </r>
  <r>
    <s v="A0362"/>
    <s v="Dakota Ponce"/>
    <s v="dakotaponce45@yandex.com"/>
    <x v="8"/>
    <x v="0"/>
    <s v="Workshop D1"/>
    <s v="Non-Vegetarian"/>
    <x v="69"/>
    <n v="249"/>
  </r>
  <r>
    <s v="A0363"/>
    <s v="Dawn Frost"/>
    <s v="frostdawn@verizon.com"/>
    <x v="6"/>
    <x v="1"/>
    <s v="Workshop D2"/>
    <s v="Not-Required"/>
    <x v="70"/>
    <n v="196"/>
  </r>
  <r>
    <s v="A0364"/>
    <s v="Cynthia Meadows"/>
    <s v="cmeadows@hotmail.com"/>
    <x v="7"/>
    <x v="0"/>
    <s v="Workshop D2"/>
    <s v="Unlimited"/>
    <x v="71"/>
    <n v="226"/>
  </r>
  <r>
    <s v="A0365"/>
    <s v="Patrick Wood"/>
    <s v="patrickw@mail.com"/>
    <x v="0"/>
    <x v="0"/>
    <s v="Workshop D1"/>
    <s v="Vegan"/>
    <x v="72"/>
    <n v="248"/>
  </r>
  <r>
    <s v="A0366"/>
    <s v="Patricia Green"/>
    <s v="greenpatricia@aol.com"/>
    <x v="1"/>
    <x v="0"/>
    <s v="Workshop C2"/>
    <s v="Vegetarian"/>
    <x v="0"/>
    <n v="236"/>
  </r>
  <r>
    <s v="A0367"/>
    <s v="Diane Brown"/>
    <s v="dianeb@xfinity.com"/>
    <x v="2"/>
    <x v="1"/>
    <s v="Workshop C1"/>
    <s v="Gluten-Free"/>
    <x v="1"/>
    <n v="218"/>
  </r>
  <r>
    <s v="A0368"/>
    <s v="Michael Gibson"/>
    <s v="mgibson36@hotmail.com"/>
    <x v="5"/>
    <x v="1"/>
    <s v="Workshop B3"/>
    <s v="Non-Vegetarian"/>
    <x v="2"/>
    <n v="211"/>
  </r>
  <r>
    <s v="A0369"/>
    <s v="Christopher Daniel"/>
    <s v="christopherd99@yahoo.com"/>
    <x v="6"/>
    <x v="1"/>
    <s v="Workshop B2"/>
    <s v="Not-Required"/>
    <x v="3"/>
    <n v="187"/>
  </r>
  <r>
    <s v="A0370"/>
    <s v="Brandon Beck"/>
    <s v="brandonb51@xfinity.com"/>
    <x v="7"/>
    <x v="1"/>
    <s v="Workshop B1"/>
    <s v="Unlimited"/>
    <x v="4"/>
    <n v="193"/>
  </r>
  <r>
    <s v="A0371"/>
    <s v="Jesse Salazar"/>
    <s v="jesses@yandex.com"/>
    <x v="8"/>
    <x v="1"/>
    <s v="Workshop A3"/>
    <s v="Vegan"/>
    <x v="5"/>
    <n v="220"/>
  </r>
  <r>
    <s v="A0372"/>
    <s v="Faith Davis"/>
    <s v="faithdavis@yahoo.com"/>
    <x v="3"/>
    <x v="1"/>
    <s v="Workshop A2"/>
    <s v="Vegetarian"/>
    <x v="6"/>
    <n v="201"/>
  </r>
  <r>
    <s v="A0373"/>
    <s v="Richard Ferguson"/>
    <s v="rferguson@protonmail.com"/>
    <x v="4"/>
    <x v="0"/>
    <s v="Workshop A1"/>
    <s v="Gluten-Free"/>
    <x v="7"/>
    <n v="221"/>
  </r>
  <r>
    <s v="A0374"/>
    <s v="Jimmy Burch"/>
    <s v="jimmyburch21@yahoo.com"/>
    <x v="9"/>
    <x v="0"/>
    <s v="None"/>
    <s v="Non-Vegetarian"/>
    <x v="8"/>
    <n v="188"/>
  </r>
  <r>
    <s v="A0375"/>
    <s v="Kyle Singh"/>
    <s v="singhkyle@hotmail.com"/>
    <x v="2"/>
    <x v="1"/>
    <s v="None"/>
    <s v="Not-Required"/>
    <x v="9"/>
    <n v="148"/>
  </r>
  <r>
    <s v="A0376"/>
    <s v="Tammy Hill"/>
    <s v="hilltammy@zoho.com"/>
    <x v="3"/>
    <x v="1"/>
    <s v="Workshop A1"/>
    <s v="Unlimited"/>
    <x v="10"/>
    <n v="180"/>
  </r>
  <r>
    <s v="A0377"/>
    <s v="Teresa Parrish"/>
    <s v="parrishteresa@gmail.com"/>
    <x v="4"/>
    <x v="0"/>
    <s v="Workshop B1"/>
    <s v="Vegan"/>
    <x v="11"/>
    <n v="232"/>
  </r>
  <r>
    <s v="A0378"/>
    <s v="Mrs Shannon Riggs"/>
    <s v="riggsmrs@mail.com"/>
    <x v="9"/>
    <x v="0"/>
    <s v="Workshop C1"/>
    <s v="Vegetarian"/>
    <x v="12"/>
    <n v="231"/>
  </r>
  <r>
    <s v="A0379"/>
    <s v="Cody Smith"/>
    <s v="smithcody@comcast.net"/>
    <x v="0"/>
    <x v="0"/>
    <s v="Workshop D1"/>
    <s v="Gluten-Free"/>
    <x v="13"/>
    <n v="241"/>
  </r>
  <r>
    <s v="A0380"/>
    <s v="Stephen Dickerson"/>
    <s v="stephendickerson@att.com"/>
    <x v="1"/>
    <x v="1"/>
    <s v="Workshop A2"/>
    <s v="Non-Vegetarian"/>
    <x v="14"/>
    <n v="208"/>
  </r>
  <r>
    <s v="A0381"/>
    <s v="Kimberly Olson"/>
    <s v="kimberlyolson@xfinity.com"/>
    <x v="2"/>
    <x v="0"/>
    <s v="Workshop B2"/>
    <s v="Not-Required"/>
    <x v="15"/>
    <n v="213"/>
  </r>
  <r>
    <s v="A0382"/>
    <s v="Ashley Smith"/>
    <s v="smithashley45@gmail.com"/>
    <x v="3"/>
    <x v="0"/>
    <s v="Workshop C2"/>
    <s v="Unlimited"/>
    <x v="16"/>
    <n v="214"/>
  </r>
  <r>
    <s v="A0383"/>
    <s v="Alec Johnson"/>
    <s v="alecjohnson67@yahoo.com"/>
    <x v="4"/>
    <x v="1"/>
    <s v="Workshop D2"/>
    <s v="Vegan"/>
    <x v="17"/>
    <n v="219"/>
  </r>
  <r>
    <s v="A0384"/>
    <s v="Jasmin Schultz"/>
    <s v="jasminschultz@outlook.com"/>
    <x v="5"/>
    <x v="0"/>
    <s v="Workshop A3"/>
    <s v="Vegetarian"/>
    <x v="18"/>
    <n v="225"/>
  </r>
  <r>
    <s v="A0385"/>
    <s v="Henry Atkins"/>
    <s v="hatkins@mail.com"/>
    <x v="6"/>
    <x v="1"/>
    <s v="Workshop B3"/>
    <s v="Gluten-Free"/>
    <x v="19"/>
    <n v="211"/>
  </r>
  <r>
    <s v="A0386"/>
    <s v="Stephen Banks"/>
    <s v="stephenb83@gmail.com"/>
    <x v="7"/>
    <x v="0"/>
    <s v="Workshop A3"/>
    <s v="Non-Vegetarian"/>
    <x v="20"/>
    <n v="236"/>
  </r>
  <r>
    <s v="A0387"/>
    <s v="Ashley Vasquez"/>
    <s v="ashleyvasquez@yandex.com"/>
    <x v="8"/>
    <x v="1"/>
    <s v="Workshop B3"/>
    <s v="Not-Required"/>
    <x v="21"/>
    <n v="195"/>
  </r>
  <r>
    <s v="A0388"/>
    <s v="Michael Cline"/>
    <s v="michaelc@mail.com"/>
    <x v="9"/>
    <x v="0"/>
    <s v="Workshop A2"/>
    <s v="Unlimited"/>
    <x v="22"/>
    <n v="204"/>
  </r>
  <r>
    <s v="A0389"/>
    <s v="Craig Oconnor"/>
    <s v="oconnorcraig@verizon.com"/>
    <x v="9"/>
    <x v="1"/>
    <s v="Workshop B2"/>
    <s v="Vegan"/>
    <x v="23"/>
    <n v="212"/>
  </r>
  <r>
    <s v="A0390"/>
    <s v="Michael Johnson"/>
    <s v="michaeljohnson@outlook.com"/>
    <x v="8"/>
    <x v="1"/>
    <s v="Workshop C2"/>
    <s v="Vegetarian"/>
    <x v="24"/>
    <n v="221"/>
  </r>
  <r>
    <s v="A0391"/>
    <s v="James Jacobs"/>
    <s v="jjacobs70@hotmail.com"/>
    <x v="7"/>
    <x v="1"/>
    <s v="Workshop D2"/>
    <s v="Gluten-Free"/>
    <x v="25"/>
    <n v="224"/>
  </r>
  <r>
    <s v="A0392"/>
    <s v="Zachary Kelly"/>
    <s v="zacharykelly@yandex.com"/>
    <x v="6"/>
    <x v="0"/>
    <s v="Workshop A1"/>
    <s v="Non-Vegetarian"/>
    <x v="26"/>
    <n v="230"/>
  </r>
  <r>
    <s v="A0393"/>
    <s v="Raymond Hawkins"/>
    <s v="raymondhawkins@verizon.com"/>
    <x v="5"/>
    <x v="1"/>
    <s v="Workshop B1"/>
    <s v="Not-Required"/>
    <x v="27"/>
    <n v="184"/>
  </r>
  <r>
    <s v="A0394"/>
    <s v="Phillip Allen"/>
    <s v="phillipa@att.com"/>
    <x v="4"/>
    <x v="0"/>
    <s v="Workshop C1"/>
    <s v="Unlimited"/>
    <x v="28"/>
    <n v="210"/>
  </r>
  <r>
    <s v="A0395"/>
    <s v="Adam Day"/>
    <s v="adamday@mail.com"/>
    <x v="3"/>
    <x v="1"/>
    <s v="Workshop D1"/>
    <s v="Vegan"/>
    <x v="29"/>
    <n v="220"/>
  </r>
  <r>
    <s v="A0396"/>
    <s v="Lisa Morgan"/>
    <s v="lmorgan@hotmail.com"/>
    <x v="2"/>
    <x v="0"/>
    <s v="None"/>
    <s v="Vegetarian"/>
    <x v="30"/>
    <n v="192"/>
  </r>
  <r>
    <s v="A0397"/>
    <s v="Brian Williams"/>
    <s v="williamsbrian@comcast.net"/>
    <x v="1"/>
    <x v="1"/>
    <s v="None"/>
    <s v="Gluten-Free"/>
    <x v="31"/>
    <n v="167"/>
  </r>
  <r>
    <s v="A0398"/>
    <s v="Dr Stephanie Martinez"/>
    <s v="drmartinez@hotmail.com"/>
    <x v="0"/>
    <x v="0"/>
    <s v="Workshop A1"/>
    <s v="Non-Vegetarian"/>
    <x v="32"/>
    <n v="231"/>
  </r>
  <r>
    <s v="A0399"/>
    <s v="James Bentley"/>
    <s v="jamesbentley@xfinity.com"/>
    <x v="3"/>
    <x v="0"/>
    <s v="Workshop A2"/>
    <s v="Not-Required"/>
    <x v="33"/>
    <n v="203"/>
  </r>
  <r>
    <s v="A0400"/>
    <s v="Jessica Day"/>
    <s v="jessicaday@yahoo.com"/>
    <x v="4"/>
    <x v="1"/>
    <s v="Workshop A3"/>
    <s v="Unlimited"/>
    <x v="34"/>
    <n v="178"/>
  </r>
  <r>
    <s v="A0401"/>
    <s v="Douglas Cordova MD"/>
    <s v="douglasmd@protonmail.com"/>
    <x v="8"/>
    <x v="0"/>
    <s v="Workshop B1"/>
    <s v="Vegan"/>
    <x v="35"/>
    <n v="246"/>
  </r>
  <r>
    <s v="A0402"/>
    <s v="Anthony Stein"/>
    <s v="anthonystein43@comcast.net"/>
    <x v="9"/>
    <x v="1"/>
    <s v="Workshop B2"/>
    <s v="Vegetarian"/>
    <x v="36"/>
    <n v="203"/>
  </r>
  <r>
    <s v="A0403"/>
    <s v="Michael Reed"/>
    <s v="mreed19@protonmail.com"/>
    <x v="1"/>
    <x v="1"/>
    <s v="Workshop B3"/>
    <s v="Gluten-Free"/>
    <x v="37"/>
    <n v="210"/>
  </r>
  <r>
    <s v="A0404"/>
    <s v="Tina Andrews"/>
    <s v="tinaandrews@aol.com"/>
    <x v="6"/>
    <x v="0"/>
    <s v="Workshop C1"/>
    <s v="Non-Vegetarian"/>
    <x v="38"/>
    <n v="240"/>
  </r>
  <r>
    <s v="A0405"/>
    <s v="Peggy Woods"/>
    <s v="woodspeggy@mail.com"/>
    <x v="7"/>
    <x v="0"/>
    <s v="Workshop C2"/>
    <s v="Not-Required"/>
    <x v="39"/>
    <n v="221"/>
  </r>
  <r>
    <s v="A0406"/>
    <s v="Lucas Davis"/>
    <s v="davislucas@mail.com"/>
    <x v="8"/>
    <x v="0"/>
    <s v="Workshop D1"/>
    <s v="Unlimited"/>
    <x v="40"/>
    <n v="226"/>
  </r>
  <r>
    <s v="A0407"/>
    <s v="Natasha Blankenship"/>
    <s v="nblankenship@aol.com"/>
    <x v="0"/>
    <x v="0"/>
    <s v="Workshop D2"/>
    <s v="Vegan"/>
    <x v="41"/>
    <n v="250"/>
  </r>
  <r>
    <s v="A0408"/>
    <s v="Allison Jimenez"/>
    <s v="allisonj76@gmail.com"/>
    <x v="1"/>
    <x v="0"/>
    <s v="Workshop D2"/>
    <s v="Vegetarian"/>
    <x v="42"/>
    <n v="239"/>
  </r>
  <r>
    <s v="A0409"/>
    <s v="Tonya Taylor"/>
    <s v="tonyataylor81@outlook.com"/>
    <x v="1"/>
    <x v="0"/>
    <s v="Workshop D1"/>
    <s v="Gluten-Free"/>
    <x v="43"/>
    <n v="239"/>
  </r>
  <r>
    <s v="A0410"/>
    <s v="Jennifer Higgins"/>
    <s v="higginsjennifer@yandex.com"/>
    <x v="2"/>
    <x v="1"/>
    <s v="Workshop C2"/>
    <s v="Non-Vegetarian"/>
    <x v="44"/>
    <n v="221"/>
  </r>
  <r>
    <s v="A0411"/>
    <s v="Glenn Love"/>
    <s v="loveglenn33@zoho.com"/>
    <x v="2"/>
    <x v="0"/>
    <s v="Workshop C1"/>
    <s v="Not-Required"/>
    <x v="45"/>
    <n v="218"/>
  </r>
  <r>
    <s v="A0412"/>
    <s v="Joshua Salinas"/>
    <s v="salinasjoshua32@aol.com"/>
    <x v="5"/>
    <x v="0"/>
    <s v="Workshop B3"/>
    <s v="Unlimited"/>
    <x v="46"/>
    <n v="211"/>
  </r>
  <r>
    <s v="A0413"/>
    <s v="Jennifer Allen"/>
    <s v="jallen93@yahoo.com"/>
    <x v="5"/>
    <x v="0"/>
    <s v="Workshop B2"/>
    <s v="Vegan"/>
    <x v="47"/>
    <n v="238"/>
  </r>
  <r>
    <s v="A0414"/>
    <s v="Mary Daniels"/>
    <s v="maryd@comcast.net"/>
    <x v="8"/>
    <x v="0"/>
    <s v="Workshop B1"/>
    <s v="Vegetarian"/>
    <x v="48"/>
    <n v="237"/>
  </r>
  <r>
    <s v="A0415"/>
    <s v="Katelyn Mendoza"/>
    <s v="katelynmendoza@outlook.com"/>
    <x v="7"/>
    <x v="1"/>
    <s v="Workshop A3"/>
    <s v="Gluten-Free"/>
    <x v="49"/>
    <n v="211"/>
  </r>
  <r>
    <s v="A0416"/>
    <s v="Derrick Snyder"/>
    <s v="snyderderrick@outlook.com"/>
    <x v="8"/>
    <x v="0"/>
    <s v="Workshop A2"/>
    <s v="Non-Vegetarian"/>
    <x v="50"/>
    <n v="239"/>
  </r>
  <r>
    <s v="A0417"/>
    <s v="Thomas Watkins"/>
    <s v="thomaswatkins52@yandex.com"/>
    <x v="6"/>
    <x v="1"/>
    <s v="Workshop A1"/>
    <s v="Not-Required"/>
    <x v="51"/>
    <n v="182"/>
  </r>
  <r>
    <s v="A0418"/>
    <s v="Timothy Pierce"/>
    <s v="piercetimothy86@verizon.com"/>
    <x v="7"/>
    <x v="0"/>
    <s v="None"/>
    <s v="Unlimited"/>
    <x v="52"/>
    <n v="175"/>
  </r>
  <r>
    <s v="A0419"/>
    <s v="Gregory Green"/>
    <s v="gregorygreen32@comcast.net"/>
    <x v="0"/>
    <x v="1"/>
    <s v="None"/>
    <s v="Vegan"/>
    <x v="53"/>
    <n v="176"/>
  </r>
  <r>
    <s v="A0420"/>
    <s v="Taylor Gordon"/>
    <s v="taylorgordon94@zoho.com"/>
    <x v="1"/>
    <x v="0"/>
    <s v="Workshop A1"/>
    <s v="Vegetarian"/>
    <x v="54"/>
    <n v="225"/>
  </r>
  <r>
    <s v="A0421"/>
    <s v="Adam Blackwell"/>
    <s v="adamb77@yahoo.com"/>
    <x v="2"/>
    <x v="1"/>
    <s v="Workshop B1"/>
    <s v="Gluten-Free"/>
    <x v="55"/>
    <n v="212"/>
  </r>
  <r>
    <s v="A0422"/>
    <s v="Arthur Evans"/>
    <s v="arthurevans@comcast.net"/>
    <x v="5"/>
    <x v="1"/>
    <s v="Workshop C1"/>
    <s v="Non-Vegetarian"/>
    <x v="56"/>
    <n v="215"/>
  </r>
  <r>
    <s v="A0423"/>
    <s v="Hunter Adkins"/>
    <s v="hunteradkins97@att.com"/>
    <x v="6"/>
    <x v="1"/>
    <s v="Workshop D1"/>
    <s v="Not-Required"/>
    <x v="57"/>
    <n v="194"/>
  </r>
  <r>
    <s v="A0424"/>
    <s v="Kyle Brown"/>
    <s v="kylebrown@verizon.com"/>
    <x v="7"/>
    <x v="0"/>
    <s v="Workshop A2"/>
    <s v="Unlimited"/>
    <x v="58"/>
    <n v="214"/>
  </r>
  <r>
    <s v="A0425"/>
    <s v="Rebecca Pittman"/>
    <s v="rebeccap@yandex.com"/>
    <x v="8"/>
    <x v="0"/>
    <s v="Workshop B2"/>
    <s v="Vegan"/>
    <x v="59"/>
    <n v="247"/>
  </r>
  <r>
    <s v="A0426"/>
    <s v="Mrs Peggy Martinez DVM"/>
    <s v="mrsdvm54@outlook.com"/>
    <x v="3"/>
    <x v="0"/>
    <s v="Workshop C2"/>
    <s v="Vegetarian"/>
    <x v="60"/>
    <n v="233"/>
  </r>
  <r>
    <s v="A0427"/>
    <s v="Rachel Dillon"/>
    <s v="racheld@aol.com"/>
    <x v="4"/>
    <x v="0"/>
    <s v="Workshop D2"/>
    <s v="Gluten-Free"/>
    <x v="61"/>
    <n v="235"/>
  </r>
  <r>
    <s v="A0428"/>
    <s v="Nancy White"/>
    <s v="nancywhite@att.com"/>
    <x v="9"/>
    <x v="0"/>
    <s v="Workshop A3"/>
    <s v="Non-Vegetarian"/>
    <x v="62"/>
    <n v="226"/>
  </r>
  <r>
    <s v="A0429"/>
    <s v="Jamie Ramirez"/>
    <s v="ramirezjamie22@aol.com"/>
    <x v="2"/>
    <x v="0"/>
    <s v="Workshop B3"/>
    <s v="Not-Required"/>
    <x v="63"/>
    <n v="214"/>
  </r>
  <r>
    <s v="A0430"/>
    <s v="Maxwell Adams"/>
    <s v="adamsmaxwell@outlook.com"/>
    <x v="3"/>
    <x v="1"/>
    <s v="Workshop A3"/>
    <s v="Unlimited"/>
    <x v="64"/>
    <n v="181"/>
  </r>
  <r>
    <s v="A0431"/>
    <s v="Donald Hamilton"/>
    <s v="dhamilton@zoho.com"/>
    <x v="4"/>
    <x v="0"/>
    <s v="Workshop B3"/>
    <s v="Vegan"/>
    <x v="65"/>
    <n v="234"/>
  </r>
  <r>
    <s v="A0432"/>
    <s v="Ronald Alvarez"/>
    <s v="alvarezronald@yandex.com"/>
    <x v="9"/>
    <x v="1"/>
    <s v="Workshop A2"/>
    <s v="Vegetarian"/>
    <x v="66"/>
    <n v="200"/>
  </r>
  <r>
    <s v="A0433"/>
    <s v="John Petersen"/>
    <s v="johnp@verizon.com"/>
    <x v="0"/>
    <x v="1"/>
    <s v="Workshop B2"/>
    <s v="Gluten-Free"/>
    <x v="67"/>
    <n v="211"/>
  </r>
  <r>
    <s v="A0434"/>
    <s v="Samuel Nguyen"/>
    <s v="samuelnguyen23@verizon.com"/>
    <x v="1"/>
    <x v="0"/>
    <s v="Workshop C2"/>
    <s v="Non-Vegetarian"/>
    <x v="68"/>
    <n v="240"/>
  </r>
  <r>
    <s v="A0435"/>
    <s v="Justin Carter"/>
    <s v="jcarter47@mail.com"/>
    <x v="2"/>
    <x v="1"/>
    <s v="Workshop D2"/>
    <s v="Not-Required"/>
    <x v="69"/>
    <n v="199"/>
  </r>
  <r>
    <s v="A0436"/>
    <s v="Ronald Donovan"/>
    <s v="rdonovan@verizon.com"/>
    <x v="3"/>
    <x v="0"/>
    <s v="Workshop A1"/>
    <s v="Unlimited"/>
    <x v="70"/>
    <n v="203"/>
  </r>
  <r>
    <s v="A0437"/>
    <s v="Jon Smith DDS"/>
    <s v="jondds@outlook.com"/>
    <x v="4"/>
    <x v="0"/>
    <s v="Workshop B1"/>
    <s v="Vegan"/>
    <x v="71"/>
    <n v="232"/>
  </r>
  <r>
    <s v="A0438"/>
    <s v="John Miller"/>
    <s v="johnmiller90@gmail.com"/>
    <x v="5"/>
    <x v="0"/>
    <s v="Workshop C1"/>
    <s v="Vegetarian"/>
    <x v="72"/>
    <n v="234"/>
  </r>
  <r>
    <s v="A0439"/>
    <s v="Charles Taylor"/>
    <s v="charlestaylor@gmail.com"/>
    <x v="6"/>
    <x v="0"/>
    <s v="Workshop D1"/>
    <s v="Gluten-Free"/>
    <x v="0"/>
    <n v="240"/>
  </r>
  <r>
    <s v="A0440"/>
    <s v="Bryan Phillips"/>
    <s v="bryanp@aol.com"/>
    <x v="7"/>
    <x v="1"/>
    <s v="None"/>
    <s v="Non-Vegetarian"/>
    <x v="1"/>
    <n v="175"/>
  </r>
  <r>
    <s v="A0441"/>
    <s v="Gregory Gilbert"/>
    <s v="ggilbert@yandex.com"/>
    <x v="8"/>
    <x v="0"/>
    <s v="None"/>
    <s v="Not-Required"/>
    <x v="2"/>
    <n v="175"/>
  </r>
  <r>
    <s v="A0442"/>
    <s v="Linda Henry"/>
    <s v="henrylinda@gmail.com"/>
    <x v="9"/>
    <x v="1"/>
    <s v="Workshop A1"/>
    <s v="Unlimited"/>
    <x v="3"/>
    <n v="179"/>
  </r>
  <r>
    <s v="A0443"/>
    <s v="Dominique Weber"/>
    <s v="dominiqueweber@verizon.com"/>
    <x v="9"/>
    <x v="0"/>
    <s v="Workshop A2"/>
    <s v="Vegan"/>
    <x v="4"/>
    <n v="232"/>
  </r>
  <r>
    <s v="A0444"/>
    <s v="Brianna Sullivan"/>
    <s v="briannas86@xfinity.com"/>
    <x v="8"/>
    <x v="0"/>
    <s v="Workshop A3"/>
    <s v="Vegetarian"/>
    <x v="5"/>
    <n v="234"/>
  </r>
  <r>
    <s v="A0445"/>
    <s v="Johnathan Richards"/>
    <s v="johnathanrichards30@att.com"/>
    <x v="7"/>
    <x v="0"/>
    <s v="Workshop B1"/>
    <s v="Gluten-Free"/>
    <x v="6"/>
    <n v="237"/>
  </r>
  <r>
    <s v="A0446"/>
    <s v="Jonathan Riley"/>
    <s v="rileyjonathan@mail.com"/>
    <x v="6"/>
    <x v="1"/>
    <s v="Workshop B2"/>
    <s v="Non-Vegetarian"/>
    <x v="7"/>
    <n v="212"/>
  </r>
  <r>
    <s v="A0447"/>
    <s v="Brandon Villegas"/>
    <s v="villegasbrandon@xfinity.com"/>
    <x v="5"/>
    <x v="0"/>
    <s v="Workshop B3"/>
    <s v="Not-Required"/>
    <x v="8"/>
    <n v="209"/>
  </r>
  <r>
    <s v="A0448"/>
    <s v="Jennifer Moody"/>
    <s v="jennifermoody@att.com"/>
    <x v="4"/>
    <x v="0"/>
    <s v="Workshop C1"/>
    <s v="Unlimited"/>
    <x v="9"/>
    <n v="210"/>
  </r>
  <r>
    <s v="A0449"/>
    <s v="Gary Boyle"/>
    <s v="garyb@yahoo.com"/>
    <x v="3"/>
    <x v="0"/>
    <s v="Workshop C2"/>
    <s v="Vegan"/>
    <x v="10"/>
    <n v="242"/>
  </r>
  <r>
    <s v="A0450"/>
    <s v="David Dyer"/>
    <s v="dyerdavid@yandex.com"/>
    <x v="2"/>
    <x v="0"/>
    <s v="Workshop D1"/>
    <s v="Vegetarian"/>
    <x v="11"/>
    <n v="241"/>
  </r>
  <r>
    <s v="A0451"/>
    <s v="Bryan Brown"/>
    <s v="bbrown@yahoo.com"/>
    <x v="1"/>
    <x v="1"/>
    <s v="Workshop D2"/>
    <s v="Gluten-Free"/>
    <x v="12"/>
    <n v="218"/>
  </r>
  <r>
    <s v="A0452"/>
    <s v="Brittney West"/>
    <s v="brittneywest@outlook.com"/>
    <x v="0"/>
    <x v="0"/>
    <s v="Workshop D2"/>
    <s v="Non-Vegetarian"/>
    <x v="13"/>
    <n v="245"/>
  </r>
  <r>
    <s v="A0453"/>
    <s v="Robert Serrano"/>
    <s v="serranorobert@outlook.com"/>
    <x v="3"/>
    <x v="1"/>
    <s v="Workshop D1"/>
    <s v="Not-Required"/>
    <x v="14"/>
    <n v="190"/>
  </r>
  <r>
    <s v="A0454"/>
    <s v="James Palmer"/>
    <s v="jamespalmer54@hotmail.com"/>
    <x v="4"/>
    <x v="0"/>
    <s v="Workshop C2"/>
    <s v="Unlimited"/>
    <x v="15"/>
    <n v="211"/>
  </r>
  <r>
    <s v="A0455"/>
    <s v="Micheal Randolph"/>
    <s v="michealrandolph@comcast.net"/>
    <x v="8"/>
    <x v="0"/>
    <s v="Workshop C1"/>
    <s v="Vegan"/>
    <x v="16"/>
    <n v="252"/>
  </r>
  <r>
    <s v="A0456"/>
    <s v="Shannon Wilcox"/>
    <s v="shannonw89@yandex.com"/>
    <x v="9"/>
    <x v="0"/>
    <s v="Workshop B3"/>
    <s v="Vegetarian"/>
    <x v="17"/>
    <n v="227"/>
  </r>
  <r>
    <s v="A0457"/>
    <s v="Brian Brown"/>
    <s v="brownbrian28@protonmail.com"/>
    <x v="1"/>
    <x v="1"/>
    <s v="Workshop B2"/>
    <s v="Gluten-Free"/>
    <x v="18"/>
    <n v="209"/>
  </r>
  <r>
    <s v="A0458"/>
    <s v="Kenneth Powell"/>
    <s v="kennethpowell16@mail.com"/>
    <x v="6"/>
    <x v="0"/>
    <s v="Workshop B1"/>
    <s v="Non-Vegetarian"/>
    <x v="19"/>
    <n v="234"/>
  </r>
  <r>
    <s v="A0459"/>
    <s v="Maria Murray"/>
    <s v="mariamurray@yandex.com"/>
    <x v="7"/>
    <x v="1"/>
    <s v="Workshop A3"/>
    <s v="Not-Required"/>
    <x v="20"/>
    <n v="188"/>
  </r>
  <r>
    <s v="A0460"/>
    <s v="Jennifer Villegas"/>
    <s v="jvillegas@xfinity.com"/>
    <x v="8"/>
    <x v="0"/>
    <s v="Workshop A2"/>
    <s v="Unlimited"/>
    <x v="21"/>
    <n v="216"/>
  </r>
  <r>
    <s v="A0461"/>
    <s v="Joseph Marshall"/>
    <s v="marshalljoseph@yandex.com"/>
    <x v="0"/>
    <x v="1"/>
    <s v="Workshop A1"/>
    <s v="Vegan"/>
    <x v="22"/>
    <n v="213"/>
  </r>
  <r>
    <s v="A0462"/>
    <s v="Alexander Allen"/>
    <s v="allenalexander@comcast.net"/>
    <x v="1"/>
    <x v="0"/>
    <s v="None"/>
    <s v="Vegetarian"/>
    <x v="23"/>
    <n v="188"/>
  </r>
  <r>
    <s v="A0463"/>
    <s v="Johnny Brooks"/>
    <s v="brooksjohnny44@hotmail.com"/>
    <x v="1"/>
    <x v="1"/>
    <s v="None"/>
    <s v="Gluten-Free"/>
    <x v="24"/>
    <n v="167"/>
  </r>
  <r>
    <s v="A0464"/>
    <s v="Alicia Jackson"/>
    <s v="jacksonalicia65@hotmail.com"/>
    <x v="2"/>
    <x v="0"/>
    <s v="Workshop A1"/>
    <s v="Non-Vegetarian"/>
    <x v="25"/>
    <n v="233"/>
  </r>
  <r>
    <s v="A0465"/>
    <s v="Teresa Moore"/>
    <s v="teresamoore86@protonmail.com"/>
    <x v="2"/>
    <x v="1"/>
    <s v="Workshop B1"/>
    <s v="Not-Required"/>
    <x v="26"/>
    <n v="189"/>
  </r>
  <r>
    <s v="A0466"/>
    <s v="Teresa Campbell"/>
    <s v="campbellteresa@verizon.com"/>
    <x v="5"/>
    <x v="0"/>
    <s v="Workshop C1"/>
    <s v="Unlimited"/>
    <x v="27"/>
    <n v="215"/>
  </r>
  <r>
    <s v="A0467"/>
    <s v="Richard Trevino"/>
    <s v="trevinorichard80@zoho.com"/>
    <x v="5"/>
    <x v="1"/>
    <s v="Workshop D1"/>
    <s v="Vegan"/>
    <x v="28"/>
    <n v="222"/>
  </r>
  <r>
    <s v="A0468"/>
    <s v="Roger Johnson"/>
    <s v="rogerj@protonmail.com"/>
    <x v="8"/>
    <x v="0"/>
    <s v="Workshop A2"/>
    <s v="Vegetarian"/>
    <x v="29"/>
    <n v="235"/>
  </r>
  <r>
    <s v="A0469"/>
    <s v="Jamie Johnson"/>
    <s v="jamiejohnson52@comcast.net"/>
    <x v="7"/>
    <x v="1"/>
    <s v="Workshop B2"/>
    <s v="Gluten-Free"/>
    <x v="30"/>
    <n v="215"/>
  </r>
  <r>
    <s v="A0470"/>
    <s v="Thomas Todd"/>
    <s v="thomastodd@outlook.com"/>
    <x v="8"/>
    <x v="0"/>
    <s v="Workshop C2"/>
    <s v="Non-Vegetarian"/>
    <x v="31"/>
    <n v="248"/>
  </r>
  <r>
    <s v="A0471"/>
    <s v="Debra Cabrera"/>
    <s v="cabreradebra@aol.com"/>
    <x v="6"/>
    <x v="1"/>
    <s v="Workshop D2"/>
    <s v="Not-Required"/>
    <x v="32"/>
    <n v="196"/>
  </r>
  <r>
    <s v="A0472"/>
    <s v="Anthony Lewis Jr"/>
    <s v="anthonyj@gmail.com"/>
    <x v="7"/>
    <x v="0"/>
    <s v="Workshop A3"/>
    <s v="Unlimited"/>
    <x v="33"/>
    <n v="213"/>
  </r>
  <r>
    <s v="A0473"/>
    <s v="Steven Smith"/>
    <s v="smithsteven@verizon.com"/>
    <x v="0"/>
    <x v="1"/>
    <s v="Workshop B3"/>
    <s v="Vegan"/>
    <x v="34"/>
    <n v="219"/>
  </r>
  <r>
    <s v="A0474"/>
    <s v="Alexander Mejia"/>
    <s v="amejia@gmail.com"/>
    <x v="1"/>
    <x v="0"/>
    <s v="Workshop A3"/>
    <s v="Vegetarian"/>
    <x v="35"/>
    <n v="226"/>
  </r>
  <r>
    <s v="A0475"/>
    <s v="Ethan Salas"/>
    <s v="salasethan88@hotmail.com"/>
    <x v="2"/>
    <x v="1"/>
    <s v="Workshop B3"/>
    <s v="Gluten-Free"/>
    <x v="36"/>
    <n v="214"/>
  </r>
  <r>
    <s v="A0476"/>
    <s v="Daniel Malone"/>
    <s v="danielmalone@zoho.com"/>
    <x v="5"/>
    <x v="0"/>
    <s v="Workshop A2"/>
    <s v="Non-Vegetarian"/>
    <x v="37"/>
    <n v="230"/>
  </r>
  <r>
    <s v="A0477"/>
    <s v="Dustin Luna"/>
    <s v="lunadustin@comcast.net"/>
    <x v="6"/>
    <x v="1"/>
    <s v="Workshop B2"/>
    <s v="Not-Required"/>
    <x v="38"/>
    <n v="187"/>
  </r>
  <r>
    <s v="A0478"/>
    <s v="Robert Leonard"/>
    <s v="robertleonard@outlook.com"/>
    <x v="7"/>
    <x v="0"/>
    <s v="Workshop C2"/>
    <s v="Unlimited"/>
    <x v="39"/>
    <n v="223"/>
  </r>
  <r>
    <s v="A0479"/>
    <s v="Michael Adams"/>
    <s v="adamsmichael@xfinity.com"/>
    <x v="8"/>
    <x v="1"/>
    <s v="Workshop D2"/>
    <s v="Vegan"/>
    <x v="40"/>
    <n v="233"/>
  </r>
  <r>
    <s v="A0480"/>
    <s v="Jennifer Hayes"/>
    <s v="hayesjennifer18@verizon.com"/>
    <x v="3"/>
    <x v="0"/>
    <s v="Workshop A1"/>
    <s v="Vegetarian"/>
    <x v="41"/>
    <n v="222"/>
  </r>
  <r>
    <s v="A0481"/>
    <s v="Kevin Chang"/>
    <s v="changkevin@att.com"/>
    <x v="4"/>
    <x v="1"/>
    <s v="Workshop B1"/>
    <s v="Gluten-Free"/>
    <x v="42"/>
    <n v="202"/>
  </r>
  <r>
    <s v="A0482"/>
    <s v="Joanna Schmidt"/>
    <s v="joannaschmidt38@outlook.com"/>
    <x v="9"/>
    <x v="0"/>
    <s v="Workshop C1"/>
    <s v="Non-Vegetarian"/>
    <x v="43"/>
    <n v="235"/>
  </r>
  <r>
    <s v="A0483"/>
    <s v="Ronald Richard"/>
    <s v="ronaldr@xfinity.com"/>
    <x v="2"/>
    <x v="1"/>
    <s v="Workshop D1"/>
    <s v="Not-Required"/>
    <x v="44"/>
    <n v="197"/>
  </r>
  <r>
    <s v="A0484"/>
    <s v="Monica Gibbs"/>
    <s v="monicag@att.com"/>
    <x v="3"/>
    <x v="0"/>
    <s v="None"/>
    <s v="Unlimited"/>
    <x v="45"/>
    <n v="166"/>
  </r>
  <r>
    <s v="A0485"/>
    <s v="James Deleon"/>
    <s v="jamesd44@xfinity.com"/>
    <x v="4"/>
    <x v="0"/>
    <s v="None"/>
    <s v="Vegan"/>
    <x v="46"/>
    <n v="191"/>
  </r>
  <r>
    <s v="A0486"/>
    <s v="Shannon Cook"/>
    <s v="shannonc80@protonmail.com"/>
    <x v="9"/>
    <x v="0"/>
    <s v="Workshop A1"/>
    <s v="Vegetarian"/>
    <x v="47"/>
    <n v="221"/>
  </r>
  <r>
    <s v="A0487"/>
    <s v="Maria French"/>
    <s v="frenchmaria94@gmail.com"/>
    <x v="0"/>
    <x v="0"/>
    <s v="Workshop A2"/>
    <s v="Gluten-Free"/>
    <x v="48"/>
    <n v="231"/>
  </r>
  <r>
    <s v="A0488"/>
    <s v="Stephanie Williams"/>
    <s v="stephaniew83@gmail.com"/>
    <x v="1"/>
    <x v="0"/>
    <s v="Workshop A3"/>
    <s v="Non-Vegetarian"/>
    <x v="49"/>
    <n v="230"/>
  </r>
  <r>
    <s v="A0489"/>
    <s v="Barbara Gomez"/>
    <s v="barbaragomez56@outlook.com"/>
    <x v="2"/>
    <x v="0"/>
    <s v="Workshop B1"/>
    <s v="Not-Required"/>
    <x v="50"/>
    <n v="212"/>
  </r>
  <r>
    <s v="A0490"/>
    <s v="Julian Tucker"/>
    <s v="juliant58@gmail.com"/>
    <x v="3"/>
    <x v="0"/>
    <s v="Workshop B2"/>
    <s v="Unlimited"/>
    <x v="51"/>
    <n v="208"/>
  </r>
  <r>
    <s v="A0491"/>
    <s v="Sheena Humphrey"/>
    <s v="sheenahumphrey83@xfinity.com"/>
    <x v="4"/>
    <x v="0"/>
    <s v="Workshop B3"/>
    <s v="Vegan"/>
    <x v="52"/>
    <n v="234"/>
  </r>
  <r>
    <s v="A0492"/>
    <s v="Mr Jeffrey Thompson DDS"/>
    <s v="mrd@yahoo.com"/>
    <x v="5"/>
    <x v="0"/>
    <s v="Workshop C1"/>
    <s v="Vegetarian"/>
    <x v="53"/>
    <n v="234"/>
  </r>
  <r>
    <s v="A0493"/>
    <s v="Jessica Johnson"/>
    <s v="jessicajohnson@aol.com"/>
    <x v="6"/>
    <x v="0"/>
    <s v="Workshop C2"/>
    <s v="Gluten-Free"/>
    <x v="54"/>
    <n v="239"/>
  </r>
  <r>
    <s v="A0494"/>
    <s v="Michael Nguyen"/>
    <s v="nguyenmichael@att.com"/>
    <x v="7"/>
    <x v="0"/>
    <s v="Workshop D1"/>
    <s v="Non-Vegetarian"/>
    <x v="55"/>
    <n v="247"/>
  </r>
  <r>
    <s v="A0495"/>
    <s v="Carol Bowen"/>
    <s v="bowencarol59@outlook.com"/>
    <x v="8"/>
    <x v="0"/>
    <s v="Workshop D2"/>
    <s v="Not-Required"/>
    <x v="56"/>
    <n v="226"/>
  </r>
  <r>
    <s v="A0496"/>
    <s v="Lisa Fields MD"/>
    <s v="lisam@yahoo.com"/>
    <x v="9"/>
    <x v="0"/>
    <s v="Workshop D2"/>
    <s v="Unlimited"/>
    <x v="57"/>
    <n v="216"/>
  </r>
  <r>
    <s v="A0497"/>
    <s v="Lauren Cain"/>
    <s v="cainlauren@comcast.net"/>
    <x v="9"/>
    <x v="0"/>
    <s v="Workshop D1"/>
    <s v="Vegan"/>
    <x v="58"/>
    <n v="242"/>
  </r>
  <r>
    <s v="A0498"/>
    <s v="Christine Norman"/>
    <s v="normanchristine@comcast.net"/>
    <x v="8"/>
    <x v="0"/>
    <s v="Workshop C2"/>
    <s v="Vegetarian"/>
    <x v="59"/>
    <n v="244"/>
  </r>
  <r>
    <s v="A0499"/>
    <s v="Michael Anderson"/>
    <s v="michaela50@protonmail.com"/>
    <x v="7"/>
    <x v="0"/>
    <s v="Workshop C1"/>
    <s v="Gluten-Free"/>
    <x v="60"/>
    <n v="243"/>
  </r>
  <r>
    <s v="A0500"/>
    <s v="Christopher Holder"/>
    <s v="christopherholder30@aol.com"/>
    <x v="6"/>
    <x v="0"/>
    <s v="Workshop B3"/>
    <s v="Non-Vegetarian"/>
    <x v="61"/>
    <n v="23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40EE038-72A3-4F0D-B99C-D5975C564507}" name="PivotTable5" cacheId="6"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48" rowHeaderCaption="Year">
  <location ref="K2:L3" firstHeaderRow="0" firstDataRow="1" firstDataCol="0"/>
  <pivotFields count="12">
    <pivotField showAll="0"/>
    <pivotField showAll="0"/>
    <pivotField showAll="0"/>
    <pivotField showAll="0">
      <items count="11">
        <item x="0"/>
        <item h="1" x="1"/>
        <item h="1" x="2"/>
        <item h="1" x="3"/>
        <item h="1" x="4"/>
        <item h="1" x="5"/>
        <item h="1" x="6"/>
        <item h="1" x="7"/>
        <item h="1" x="8"/>
        <item h="1" x="9"/>
        <item t="default"/>
      </items>
    </pivotField>
    <pivotField dataField="1" showAll="0">
      <items count="3">
        <item x="0"/>
        <item h="1" x="1"/>
        <item t="default"/>
      </items>
    </pivotField>
    <pivotField showAll="0"/>
    <pivotField showAll="0"/>
    <pivotField numFmtId="14" showAll="0">
      <items count="7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t="default"/>
      </items>
    </pivotField>
    <pivotField dataField="1"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x="1"/>
        <item x="2"/>
        <item x="3"/>
        <item x="4"/>
        <item sd="0" x="5"/>
        <item t="default"/>
      </items>
    </pivotField>
    <pivotField showAll="0">
      <items count="6">
        <item sd="0" x="0"/>
        <item x="1"/>
        <item x="2"/>
        <item x="3"/>
        <item sd="0" x="4"/>
        <item t="default"/>
      </items>
    </pivotField>
  </pivotFields>
  <rowItems count="1">
    <i/>
  </rowItems>
  <colFields count="1">
    <field x="-2"/>
  </colFields>
  <colItems count="2">
    <i>
      <x/>
    </i>
    <i i="1">
      <x v="1"/>
    </i>
  </colItems>
  <dataFields count="2">
    <dataField name="Registration" fld="4" subtotal="count" baseField="0" baseItem="0"/>
    <dataField name="Revenue (€)" fld="8" baseField="0" baseItem="0" numFmtId="3"/>
  </dataFields>
  <formats count="1">
    <format dxfId="0">
      <pivotArea outline="0" collapsedLevelsAreSubtotals="1" fieldPosition="0">
        <references count="1">
          <reference field="4294967294" count="1" selected="0">
            <x v="1"/>
          </reference>
        </references>
      </pivotArea>
    </format>
  </formats>
  <chartFormats count="2">
    <chartFormat chart="45" format="4" series="1">
      <pivotArea type="data" outline="0" fieldPosition="0">
        <references count="1">
          <reference field="4294967294" count="1" selected="0">
            <x v="1"/>
          </reference>
        </references>
      </pivotArea>
    </chartFormat>
    <chartFormat chart="45"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7" type="dateBetween" evalOrder="-1" id="461" name="Registration Date">
      <autoFilter ref="A1">
        <filterColumn colId="0">
          <customFilters and="1">
            <customFilter operator="greaterThanOrEqual" val="44927"/>
            <customFilter operator="lessThanOrEqual" val="46022"/>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3694A5F-3680-468F-B08E-A681FA2368D9}" name="PivotTable1"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7:C18" firstHeaderRow="0" firstDataRow="1" firstDataCol="1" rowPageCount="4" colPageCount="1"/>
  <pivotFields count="12">
    <pivotField dataField="1" showAll="0"/>
    <pivotField showAll="0"/>
    <pivotField showAll="0"/>
    <pivotField axis="axisRow" showAll="0">
      <items count="11">
        <item x="0"/>
        <item x="1"/>
        <item x="2"/>
        <item x="3"/>
        <item x="4"/>
        <item x="5"/>
        <item x="6"/>
        <item x="7"/>
        <item x="8"/>
        <item x="9"/>
        <item t="default"/>
      </items>
    </pivotField>
    <pivotField axis="axisPage" showAll="0">
      <items count="3">
        <item x="0"/>
        <item x="1"/>
        <item t="default"/>
      </items>
    </pivotField>
    <pivotField showAll="0"/>
    <pivotField showAll="0"/>
    <pivotField numFmtId="14" showAll="0">
      <items count="7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t="default"/>
      </items>
    </pivotField>
    <pivotField dataField="1" showAll="0"/>
    <pivotField axis="axisPage" showAll="0">
      <items count="15">
        <item sd="0" x="0"/>
        <item sd="0" x="1"/>
        <item sd="0" x="2"/>
        <item sd="0" x="3"/>
        <item sd="0" x="4"/>
        <item sd="0" x="5"/>
        <item sd="0" x="6"/>
        <item sd="0" x="7"/>
        <item sd="0" x="8"/>
        <item sd="0" x="9"/>
        <item sd="0" x="10"/>
        <item sd="0" x="11"/>
        <item sd="0" x="12"/>
        <item sd="0" x="13"/>
        <item t="default"/>
      </items>
    </pivotField>
    <pivotField axis="axisPage" showAll="0">
      <items count="7">
        <item sd="0" x="0"/>
        <item sd="0" x="1"/>
        <item sd="0" x="2"/>
        <item sd="0" x="3"/>
        <item sd="0" x="4"/>
        <item sd="0" x="5"/>
        <item t="default"/>
      </items>
    </pivotField>
    <pivotField axis="axisPage" showAll="0">
      <items count="6">
        <item sd="0" x="0"/>
        <item sd="0" x="1"/>
        <item sd="0" x="2"/>
        <item sd="0" x="3"/>
        <item sd="0" x="4"/>
        <item t="default"/>
      </items>
    </pivotField>
  </pivotFields>
  <rowFields count="1">
    <field x="3"/>
  </rowFields>
  <rowItems count="11">
    <i>
      <x/>
    </i>
    <i>
      <x v="1"/>
    </i>
    <i>
      <x v="2"/>
    </i>
    <i>
      <x v="3"/>
    </i>
    <i>
      <x v="4"/>
    </i>
    <i>
      <x v="5"/>
    </i>
    <i>
      <x v="6"/>
    </i>
    <i>
      <x v="7"/>
    </i>
    <i>
      <x v="8"/>
    </i>
    <i>
      <x v="9"/>
    </i>
    <i t="grand">
      <x/>
    </i>
  </rowItems>
  <colFields count="1">
    <field x="-2"/>
  </colFields>
  <colItems count="2">
    <i>
      <x/>
    </i>
    <i i="1">
      <x v="1"/>
    </i>
  </colItems>
  <pageFields count="4">
    <pageField fld="11" hier="-1"/>
    <pageField fld="10" hier="-1"/>
    <pageField fld="9" hier="-1"/>
    <pageField fld="4" hier="-1"/>
  </pageFields>
  <dataFields count="2">
    <dataField name="Count of AttendeeID" fld="0" subtotal="count" baseField="0" baseItem="0"/>
    <dataField name="Sum of Admission Price (€)" fld="8"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BDACF90-B454-4AB7-9B15-F2ED1CE0F300}" name="PivotTable4" cacheId="6"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67" rowHeaderCaption="Year">
  <location ref="G2:I20" firstHeaderRow="0" firstDataRow="1" firstDataCol="1"/>
  <pivotFields count="12">
    <pivotField showAll="0"/>
    <pivotField showAll="0"/>
    <pivotField showAll="0"/>
    <pivotField showAll="0">
      <items count="11">
        <item x="0"/>
        <item h="1" x="1"/>
        <item h="1" x="2"/>
        <item h="1" x="3"/>
        <item h="1" x="4"/>
        <item h="1" x="5"/>
        <item h="1" x="6"/>
        <item h="1" x="7"/>
        <item h="1" x="8"/>
        <item h="1" x="9"/>
        <item t="default"/>
      </items>
    </pivotField>
    <pivotField dataField="1" showAll="0">
      <items count="3">
        <item x="0"/>
        <item h="1" x="1"/>
        <item t="default"/>
      </items>
    </pivotField>
    <pivotField showAll="0"/>
    <pivotField showAll="0"/>
    <pivotField numFmtId="14" showAll="0">
      <items count="7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t="default"/>
      </items>
    </pivotField>
    <pivotField dataField="1" showAl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x="1"/>
        <item x="2"/>
        <item x="3"/>
        <item x="4"/>
        <item sd="0" x="5"/>
        <item t="default"/>
      </items>
    </pivotField>
    <pivotField axis="axisRow" showAll="0">
      <items count="6">
        <item sd="0" x="0"/>
        <item x="1"/>
        <item x="2"/>
        <item x="3"/>
        <item sd="0" x="4"/>
        <item t="default"/>
      </items>
    </pivotField>
  </pivotFields>
  <rowFields count="2">
    <field x="11"/>
    <field x="9"/>
  </rowFields>
  <rowItems count="18">
    <i>
      <x v="1"/>
    </i>
    <i r="1">
      <x v="1"/>
    </i>
    <i r="1">
      <x v="5"/>
    </i>
    <i r="1">
      <x v="7"/>
    </i>
    <i r="1">
      <x v="9"/>
    </i>
    <i r="1">
      <x v="10"/>
    </i>
    <i>
      <x v="2"/>
    </i>
    <i r="1">
      <x v="5"/>
    </i>
    <i r="1">
      <x v="8"/>
    </i>
    <i r="1">
      <x v="12"/>
    </i>
    <i>
      <x v="3"/>
    </i>
    <i r="1">
      <x v="1"/>
    </i>
    <i r="1">
      <x v="3"/>
    </i>
    <i r="1">
      <x v="4"/>
    </i>
    <i r="1">
      <x v="7"/>
    </i>
    <i r="1">
      <x v="10"/>
    </i>
    <i r="1">
      <x v="11"/>
    </i>
    <i t="grand">
      <x/>
    </i>
  </rowItems>
  <colFields count="1">
    <field x="-2"/>
  </colFields>
  <colItems count="2">
    <i>
      <x/>
    </i>
    <i i="1">
      <x v="1"/>
    </i>
  </colItems>
  <dataFields count="2">
    <dataField name="Registration" fld="4" subtotal="count" baseField="0" baseItem="0"/>
    <dataField name="Revenue (€)" fld="8" baseField="0" baseItem="0" numFmtId="3"/>
  </dataFields>
  <formats count="1">
    <format dxfId="1">
      <pivotArea outline="0" collapsedLevelsAreSubtotals="1" fieldPosition="0">
        <references count="1">
          <reference field="4294967294" count="1" selected="0">
            <x v="1"/>
          </reference>
        </references>
      </pivotArea>
    </format>
  </formats>
  <chartFormats count="10">
    <chartFormat chart="45" format="4" series="1">
      <pivotArea type="data" outline="0" fieldPosition="0">
        <references count="1">
          <reference field="4294967294" count="1" selected="0">
            <x v="1"/>
          </reference>
        </references>
      </pivotArea>
    </chartFormat>
    <chartFormat chart="45" format="5" series="1">
      <pivotArea type="data" outline="0" fieldPosition="0">
        <references count="1">
          <reference field="4294967294" count="1" selected="0">
            <x v="0"/>
          </reference>
        </references>
      </pivotArea>
    </chartFormat>
    <chartFormat chart="51" format="2" series="1">
      <pivotArea type="data" outline="0" fieldPosition="0">
        <references count="1">
          <reference field="4294967294" count="1" selected="0">
            <x v="1"/>
          </reference>
        </references>
      </pivotArea>
    </chartFormat>
    <chartFormat chart="51" format="3" series="1">
      <pivotArea type="data" outline="0" fieldPosition="0">
        <references count="1">
          <reference field="4294967294" count="1" selected="0">
            <x v="0"/>
          </reference>
        </references>
      </pivotArea>
    </chartFormat>
    <chartFormat chart="52" format="4" series="1">
      <pivotArea type="data" outline="0" fieldPosition="0">
        <references count="1">
          <reference field="4294967294" count="1" selected="0">
            <x v="1"/>
          </reference>
        </references>
      </pivotArea>
    </chartFormat>
    <chartFormat chart="52" format="5" series="1">
      <pivotArea type="data" outline="0" fieldPosition="0">
        <references count="1">
          <reference field="4294967294" count="1" selected="0">
            <x v="0"/>
          </reference>
        </references>
      </pivotArea>
    </chartFormat>
    <chartFormat chart="62" format="4" series="1">
      <pivotArea type="data" outline="0" fieldPosition="0">
        <references count="1">
          <reference field="4294967294" count="1" selected="0">
            <x v="1"/>
          </reference>
        </references>
      </pivotArea>
    </chartFormat>
    <chartFormat chart="62" format="5" series="1">
      <pivotArea type="data" outline="0" fieldPosition="0">
        <references count="1">
          <reference field="4294967294" count="1" selected="0">
            <x v="0"/>
          </reference>
        </references>
      </pivotArea>
    </chartFormat>
    <chartFormat chart="66" format="6" series="1">
      <pivotArea type="data" outline="0" fieldPosition="0">
        <references count="1">
          <reference field="4294967294" count="1" selected="0">
            <x v="1"/>
          </reference>
        </references>
      </pivotArea>
    </chartFormat>
    <chartFormat chart="66" format="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7" type="dateBetween" evalOrder="-1" id="471" name="Registration Date">
      <autoFilter ref="A1">
        <filterColumn colId="0">
          <customFilters and="1">
            <customFilter operator="greaterThanOrEqual" val="44927"/>
            <customFilter operator="lessThanOrEqual" val="46022"/>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F0179B3-9AC3-4C46-8AC9-A4761A46FF03}" name="PivotTable3" cacheId="6"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23" rowHeaderCaption="Attendance Type">
  <location ref="D21:E23" firstHeaderRow="1" firstDataRow="1" firstDataCol="1"/>
  <pivotFields count="12">
    <pivotField dataField="1" showAll="0"/>
    <pivotField showAll="0"/>
    <pivotField showAll="0"/>
    <pivotField showAll="0">
      <items count="11">
        <item x="0"/>
        <item h="1" x="1"/>
        <item h="1" x="2"/>
        <item h="1" x="3"/>
        <item h="1" x="4"/>
        <item h="1" x="5"/>
        <item h="1" x="6"/>
        <item h="1" x="7"/>
        <item h="1" x="8"/>
        <item h="1" x="9"/>
        <item t="default"/>
      </items>
    </pivotField>
    <pivotField axis="axisRow" showAll="0">
      <items count="3">
        <item x="0"/>
        <item h="1" x="1"/>
        <item t="default"/>
      </items>
    </pivotField>
    <pivotField showAll="0"/>
    <pivotField showAll="0"/>
    <pivotField numFmtId="14" showAll="0">
      <items count="7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t="default"/>
      </items>
    </pivotField>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6">
        <item sd="0" x="0"/>
        <item sd="0" x="1"/>
        <item sd="0" x="2"/>
        <item sd="0" x="3"/>
        <item sd="0" x="4"/>
        <item t="default"/>
      </items>
    </pivotField>
  </pivotFields>
  <rowFields count="1">
    <field x="4"/>
  </rowFields>
  <rowItems count="2">
    <i>
      <x/>
    </i>
    <i t="grand">
      <x/>
    </i>
  </rowItems>
  <colItems count="1">
    <i/>
  </colItems>
  <dataFields count="1">
    <dataField name="Registrations" fld="0" subtotal="count" baseField="4" baseItem="1"/>
  </dataFields>
  <chartFormats count="7">
    <chartFormat chart="7" format="4" series="1">
      <pivotArea type="data" outline="0" fieldPosition="0">
        <references count="1">
          <reference field="4294967294" count="1" selected="0">
            <x v="0"/>
          </reference>
        </references>
      </pivotArea>
    </chartFormat>
    <chartFormat chart="7" format="5">
      <pivotArea type="data" outline="0" fieldPosition="0">
        <references count="2">
          <reference field="4294967294" count="1" selected="0">
            <x v="0"/>
          </reference>
          <reference field="4" count="1" selected="0">
            <x v="0"/>
          </reference>
        </references>
      </pivotArea>
    </chartFormat>
    <chartFormat chart="7" format="6">
      <pivotArea type="data" outline="0" fieldPosition="0">
        <references count="2">
          <reference field="4294967294" count="1" selected="0">
            <x v="0"/>
          </reference>
          <reference field="4" count="1" selected="0">
            <x v="1"/>
          </reference>
        </references>
      </pivotArea>
    </chartFormat>
    <chartFormat chart="19" format="9" series="1">
      <pivotArea type="data" outline="0" fieldPosition="0">
        <references count="1">
          <reference field="4294967294" count="1" selected="0">
            <x v="0"/>
          </reference>
        </references>
      </pivotArea>
    </chartFormat>
    <chartFormat chart="19" format="10">
      <pivotArea type="data" outline="0" fieldPosition="0">
        <references count="2">
          <reference field="4294967294" count="1" selected="0">
            <x v="0"/>
          </reference>
          <reference field="4" count="1" selected="0">
            <x v="0"/>
          </reference>
        </references>
      </pivotArea>
    </chartFormat>
    <chartFormat chart="19" format="11">
      <pivotArea type="data" outline="0" fieldPosition="0">
        <references count="2">
          <reference field="4294967294" count="1" selected="0">
            <x v="0"/>
          </reference>
          <reference field="4" count="1" selected="0">
            <x v="1"/>
          </reference>
        </references>
      </pivotArea>
    </chartFormat>
    <chartFormat chart="19" format="12">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7" type="dateBetween" evalOrder="-1" id="461" name="Registration Date">
      <autoFilter ref="A1">
        <filterColumn colId="0">
          <customFilters and="1">
            <customFilter operator="greaterThanOrEqual" val="44927"/>
            <customFilter operator="lessThanOrEqual" val="46022"/>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C8DB44A-3325-4CD9-AC89-F9E115841AA1}" name="PivotTable2" cacheId="6"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20" rowHeaderCaption="Session Type">
  <location ref="A21:B23" firstHeaderRow="1" firstDataRow="1" firstDataCol="1"/>
  <pivotFields count="12">
    <pivotField showAll="0"/>
    <pivotField showAll="0"/>
    <pivotField showAll="0"/>
    <pivotField axis="axisRow" showAll="0">
      <items count="11">
        <item x="0"/>
        <item h="1" x="1"/>
        <item h="1" x="2"/>
        <item h="1" x="3"/>
        <item h="1" x="4"/>
        <item h="1" x="5"/>
        <item h="1" x="6"/>
        <item h="1" x="7"/>
        <item h="1" x="8"/>
        <item h="1" x="9"/>
        <item t="default"/>
      </items>
    </pivotField>
    <pivotField showAll="0">
      <items count="3">
        <item x="0"/>
        <item h="1" x="1"/>
        <item t="default"/>
      </items>
    </pivotField>
    <pivotField showAll="0"/>
    <pivotField showAll="0"/>
    <pivotField numFmtId="14" showAll="0">
      <items count="7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t="default"/>
      </items>
    </pivotField>
    <pivotField dataField="1"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6">
        <item sd="0" x="0"/>
        <item sd="0" x="1"/>
        <item sd="0" x="2"/>
        <item sd="0" x="3"/>
        <item sd="0" x="4"/>
        <item t="default"/>
      </items>
    </pivotField>
  </pivotFields>
  <rowFields count="1">
    <field x="3"/>
  </rowFields>
  <rowItems count="2">
    <i>
      <x/>
    </i>
    <i t="grand">
      <x/>
    </i>
  </rowItems>
  <colItems count="1">
    <i/>
  </colItems>
  <dataFields count="1">
    <dataField name="Revenue (€)" fld="8" baseField="3" baseItem="0" numFmtId="3"/>
  </dataFields>
  <formats count="1">
    <format dxfId="2">
      <pivotArea outline="0" collapsedLevelsAreSubtotals="1" fieldPosition="0"/>
    </format>
  </formats>
  <chartFormats count="2">
    <chartFormat chart="6" format="2" series="1">
      <pivotArea type="data" outline="0" fieldPosition="0">
        <references count="1">
          <reference field="4294967294" count="1" selected="0">
            <x v="0"/>
          </reference>
        </references>
      </pivotArea>
    </chartFormat>
    <chartFormat chart="1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7" type="dateBetween" evalOrder="-1" id="463" name="Registration Date">
      <autoFilter ref="A1">
        <filterColumn colId="0">
          <customFilters and="1">
            <customFilter operator="greaterThanOrEqual" val="44927"/>
            <customFilter operator="lessThanOrEqual" val="46022"/>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ssion_Preference" xr10:uid="{EB98E204-6C15-4D69-BD08-08FB070D6B0A}" sourceName="Session Preference">
  <pivotTables>
    <pivotTable tabId="17" name="PivotTable2"/>
    <pivotTable tabId="17" name="PivotTable3"/>
    <pivotTable tabId="17" name="PivotTable4"/>
    <pivotTable tabId="17" name="PivotTable5"/>
  </pivotTables>
  <data>
    <tabular pivotCacheId="981033329">
      <items count="10">
        <i x="0" s="1"/>
        <i x="1"/>
        <i x="2"/>
        <i x="3"/>
        <i x="4"/>
        <i x="5"/>
        <i x="6"/>
        <i x="7"/>
        <i x="8"/>
        <i x="9"/>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ttendance_Type" xr10:uid="{DE15CF25-08CE-435F-BFD2-6C828C72FFBA}" sourceName="Attendance Type">
  <pivotTables>
    <pivotTable tabId="17" name="PivotTable2"/>
    <pivotTable tabId="17" name="PivotTable3"/>
    <pivotTable tabId="17" name="PivotTable4"/>
    <pivotTable tabId="17" name="PivotTable5"/>
  </pivotTables>
  <data>
    <tabular pivotCacheId="981033329">
      <items count="2">
        <i x="0" s="1"/>
        <i x="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ssion Preference" xr10:uid="{8270E180-96B7-4837-8970-3C644AEE22DC}" cache="Slicer_Session_Preference" caption="Session Preference" columnCount="2" showCaption="0" rowHeight="360000"/>
  <slicer name="Attendance Type" xr10:uid="{B8133D97-1EC9-447A-998B-6E8CB20E997D}" cache="Slicer_Attendance_Type" caption="Attendance Type" showCaption="0" rowHeight="288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BA6E111-D3A9-4226-88FA-964A7825C92D}" name="ConferenceDetails" displayName="ConferenceDetails" ref="B6:J506" totalsRowShown="0" headerRowDxfId="31" dataDxfId="29" headerRowBorderDxfId="30" tableBorderDxfId="28">
  <tableColumns count="9">
    <tableColumn id="1" xr3:uid="{E829B35E-A245-43AD-988B-B9B6C5D5126D}" name="AttendeeID" dataDxfId="27"/>
    <tableColumn id="2" xr3:uid="{72671257-FC2E-4EBD-9D2D-7B8671051B5E}" name="Name" dataDxfId="26"/>
    <tableColumn id="3" xr3:uid="{EB3252BF-F07A-4BFD-91A0-61AEE5081A9F}" name="Email" dataDxfId="25"/>
    <tableColumn id="4" xr3:uid="{92C580C3-8490-43FB-80C4-EDAB6C3F9268}" name="Session Preference" dataDxfId="24"/>
    <tableColumn id="5" xr3:uid="{5BB93FE0-9127-4EDB-8913-A3D385F5CDF6}" name="Attendance Type" dataDxfId="23"/>
    <tableColumn id="6" xr3:uid="{14AB96B0-06F1-4D5A-91B9-925E5DBDB335}" name="Workshop" dataDxfId="22"/>
    <tableColumn id="7" xr3:uid="{D52AB04A-F8C5-46F3-8089-0B944992B6D5}" name="Dietary Preference" dataDxfId="21"/>
    <tableColumn id="8" xr3:uid="{15A6296D-40BA-4481-BB7E-8AC753B1554E}" name="Registration Date" dataDxfId="20"/>
    <tableColumn id="9" xr3:uid="{02D4808B-7EDE-4C65-8DAB-82B67C4B8B4D}" name="Admission Price (€)" dataDxfId="19">
      <calculatedColumnFormula>SUM(Assumptions!M24:P24)</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6F2F83A-4425-40F5-909F-1D719B7E1171}" name="EventSummary" displayName="EventSummary" ref="A1:D37" totalsRowCount="1">
  <autoFilter ref="A1:D36" xr:uid="{36F2F83A-4425-40F5-909F-1D719B7E1171}"/>
  <sortState xmlns:xlrd2="http://schemas.microsoft.com/office/spreadsheetml/2017/richdata2" ref="A2:D36">
    <sortCondition ref="B1:B36"/>
  </sortState>
  <tableColumns count="4">
    <tableColumn id="1" xr3:uid="{52142519-35F7-49E8-AD75-03396DF764F3}" name="Month number">
      <calculatedColumnFormula>MONTH(EventSummary[[#This Row],[Month]])</calculatedColumnFormula>
    </tableColumn>
    <tableColumn id="2" xr3:uid="{6B199BDD-A313-46D3-8554-BF6531858CB6}" name="Month" dataDxfId="18" totalsRowDxfId="17"/>
    <tableColumn id="3" xr3:uid="{EC0A1DBE-8C13-4796-9275-59059067D1F5}" name="Registrations" totalsRowFunction="sum"/>
    <tableColumn id="4" xr3:uid="{F2B329E5-1E04-4C4E-B369-29D104AA10D2}" name="Total_Ticket_Sales" totalsRowFunction="sum" dataDxfId="16" totalsRowDxfId="1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130749A6-9C8A-496F-BC67-C351C65D5C50}" name="Table14" displayName="Table14" ref="A1:D51" totalsRowCount="1">
  <autoFilter ref="A1:D50" xr:uid="{130749A6-9C8A-496F-BC67-C351C65D5C50}"/>
  <tableColumns count="4">
    <tableColumn id="1" xr3:uid="{AD0AAD1E-B4FA-4B81-9081-EB91B3A4ABDF}" name="Month" totalsRowLabel="Average" dataDxfId="14" totalsRowDxfId="13"/>
    <tableColumn id="2" xr3:uid="{C7EE3B79-2F90-4749-8729-4BD99D5288EE}" name="Registrations" totalsRowFunction="average" totalsRowDxfId="12"/>
    <tableColumn id="3" xr3:uid="{4C3C1869-4AE2-4EB9-8372-387056368AB1}" name="Forecast(Registrations)" totalsRowFunction="average" totalsRowDxfId="11">
      <calculatedColumnFormula>_xlfn.FORECAST.ETS(A2,$B$2:$B$36,$A$2:$A$36,12,1)</calculatedColumnFormula>
    </tableColumn>
    <tableColumn id="4" xr3:uid="{207F9C24-40A0-481A-85A2-EED3FD902BF1}" name="Confidence Interval(Registrations)" totalsRowFunction="average" totalsRowDxfId="10">
      <calculatedColumnFormula>_xlfn.FORECAST.ETS.CONFINT(A2,$B$2:$B$36,$A$2:$A$36,0.1,12,1)</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1F826156-94F3-4310-BC30-796920A88B55}" name="Table15" displayName="Table15" ref="A1:D51" totalsRowCount="1">
  <autoFilter ref="A1:D50" xr:uid="{1F826156-94F3-4310-BC30-796920A88B55}"/>
  <tableColumns count="4">
    <tableColumn id="1" xr3:uid="{2315BBA1-D1F0-40C2-96C1-3BC8C2C8FECB}" name="Month" totalsRowLabel="Average" dataDxfId="9" totalsRowDxfId="8"/>
    <tableColumn id="2" xr3:uid="{B7C6480B-516A-4A51-B693-5A50DEA8E242}" name="Total_Ticket_Sales" totalsRowFunction="average" totalsRowDxfId="7"/>
    <tableColumn id="3" xr3:uid="{454BF537-F279-4FBD-8A54-5FF5A1937EF4}" name="Forecast(Total_Ticket_Sales)" totalsRowFunction="average" dataDxfId="6" totalsRowDxfId="5">
      <calculatedColumnFormula>_xlfn.FORECAST.ETS(A2,$B$2:$B$36,$A$2:$A$36,12,1)</calculatedColumnFormula>
    </tableColumn>
    <tableColumn id="4" xr3:uid="{79830592-2C5B-49C2-AB72-2A75E2A2B513}" name="Confidence Interval(Total_Ticket_Sales)" totalsRowFunction="average" dataDxfId="4" totalsRowDxfId="3">
      <calculatedColumnFormula>_xlfn.FORECAST.ETS.CONFINT(A2,$B$2:$B$36,$A$2:$A$36,0.95,12,1)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Registration_Date" xr10:uid="{373055C4-BA3C-4FCF-B410-910B20EC4856}" sourceName="Registration Date">
  <pivotTables>
    <pivotTable tabId="17" name="PivotTable4"/>
    <pivotTable tabId="17" name="PivotTable2"/>
    <pivotTable tabId="17" name="PivotTable3"/>
    <pivotTable tabId="17" name="PivotTable5"/>
  </pivotTables>
  <state minimalRefreshVersion="6" lastRefreshVersion="6" pivotCacheId="981033329" filterType="dateBetween">
    <selection startDate="2023-01-01T00:00:00" endDate="2025-12-31T00:00:00"/>
    <bounds startDate="2023-01-01T00:00:00" endDate="2026-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Registration Date 1" xr10:uid="{D0F01C55-AC45-49AC-A298-CEE5B003EBB0}" cache="NativeTimeline_Registration_Date" caption="Registration Date" showHeader="0" showSelectionLabel="0" showTimeLevel="0" showHorizontalScrollbar="0" level="2" selectionLevel="0" scrollPosition="2023-12-29T00:00:00"/>
</timeline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DBBF716-8FD6-49F1-A137-634610B19935}">
  <we:reference id="wa200008175" version="1.0.0.0" store="en-US" storeType="OMEX"/>
  <we:alternateReferences>
    <we:reference id="wa200008175" version="1.0.0.0" store="wa200008175" storeType="OMEX"/>
  </we:alternateReferences>
  <we:properties>
    <we:property name="main.py" value="&quot;\&quot;\&quot;\&quot;\nxlwings Lite allows you to define\nautomation scripts and custom functions\nwith Python instead of VBA\/Office Scripts.\n\nSelect a function in the green dropdown\nabove and run it by clicking the button or\nor by pressing F5. One of the sample\nscripts will insert custom functions,\nwhich are defined using the @func\ndecorator. You can add, delete, or edit\nfunctions in this file.\&quot;\&quot;\&quot;\n\nimport datetime as dt\nimport numpy as np\nimport pandas as pd\nimport seaborn as sns\nimport xlwings as xw\nfrom xlwings import func, script\n\n\n@script\ndef hello_world(book: xw.Book):\n    # Scripts require the @script decorator and the type-hinted\n    # book argument (book: xw.Book)\n    cell = book.sheets.active[\&quot;A1\&quot;]\n    cell.value = \&quot;Hello World!\&quot;\n    cell.color = \&quot;#FFFF00\&quot;  # yellow\n\n\n@script\ndef seaborn_sample(book: xw.Book):\n    # Create a pandas DataFrame from a CSV on GitHub and print its info\n    df = pd.read_csv(\n        \&quot;https:\/\/raw.githubusercontent.com\/mwaskom\/seaborn-data\/master\/penguins.csv\&quot;\n    )\n    print(df.info())\n\n    # Add a new sheet, write the DataFrame out, and format it as Table\n    sheet = book.sheets.add()\n\n    # Add a styled title\n    title_cell = sheet[\&quot;A1\&quot;]\n    title_cell.value = \&quot;The Penguin Dataset\&quot;\n    title_cell.font.bold = True\n    title_cell.font.size = 22\n    title_cell.font.color = \&quot;#156082\&quot;\n    title_cell.font.name = \&quot;Comic Sans MS\&quot;\n\n    # Write out the DataFrame\n    sheet[\&quot;A3\&quot;].options(index=False).value = df\n    sheet.tables.add(sheet[\&quot;A3\&quot;].resize(len(df) + 1, len(df.columns)))\n\n    # Add a Seaborn plot as picture\n    plot = sns.jointplot(\n        data=df, x=\&quot;flipper_length_mm\&quot;, y=\&quot;bill_length_mm\&quot;, hue=\&quot;species\&quot;\n    )\n    sheet.pictures.add(plot.fig, anchor=sheet[\&quot;B10\&quot;])\n\n    # Activate the new sheet\n    sheet.activate()\n\n\n@script\ndef insert_custom_functions(book: xw.Book):\n    # This script inserts the custom functions below\n    # so you can try them out easily\n    sheet = book.sheets.add()\n    sheet[\&quot;A1\&quot;].value = \&quot;This sheet shows the usage of custom functions\&quot;\n    sheet[\&quot;A3\&quot;].value = '=HELLO(\&quot;xlwings\&quot;)'\n    sheet[\&quot;A5\&quot;].value = \&quot;=STANDARD_NORMAL(3, 4)\&quot;\n    sheet[\&quot;A10\&quot;].value = \&quot;=CORREL2(A5#)\&quot;\n    sheet.activate()\n\n\n@func\ndef hello(name: str):\n    # This is the easiest custom function\n    return f\&quot;Hello {name}!\&quot;\n\n\n@func\ndef standard_normal(rows, cols):\n    # Returns an array of standard normally distributed pseudo random numbers\n    rng = np.random.default_rng()\n    matrix = rng.standard_normal(size=(rows, cols))\n    date_rng = pd.date_range(start=dt.datetime(2025, 6, 15), periods=rows, freq=\&quot;D\&quot;)\n    df = pd.DataFrame(\n        matrix, columns=[f\&quot;col{i + 1}\&quot; for i in range(matrix.shape[1])], index=date_rng\n    )\n    return df\n\n\n@func\ndef correl2(df: pd.DataFrame):\n    # Like CORREL, but it works on whole matrices instead of just 2 arrays.\n    # The type hint converts the values of the range into a pandas DataFrame.\n    # Use this function on the output of the standard_normal function from above.\n    return df.corr()\n\n&quot;"/>
    <we:property name="pyodideVersion" value="&quot;0.27.5&quot;"/>
    <we:property name="addinVersion" value="&quot;1.0.0.0-18&quot;"/>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3" Type="http://schemas.microsoft.com/office/2011/relationships/timeline" Target="../timelines/timeline1.xml"/><Relationship Id="rId2" Type="http://schemas.microsoft.com/office/2007/relationships/slicer" Target="../slicers/slicer1.x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H1000"/>
  <sheetViews>
    <sheetView topLeftCell="A80" zoomScale="85" zoomScaleNormal="85" workbookViewId="0">
      <selection activeCell="D24" sqref="D24"/>
    </sheetView>
  </sheetViews>
  <sheetFormatPr defaultColWidth="14.42578125" defaultRowHeight="15" customHeight="1" x14ac:dyDescent="0.25"/>
  <cols>
    <col min="1" max="1" width="15" customWidth="1"/>
    <col min="2" max="2" width="16.28515625" customWidth="1"/>
    <col min="3" max="3" width="29.7109375" customWidth="1"/>
    <col min="4" max="4" width="16.140625" customWidth="1"/>
    <col min="5" max="5" width="14.7109375" customWidth="1"/>
    <col min="6" max="6" width="14.28515625" customWidth="1"/>
    <col min="7" max="7" width="16" customWidth="1"/>
    <col min="8" max="8" width="19.28515625" customWidth="1"/>
    <col min="9" max="26" width="8.7109375" customWidth="1"/>
  </cols>
  <sheetData>
    <row r="1" spans="1:8" ht="14.25" customHeight="1" x14ac:dyDescent="0.25">
      <c r="A1" s="1"/>
      <c r="B1" s="1" t="s">
        <v>0</v>
      </c>
      <c r="C1" s="1" t="s">
        <v>1</v>
      </c>
      <c r="D1" s="1" t="s">
        <v>2</v>
      </c>
      <c r="E1" s="1" t="s">
        <v>3</v>
      </c>
      <c r="F1" s="1" t="s">
        <v>4</v>
      </c>
      <c r="G1" s="1" t="s">
        <v>5</v>
      </c>
      <c r="H1" s="1" t="s">
        <v>6</v>
      </c>
    </row>
    <row r="2" spans="1:8" ht="14.25" customHeight="1" x14ac:dyDescent="0.25">
      <c r="A2" s="9" t="s">
        <v>7</v>
      </c>
      <c r="B2" s="9" t="s">
        <v>8</v>
      </c>
      <c r="C2" s="9" t="s">
        <v>9</v>
      </c>
      <c r="D2" s="9" t="s">
        <v>10</v>
      </c>
      <c r="E2" s="9" t="s">
        <v>11</v>
      </c>
      <c r="F2" s="9" t="s">
        <v>12</v>
      </c>
      <c r="G2" s="9" t="s">
        <v>13</v>
      </c>
      <c r="H2" s="2">
        <v>44999</v>
      </c>
    </row>
    <row r="3" spans="1:8" ht="14.25" customHeight="1" x14ac:dyDescent="0.25">
      <c r="A3" s="9" t="s">
        <v>14</v>
      </c>
      <c r="B3" s="9" t="s">
        <v>15</v>
      </c>
      <c r="C3" s="9" t="s">
        <v>16</v>
      </c>
      <c r="D3" s="9" t="s">
        <v>17</v>
      </c>
      <c r="E3" s="9" t="s">
        <v>11</v>
      </c>
      <c r="F3" s="9" t="s">
        <v>18</v>
      </c>
      <c r="G3" s="9" t="s">
        <v>19</v>
      </c>
      <c r="H3" s="2">
        <v>44937</v>
      </c>
    </row>
    <row r="4" spans="1:8" ht="14.25" customHeight="1" x14ac:dyDescent="0.25">
      <c r="A4" s="9" t="s">
        <v>20</v>
      </c>
      <c r="B4" s="9" t="s">
        <v>21</v>
      </c>
      <c r="C4" s="9" t="s">
        <v>22</v>
      </c>
      <c r="D4" s="9" t="s">
        <v>23</v>
      </c>
      <c r="E4" s="9" t="s">
        <v>24</v>
      </c>
      <c r="F4" s="9" t="s">
        <v>12</v>
      </c>
      <c r="G4" s="9" t="s">
        <v>19</v>
      </c>
      <c r="H4" s="2">
        <v>45349</v>
      </c>
    </row>
    <row r="5" spans="1:8" ht="14.25" customHeight="1" x14ac:dyDescent="0.25">
      <c r="A5" s="9" t="s">
        <v>25</v>
      </c>
      <c r="B5" s="9" t="s">
        <v>26</v>
      </c>
      <c r="C5" s="9" t="s">
        <v>27</v>
      </c>
      <c r="D5" s="9" t="s">
        <v>17</v>
      </c>
      <c r="E5" s="9" t="s">
        <v>24</v>
      </c>
      <c r="F5" s="9" t="s">
        <v>28</v>
      </c>
      <c r="G5" s="9" t="s">
        <v>19</v>
      </c>
      <c r="H5" s="2">
        <v>45114</v>
      </c>
    </row>
    <row r="6" spans="1:8" ht="14.25" customHeight="1" x14ac:dyDescent="0.25">
      <c r="A6" s="9" t="s">
        <v>29</v>
      </c>
      <c r="B6" s="9" t="s">
        <v>30</v>
      </c>
      <c r="C6" s="9" t="s">
        <v>31</v>
      </c>
      <c r="D6" s="9" t="s">
        <v>10</v>
      </c>
      <c r="E6" s="9" t="s">
        <v>24</v>
      </c>
      <c r="F6" s="9" t="s">
        <v>32</v>
      </c>
      <c r="G6" s="9" t="s">
        <v>33</v>
      </c>
      <c r="H6" s="2">
        <v>44982</v>
      </c>
    </row>
    <row r="7" spans="1:8" ht="14.25" customHeight="1" x14ac:dyDescent="0.25">
      <c r="A7" s="9" t="s">
        <v>34</v>
      </c>
      <c r="B7" s="9" t="s">
        <v>35</v>
      </c>
      <c r="C7" s="9" t="s">
        <v>36</v>
      </c>
      <c r="D7" s="9" t="s">
        <v>23</v>
      </c>
      <c r="E7" s="9" t="s">
        <v>11</v>
      </c>
      <c r="F7" s="9" t="s">
        <v>18</v>
      </c>
      <c r="G7" s="9" t="s">
        <v>19</v>
      </c>
      <c r="H7" s="2">
        <v>45155</v>
      </c>
    </row>
    <row r="8" spans="1:8" ht="14.25" customHeight="1" x14ac:dyDescent="0.25">
      <c r="A8" s="9" t="s">
        <v>37</v>
      </c>
      <c r="B8" s="9" t="s">
        <v>38</v>
      </c>
      <c r="C8" s="9" t="s">
        <v>39</v>
      </c>
      <c r="D8" s="9" t="s">
        <v>23</v>
      </c>
      <c r="E8" s="9" t="s">
        <v>24</v>
      </c>
      <c r="F8" s="9" t="s">
        <v>18</v>
      </c>
      <c r="G8" s="9" t="s">
        <v>13</v>
      </c>
      <c r="H8" s="2">
        <v>45330</v>
      </c>
    </row>
    <row r="9" spans="1:8" ht="14.25" customHeight="1" x14ac:dyDescent="0.25">
      <c r="A9" s="9" t="s">
        <v>40</v>
      </c>
      <c r="B9" s="9" t="s">
        <v>41</v>
      </c>
      <c r="C9" s="9" t="s">
        <v>42</v>
      </c>
      <c r="D9" s="9" t="s">
        <v>23</v>
      </c>
      <c r="E9" s="9" t="s">
        <v>11</v>
      </c>
      <c r="F9" s="9" t="s">
        <v>32</v>
      </c>
      <c r="G9" s="9" t="s">
        <v>43</v>
      </c>
      <c r="H9" s="2">
        <v>45094</v>
      </c>
    </row>
    <row r="10" spans="1:8" ht="14.25" customHeight="1" x14ac:dyDescent="0.25">
      <c r="A10" s="9" t="s">
        <v>44</v>
      </c>
      <c r="B10" s="9" t="s">
        <v>45</v>
      </c>
      <c r="C10" s="9" t="s">
        <v>46</v>
      </c>
      <c r="D10" s="9" t="s">
        <v>10</v>
      </c>
      <c r="E10" s="9" t="s">
        <v>11</v>
      </c>
      <c r="F10" s="9" t="s">
        <v>18</v>
      </c>
      <c r="G10" s="9" t="s">
        <v>13</v>
      </c>
      <c r="H10" s="2">
        <v>45470</v>
      </c>
    </row>
    <row r="11" spans="1:8" ht="14.25" customHeight="1" x14ac:dyDescent="0.25">
      <c r="A11" s="9" t="s">
        <v>47</v>
      </c>
      <c r="B11" s="9" t="s">
        <v>48</v>
      </c>
      <c r="C11" s="9" t="s">
        <v>49</v>
      </c>
      <c r="D11" s="9" t="s">
        <v>17</v>
      </c>
      <c r="E11" s="9" t="s">
        <v>11</v>
      </c>
      <c r="F11" s="9" t="s">
        <v>28</v>
      </c>
      <c r="G11" s="9" t="s">
        <v>43</v>
      </c>
      <c r="H11" s="2">
        <v>45313</v>
      </c>
    </row>
    <row r="12" spans="1:8" ht="14.25" customHeight="1" x14ac:dyDescent="0.25">
      <c r="A12" s="9" t="s">
        <v>50</v>
      </c>
      <c r="B12" s="9" t="s">
        <v>51</v>
      </c>
      <c r="C12" s="9" t="s">
        <v>52</v>
      </c>
      <c r="D12" s="9" t="s">
        <v>23</v>
      </c>
      <c r="E12" s="9" t="s">
        <v>24</v>
      </c>
      <c r="F12" s="9" t="s">
        <v>18</v>
      </c>
      <c r="G12" s="9" t="s">
        <v>33</v>
      </c>
      <c r="H12" s="2">
        <v>44975</v>
      </c>
    </row>
    <row r="13" spans="1:8" ht="14.25" customHeight="1" x14ac:dyDescent="0.25">
      <c r="A13" s="9" t="s">
        <v>53</v>
      </c>
      <c r="B13" s="9" t="s">
        <v>54</v>
      </c>
      <c r="C13" s="9" t="s">
        <v>55</v>
      </c>
      <c r="D13" s="9" t="s">
        <v>23</v>
      </c>
      <c r="E13" s="9" t="s">
        <v>24</v>
      </c>
      <c r="F13" s="9" t="s">
        <v>32</v>
      </c>
      <c r="G13" s="9" t="s">
        <v>13</v>
      </c>
      <c r="H13" s="2">
        <v>45331</v>
      </c>
    </row>
    <row r="14" spans="1:8" ht="14.25" customHeight="1" x14ac:dyDescent="0.25">
      <c r="A14" s="9" t="s">
        <v>56</v>
      </c>
      <c r="B14" s="9" t="s">
        <v>57</v>
      </c>
      <c r="C14" s="9" t="s">
        <v>58</v>
      </c>
      <c r="D14" s="9" t="s">
        <v>10</v>
      </c>
      <c r="E14" s="9" t="s">
        <v>24</v>
      </c>
      <c r="F14" s="9" t="s">
        <v>18</v>
      </c>
      <c r="G14" s="9" t="s">
        <v>43</v>
      </c>
      <c r="H14" s="2">
        <v>45466</v>
      </c>
    </row>
    <row r="15" spans="1:8" ht="14.25" customHeight="1" x14ac:dyDescent="0.25">
      <c r="A15" s="9" t="s">
        <v>59</v>
      </c>
      <c r="B15" s="9" t="s">
        <v>60</v>
      </c>
      <c r="C15" s="9" t="s">
        <v>61</v>
      </c>
      <c r="D15" s="9" t="s">
        <v>23</v>
      </c>
      <c r="E15" s="9" t="s">
        <v>24</v>
      </c>
      <c r="F15" s="9" t="s">
        <v>28</v>
      </c>
      <c r="G15" s="9" t="s">
        <v>19</v>
      </c>
      <c r="H15" s="2">
        <v>45155</v>
      </c>
    </row>
    <row r="16" spans="1:8" ht="14.25" customHeight="1" x14ac:dyDescent="0.25">
      <c r="A16" s="9" t="s">
        <v>62</v>
      </c>
      <c r="B16" s="9" t="s">
        <v>63</v>
      </c>
      <c r="C16" s="9" t="s">
        <v>64</v>
      </c>
      <c r="D16" s="9" t="s">
        <v>10</v>
      </c>
      <c r="E16" s="9" t="s">
        <v>24</v>
      </c>
      <c r="F16" s="9" t="s">
        <v>18</v>
      </c>
      <c r="G16" s="9" t="s">
        <v>19</v>
      </c>
      <c r="H16" s="2">
        <v>45269</v>
      </c>
    </row>
    <row r="17" spans="1:8" ht="14.25" customHeight="1" x14ac:dyDescent="0.25">
      <c r="A17" s="9" t="s">
        <v>65</v>
      </c>
      <c r="B17" s="9" t="s">
        <v>66</v>
      </c>
      <c r="C17" s="9" t="s">
        <v>67</v>
      </c>
      <c r="D17" s="9" t="s">
        <v>17</v>
      </c>
      <c r="E17" s="9" t="s">
        <v>24</v>
      </c>
      <c r="F17" s="9" t="s">
        <v>28</v>
      </c>
      <c r="G17" s="9" t="s">
        <v>19</v>
      </c>
      <c r="H17" s="2">
        <v>45199</v>
      </c>
    </row>
    <row r="18" spans="1:8" ht="14.25" customHeight="1" x14ac:dyDescent="0.25">
      <c r="A18" s="9" t="s">
        <v>68</v>
      </c>
      <c r="B18" s="9" t="s">
        <v>69</v>
      </c>
      <c r="C18" s="9" t="s">
        <v>70</v>
      </c>
      <c r="D18" s="9" t="s">
        <v>10</v>
      </c>
      <c r="E18" s="9" t="s">
        <v>11</v>
      </c>
      <c r="F18" s="9" t="s">
        <v>12</v>
      </c>
      <c r="G18" s="9" t="s">
        <v>43</v>
      </c>
      <c r="H18" s="2">
        <v>45474</v>
      </c>
    </row>
    <row r="19" spans="1:8" ht="14.25" customHeight="1" x14ac:dyDescent="0.25">
      <c r="A19" s="9" t="s">
        <v>71</v>
      </c>
      <c r="B19" s="9" t="s">
        <v>72</v>
      </c>
      <c r="C19" s="9" t="s">
        <v>73</v>
      </c>
      <c r="D19" s="9" t="s">
        <v>17</v>
      </c>
      <c r="E19" s="9" t="s">
        <v>11</v>
      </c>
      <c r="F19" s="9" t="s">
        <v>28</v>
      </c>
      <c r="G19" s="9" t="s">
        <v>13</v>
      </c>
      <c r="H19" s="2">
        <v>45416</v>
      </c>
    </row>
    <row r="20" spans="1:8" ht="14.25" customHeight="1" x14ac:dyDescent="0.25">
      <c r="A20" s="9" t="s">
        <v>74</v>
      </c>
      <c r="B20" s="9" t="s">
        <v>75</v>
      </c>
      <c r="C20" s="9" t="s">
        <v>76</v>
      </c>
      <c r="D20" s="9" t="s">
        <v>17</v>
      </c>
      <c r="E20" s="9" t="s">
        <v>24</v>
      </c>
      <c r="F20" s="9" t="s">
        <v>12</v>
      </c>
      <c r="G20" s="9" t="s">
        <v>33</v>
      </c>
      <c r="H20" s="2">
        <v>45213</v>
      </c>
    </row>
    <row r="21" spans="1:8" ht="14.25" customHeight="1" x14ac:dyDescent="0.25">
      <c r="A21" s="9" t="s">
        <v>77</v>
      </c>
      <c r="B21" s="9" t="s">
        <v>78</v>
      </c>
      <c r="C21" s="9" t="s">
        <v>79</v>
      </c>
      <c r="D21" s="9" t="s">
        <v>17</v>
      </c>
      <c r="E21" s="9" t="s">
        <v>24</v>
      </c>
      <c r="F21" s="9" t="s">
        <v>28</v>
      </c>
      <c r="G21" s="9" t="s">
        <v>13</v>
      </c>
      <c r="H21" s="2">
        <v>45036</v>
      </c>
    </row>
    <row r="22" spans="1:8" ht="14.25" customHeight="1" x14ac:dyDescent="0.25">
      <c r="A22" s="9" t="s">
        <v>80</v>
      </c>
      <c r="B22" s="9" t="s">
        <v>81</v>
      </c>
      <c r="C22" s="9" t="s">
        <v>82</v>
      </c>
      <c r="D22" s="9" t="s">
        <v>17</v>
      </c>
      <c r="E22" s="9" t="s">
        <v>11</v>
      </c>
      <c r="F22" s="9" t="s">
        <v>12</v>
      </c>
      <c r="G22" s="9" t="s">
        <v>43</v>
      </c>
      <c r="H22" s="2">
        <v>45131</v>
      </c>
    </row>
    <row r="23" spans="1:8" ht="14.25" customHeight="1" x14ac:dyDescent="0.25">
      <c r="A23" s="9" t="s">
        <v>83</v>
      </c>
      <c r="B23" s="9" t="s">
        <v>84</v>
      </c>
      <c r="C23" s="9" t="s">
        <v>85</v>
      </c>
      <c r="D23" s="9" t="s">
        <v>17</v>
      </c>
      <c r="E23" s="9" t="s">
        <v>11</v>
      </c>
      <c r="F23" s="9" t="s">
        <v>12</v>
      </c>
      <c r="G23" s="9" t="s">
        <v>33</v>
      </c>
      <c r="H23" s="2">
        <v>44926</v>
      </c>
    </row>
    <row r="24" spans="1:8" ht="14.25" customHeight="1" x14ac:dyDescent="0.25">
      <c r="A24" s="9" t="s">
        <v>86</v>
      </c>
      <c r="B24" s="9" t="s">
        <v>87</v>
      </c>
      <c r="C24" s="9" t="s">
        <v>88</v>
      </c>
      <c r="D24" s="9" t="s">
        <v>17</v>
      </c>
      <c r="E24" s="9" t="s">
        <v>11</v>
      </c>
      <c r="F24" s="9" t="s">
        <v>12</v>
      </c>
      <c r="G24" s="9" t="s">
        <v>33</v>
      </c>
      <c r="H24" s="2">
        <v>45343</v>
      </c>
    </row>
    <row r="25" spans="1:8" ht="14.25" customHeight="1" x14ac:dyDescent="0.25">
      <c r="A25" s="9" t="s">
        <v>89</v>
      </c>
      <c r="B25" s="9" t="s">
        <v>90</v>
      </c>
      <c r="C25" s="9" t="s">
        <v>91</v>
      </c>
      <c r="D25" s="9" t="s">
        <v>17</v>
      </c>
      <c r="E25" s="9" t="s">
        <v>24</v>
      </c>
      <c r="F25" s="9" t="s">
        <v>28</v>
      </c>
      <c r="G25" s="9" t="s">
        <v>19</v>
      </c>
      <c r="H25" s="2">
        <v>45040</v>
      </c>
    </row>
    <row r="26" spans="1:8" ht="14.25" customHeight="1" x14ac:dyDescent="0.25">
      <c r="A26" s="9" t="s">
        <v>92</v>
      </c>
      <c r="B26" s="9" t="s">
        <v>93</v>
      </c>
      <c r="C26" s="9" t="s">
        <v>94</v>
      </c>
      <c r="D26" s="9" t="s">
        <v>17</v>
      </c>
      <c r="E26" s="9" t="s">
        <v>11</v>
      </c>
      <c r="F26" s="9" t="s">
        <v>28</v>
      </c>
      <c r="G26" s="9" t="s">
        <v>33</v>
      </c>
      <c r="H26" s="2">
        <v>45313</v>
      </c>
    </row>
    <row r="27" spans="1:8" ht="14.25" customHeight="1" x14ac:dyDescent="0.25">
      <c r="A27" s="9" t="s">
        <v>95</v>
      </c>
      <c r="B27" s="9" t="s">
        <v>96</v>
      </c>
      <c r="C27" s="9" t="s">
        <v>97</v>
      </c>
      <c r="D27" s="9" t="s">
        <v>17</v>
      </c>
      <c r="E27" s="9" t="s">
        <v>11</v>
      </c>
      <c r="F27" s="9" t="s">
        <v>32</v>
      </c>
      <c r="G27" s="9" t="s">
        <v>13</v>
      </c>
      <c r="H27" s="2">
        <v>45373</v>
      </c>
    </row>
    <row r="28" spans="1:8" ht="14.25" customHeight="1" x14ac:dyDescent="0.25">
      <c r="A28" s="9" t="s">
        <v>98</v>
      </c>
      <c r="B28" s="9" t="s">
        <v>99</v>
      </c>
      <c r="C28" s="9" t="s">
        <v>100</v>
      </c>
      <c r="D28" s="9" t="s">
        <v>23</v>
      </c>
      <c r="E28" s="9" t="s">
        <v>24</v>
      </c>
      <c r="F28" s="9" t="s">
        <v>12</v>
      </c>
      <c r="G28" s="9" t="s">
        <v>13</v>
      </c>
      <c r="H28" s="2">
        <v>45410</v>
      </c>
    </row>
    <row r="29" spans="1:8" ht="14.25" customHeight="1" x14ac:dyDescent="0.25">
      <c r="A29" s="9" t="s">
        <v>101</v>
      </c>
      <c r="B29" s="9" t="s">
        <v>102</v>
      </c>
      <c r="C29" s="9" t="s">
        <v>103</v>
      </c>
      <c r="D29" s="9" t="s">
        <v>17</v>
      </c>
      <c r="E29" s="9" t="s">
        <v>11</v>
      </c>
      <c r="F29" s="9" t="s">
        <v>18</v>
      </c>
      <c r="G29" s="9" t="s">
        <v>13</v>
      </c>
      <c r="H29" s="2">
        <v>45230</v>
      </c>
    </row>
    <row r="30" spans="1:8" ht="14.25" customHeight="1" x14ac:dyDescent="0.25">
      <c r="A30" s="9" t="s">
        <v>104</v>
      </c>
      <c r="B30" s="9" t="s">
        <v>105</v>
      </c>
      <c r="C30" s="9" t="s">
        <v>106</v>
      </c>
      <c r="D30" s="9" t="s">
        <v>23</v>
      </c>
      <c r="E30" s="9" t="s">
        <v>24</v>
      </c>
      <c r="F30" s="9" t="s">
        <v>12</v>
      </c>
      <c r="G30" s="9" t="s">
        <v>13</v>
      </c>
      <c r="H30" s="2">
        <v>45215</v>
      </c>
    </row>
    <row r="31" spans="1:8" ht="14.25" customHeight="1" x14ac:dyDescent="0.25">
      <c r="A31" s="9" t="s">
        <v>107</v>
      </c>
      <c r="B31" s="9" t="s">
        <v>108</v>
      </c>
      <c r="C31" s="9" t="s">
        <v>109</v>
      </c>
      <c r="D31" s="9" t="s">
        <v>23</v>
      </c>
      <c r="E31" s="9" t="s">
        <v>11</v>
      </c>
      <c r="F31" s="9" t="s">
        <v>18</v>
      </c>
      <c r="G31" s="9" t="s">
        <v>19</v>
      </c>
      <c r="H31" s="2">
        <v>45530</v>
      </c>
    </row>
    <row r="32" spans="1:8" ht="14.25" customHeight="1" x14ac:dyDescent="0.25">
      <c r="A32" s="9" t="s">
        <v>110</v>
      </c>
      <c r="B32" s="9" t="s">
        <v>111</v>
      </c>
      <c r="C32" s="9" t="s">
        <v>112</v>
      </c>
      <c r="D32" s="9" t="s">
        <v>10</v>
      </c>
      <c r="E32" s="9" t="s">
        <v>24</v>
      </c>
      <c r="F32" s="9" t="s">
        <v>28</v>
      </c>
      <c r="G32" s="9" t="s">
        <v>33</v>
      </c>
      <c r="H32" s="2">
        <v>45533</v>
      </c>
    </row>
    <row r="33" spans="1:8" ht="14.25" customHeight="1" x14ac:dyDescent="0.25">
      <c r="A33" s="9" t="s">
        <v>113</v>
      </c>
      <c r="B33" s="9" t="s">
        <v>114</v>
      </c>
      <c r="C33" s="9" t="s">
        <v>115</v>
      </c>
      <c r="D33" s="9" t="s">
        <v>23</v>
      </c>
      <c r="E33" s="9" t="s">
        <v>11</v>
      </c>
      <c r="F33" s="9" t="s">
        <v>12</v>
      </c>
      <c r="G33" s="9" t="s">
        <v>43</v>
      </c>
      <c r="H33" s="2">
        <v>45299</v>
      </c>
    </row>
    <row r="34" spans="1:8" ht="14.25" customHeight="1" x14ac:dyDescent="0.25">
      <c r="A34" s="9" t="s">
        <v>116</v>
      </c>
      <c r="B34" s="9" t="s">
        <v>117</v>
      </c>
      <c r="C34" s="9" t="s">
        <v>118</v>
      </c>
      <c r="D34" s="9" t="s">
        <v>23</v>
      </c>
      <c r="E34" s="9" t="s">
        <v>24</v>
      </c>
      <c r="F34" s="9" t="s">
        <v>32</v>
      </c>
      <c r="G34" s="9" t="s">
        <v>13</v>
      </c>
      <c r="H34" s="2">
        <v>45260</v>
      </c>
    </row>
    <row r="35" spans="1:8" ht="14.25" customHeight="1" x14ac:dyDescent="0.25">
      <c r="A35" s="9" t="s">
        <v>119</v>
      </c>
      <c r="B35" s="9" t="s">
        <v>120</v>
      </c>
      <c r="C35" s="9" t="s">
        <v>121</v>
      </c>
      <c r="D35" s="9" t="s">
        <v>17</v>
      </c>
      <c r="E35" s="9" t="s">
        <v>24</v>
      </c>
      <c r="F35" s="9" t="s">
        <v>12</v>
      </c>
      <c r="G35" s="9" t="s">
        <v>43</v>
      </c>
      <c r="H35" s="2">
        <v>45368</v>
      </c>
    </row>
    <row r="36" spans="1:8" ht="14.25" customHeight="1" x14ac:dyDescent="0.25">
      <c r="A36" s="9" t="s">
        <v>122</v>
      </c>
      <c r="B36" s="9" t="s">
        <v>123</v>
      </c>
      <c r="C36" s="9" t="s">
        <v>124</v>
      </c>
      <c r="D36" s="9" t="s">
        <v>23</v>
      </c>
      <c r="E36" s="9" t="s">
        <v>24</v>
      </c>
      <c r="F36" s="9" t="s">
        <v>18</v>
      </c>
      <c r="G36" s="9" t="s">
        <v>19</v>
      </c>
      <c r="H36" s="2">
        <v>45476</v>
      </c>
    </row>
    <row r="37" spans="1:8" ht="14.25" customHeight="1" x14ac:dyDescent="0.25">
      <c r="A37" s="9" t="s">
        <v>125</v>
      </c>
      <c r="B37" s="9" t="s">
        <v>126</v>
      </c>
      <c r="C37" s="9" t="s">
        <v>127</v>
      </c>
      <c r="D37" s="9" t="s">
        <v>10</v>
      </c>
      <c r="E37" s="9" t="s">
        <v>11</v>
      </c>
      <c r="F37" s="9" t="s">
        <v>12</v>
      </c>
      <c r="G37" s="9" t="s">
        <v>33</v>
      </c>
      <c r="H37" s="2">
        <v>45484</v>
      </c>
    </row>
    <row r="38" spans="1:8" ht="14.25" customHeight="1" x14ac:dyDescent="0.25">
      <c r="A38" s="9" t="s">
        <v>128</v>
      </c>
      <c r="B38" s="9" t="s">
        <v>129</v>
      </c>
      <c r="C38" s="9" t="s">
        <v>130</v>
      </c>
      <c r="D38" s="9" t="s">
        <v>23</v>
      </c>
      <c r="E38" s="9" t="s">
        <v>24</v>
      </c>
      <c r="F38" s="9" t="s">
        <v>18</v>
      </c>
      <c r="G38" s="9" t="s">
        <v>43</v>
      </c>
      <c r="H38" s="2">
        <v>45071</v>
      </c>
    </row>
    <row r="39" spans="1:8" ht="14.25" customHeight="1" x14ac:dyDescent="0.25">
      <c r="A39" s="9" t="s">
        <v>131</v>
      </c>
      <c r="B39" s="9" t="s">
        <v>132</v>
      </c>
      <c r="C39" s="9" t="s">
        <v>133</v>
      </c>
      <c r="D39" s="9" t="s">
        <v>17</v>
      </c>
      <c r="E39" s="9" t="s">
        <v>11</v>
      </c>
      <c r="F39" s="9" t="s">
        <v>28</v>
      </c>
      <c r="G39" s="9" t="s">
        <v>13</v>
      </c>
      <c r="H39" s="2">
        <v>45307</v>
      </c>
    </row>
    <row r="40" spans="1:8" ht="14.25" customHeight="1" x14ac:dyDescent="0.25">
      <c r="A40" s="9" t="s">
        <v>134</v>
      </c>
      <c r="B40" s="9" t="s">
        <v>135</v>
      </c>
      <c r="C40" s="9" t="s">
        <v>136</v>
      </c>
      <c r="D40" s="9" t="s">
        <v>10</v>
      </c>
      <c r="E40" s="9" t="s">
        <v>24</v>
      </c>
      <c r="F40" s="9" t="s">
        <v>32</v>
      </c>
      <c r="G40" s="9" t="s">
        <v>43</v>
      </c>
      <c r="H40" s="2">
        <v>45590</v>
      </c>
    </row>
    <row r="41" spans="1:8" ht="14.25" customHeight="1" x14ac:dyDescent="0.25">
      <c r="A41" s="9" t="s">
        <v>137</v>
      </c>
      <c r="B41" s="9" t="s">
        <v>138</v>
      </c>
      <c r="C41" s="9" t="s">
        <v>139</v>
      </c>
      <c r="D41" s="9" t="s">
        <v>17</v>
      </c>
      <c r="E41" s="9" t="s">
        <v>11</v>
      </c>
      <c r="F41" s="9" t="s">
        <v>28</v>
      </c>
      <c r="G41" s="9" t="s">
        <v>13</v>
      </c>
      <c r="H41" s="2">
        <v>45456</v>
      </c>
    </row>
    <row r="42" spans="1:8" ht="14.25" customHeight="1" x14ac:dyDescent="0.25">
      <c r="A42" s="9" t="s">
        <v>140</v>
      </c>
      <c r="B42" s="9" t="s">
        <v>141</v>
      </c>
      <c r="C42" s="9" t="s">
        <v>142</v>
      </c>
      <c r="D42" s="9" t="s">
        <v>10</v>
      </c>
      <c r="E42" s="9" t="s">
        <v>24</v>
      </c>
      <c r="F42" s="9" t="s">
        <v>12</v>
      </c>
      <c r="G42" s="9" t="s">
        <v>13</v>
      </c>
      <c r="H42" s="2">
        <v>45566</v>
      </c>
    </row>
    <row r="43" spans="1:8" ht="14.25" customHeight="1" x14ac:dyDescent="0.25">
      <c r="A43" s="9" t="s">
        <v>143</v>
      </c>
      <c r="B43" s="9" t="s">
        <v>144</v>
      </c>
      <c r="C43" s="9" t="s">
        <v>145</v>
      </c>
      <c r="D43" s="9" t="s">
        <v>23</v>
      </c>
      <c r="E43" s="9" t="s">
        <v>11</v>
      </c>
      <c r="F43" s="9" t="s">
        <v>28</v>
      </c>
      <c r="G43" s="9" t="s">
        <v>13</v>
      </c>
      <c r="H43" s="2">
        <v>45560</v>
      </c>
    </row>
    <row r="44" spans="1:8" ht="14.25" customHeight="1" x14ac:dyDescent="0.25">
      <c r="A44" s="9" t="s">
        <v>146</v>
      </c>
      <c r="B44" s="9" t="s">
        <v>147</v>
      </c>
      <c r="C44" s="9" t="s">
        <v>148</v>
      </c>
      <c r="D44" s="9" t="s">
        <v>17</v>
      </c>
      <c r="E44" s="9" t="s">
        <v>11</v>
      </c>
      <c r="F44" s="9" t="s">
        <v>12</v>
      </c>
      <c r="G44" s="9" t="s">
        <v>43</v>
      </c>
      <c r="H44" s="2">
        <v>44962</v>
      </c>
    </row>
    <row r="45" spans="1:8" ht="14.25" customHeight="1" x14ac:dyDescent="0.25">
      <c r="A45" s="9" t="s">
        <v>149</v>
      </c>
      <c r="B45" s="9" t="s">
        <v>150</v>
      </c>
      <c r="C45" s="9" t="s">
        <v>151</v>
      </c>
      <c r="D45" s="9" t="s">
        <v>23</v>
      </c>
      <c r="E45" s="9" t="s">
        <v>24</v>
      </c>
      <c r="F45" s="9" t="s">
        <v>28</v>
      </c>
      <c r="G45" s="9" t="s">
        <v>43</v>
      </c>
      <c r="H45" s="2">
        <v>44941</v>
      </c>
    </row>
    <row r="46" spans="1:8" ht="14.25" customHeight="1" x14ac:dyDescent="0.25">
      <c r="A46" s="9" t="s">
        <v>152</v>
      </c>
      <c r="B46" s="9" t="s">
        <v>153</v>
      </c>
      <c r="C46" s="9" t="s">
        <v>154</v>
      </c>
      <c r="D46" s="9" t="s">
        <v>23</v>
      </c>
      <c r="E46" s="9" t="s">
        <v>11</v>
      </c>
      <c r="F46" s="9" t="s">
        <v>12</v>
      </c>
      <c r="G46" s="9" t="s">
        <v>19</v>
      </c>
      <c r="H46" s="2">
        <v>45338</v>
      </c>
    </row>
    <row r="47" spans="1:8" ht="14.25" customHeight="1" x14ac:dyDescent="0.25">
      <c r="A47" s="9" t="s">
        <v>155</v>
      </c>
      <c r="B47" s="9" t="s">
        <v>156</v>
      </c>
      <c r="C47" s="9" t="s">
        <v>157</v>
      </c>
      <c r="D47" s="9" t="s">
        <v>10</v>
      </c>
      <c r="E47" s="9" t="s">
        <v>24</v>
      </c>
      <c r="F47" s="9" t="s">
        <v>12</v>
      </c>
      <c r="G47" s="9" t="s">
        <v>13</v>
      </c>
      <c r="H47" s="2">
        <v>45322</v>
      </c>
    </row>
    <row r="48" spans="1:8" ht="14.25" customHeight="1" x14ac:dyDescent="0.25">
      <c r="A48" s="9" t="s">
        <v>158</v>
      </c>
      <c r="B48" s="9" t="s">
        <v>159</v>
      </c>
      <c r="C48" s="9" t="s">
        <v>160</v>
      </c>
      <c r="D48" s="9" t="s">
        <v>17</v>
      </c>
      <c r="E48" s="9" t="s">
        <v>24</v>
      </c>
      <c r="F48" s="9" t="s">
        <v>12</v>
      </c>
      <c r="G48" s="9" t="s">
        <v>33</v>
      </c>
      <c r="H48" s="2">
        <v>45593</v>
      </c>
    </row>
    <row r="49" spans="1:8" ht="14.25" customHeight="1" x14ac:dyDescent="0.25">
      <c r="A49" s="9" t="s">
        <v>161</v>
      </c>
      <c r="B49" s="9" t="s">
        <v>162</v>
      </c>
      <c r="C49" s="9" t="s">
        <v>163</v>
      </c>
      <c r="D49" s="9" t="s">
        <v>23</v>
      </c>
      <c r="E49" s="9" t="s">
        <v>11</v>
      </c>
      <c r="F49" s="9" t="s">
        <v>12</v>
      </c>
      <c r="G49" s="9" t="s">
        <v>33</v>
      </c>
      <c r="H49" s="2">
        <v>44966</v>
      </c>
    </row>
    <row r="50" spans="1:8" ht="14.25" customHeight="1" x14ac:dyDescent="0.25">
      <c r="A50" s="9" t="s">
        <v>164</v>
      </c>
      <c r="B50" s="9" t="s">
        <v>165</v>
      </c>
      <c r="C50" s="9" t="s">
        <v>166</v>
      </c>
      <c r="D50" s="9" t="s">
        <v>10</v>
      </c>
      <c r="E50" s="9" t="s">
        <v>11</v>
      </c>
      <c r="F50" s="9" t="s">
        <v>18</v>
      </c>
      <c r="G50" s="9" t="s">
        <v>13</v>
      </c>
      <c r="H50" s="2">
        <v>45513</v>
      </c>
    </row>
    <row r="51" spans="1:8" ht="14.25" customHeight="1" x14ac:dyDescent="0.25">
      <c r="A51" s="9" t="s">
        <v>167</v>
      </c>
      <c r="B51" s="9" t="s">
        <v>168</v>
      </c>
      <c r="C51" s="9" t="s">
        <v>169</v>
      </c>
      <c r="D51" s="9" t="s">
        <v>23</v>
      </c>
      <c r="E51" s="9" t="s">
        <v>11</v>
      </c>
      <c r="F51" s="9" t="s">
        <v>12</v>
      </c>
      <c r="G51" s="9" t="s">
        <v>33</v>
      </c>
      <c r="H51" s="2">
        <v>45322</v>
      </c>
    </row>
    <row r="52" spans="1:8" ht="14.25" customHeight="1" x14ac:dyDescent="0.25">
      <c r="A52" s="9" t="s">
        <v>170</v>
      </c>
      <c r="B52" s="9" t="s">
        <v>171</v>
      </c>
      <c r="C52" s="9" t="s">
        <v>172</v>
      </c>
      <c r="D52" s="9" t="s">
        <v>10</v>
      </c>
      <c r="E52" s="9" t="s">
        <v>11</v>
      </c>
      <c r="F52" s="9" t="s">
        <v>32</v>
      </c>
      <c r="G52" s="9" t="s">
        <v>13</v>
      </c>
      <c r="H52" s="2">
        <v>45353</v>
      </c>
    </row>
    <row r="53" spans="1:8" ht="14.25" customHeight="1" x14ac:dyDescent="0.25">
      <c r="A53" s="9" t="s">
        <v>173</v>
      </c>
      <c r="B53" s="9" t="s">
        <v>174</v>
      </c>
      <c r="C53" s="9" t="s">
        <v>175</v>
      </c>
      <c r="D53" s="9" t="s">
        <v>23</v>
      </c>
      <c r="E53" s="9" t="s">
        <v>11</v>
      </c>
      <c r="F53" s="9" t="s">
        <v>28</v>
      </c>
      <c r="G53" s="9" t="s">
        <v>19</v>
      </c>
      <c r="H53" s="2">
        <v>45375</v>
      </c>
    </row>
    <row r="54" spans="1:8" ht="14.25" customHeight="1" x14ac:dyDescent="0.25">
      <c r="A54" s="9" t="s">
        <v>176</v>
      </c>
      <c r="B54" s="9" t="s">
        <v>177</v>
      </c>
      <c r="C54" s="9" t="s">
        <v>178</v>
      </c>
      <c r="D54" s="9" t="s">
        <v>10</v>
      </c>
      <c r="E54" s="9" t="s">
        <v>11</v>
      </c>
      <c r="F54" s="9" t="s">
        <v>12</v>
      </c>
      <c r="G54" s="9" t="s">
        <v>43</v>
      </c>
      <c r="H54" s="2">
        <v>45142</v>
      </c>
    </row>
    <row r="55" spans="1:8" ht="14.25" customHeight="1" x14ac:dyDescent="0.25">
      <c r="A55" s="9" t="s">
        <v>179</v>
      </c>
      <c r="B55" s="9" t="s">
        <v>180</v>
      </c>
      <c r="C55" s="9" t="s">
        <v>181</v>
      </c>
      <c r="D55" s="9" t="s">
        <v>23</v>
      </c>
      <c r="E55" s="9" t="s">
        <v>24</v>
      </c>
      <c r="F55" s="9" t="s">
        <v>18</v>
      </c>
      <c r="G55" s="9" t="s">
        <v>13</v>
      </c>
      <c r="H55" s="2">
        <v>45506</v>
      </c>
    </row>
    <row r="56" spans="1:8" ht="14.25" customHeight="1" x14ac:dyDescent="0.25">
      <c r="A56" s="9" t="s">
        <v>182</v>
      </c>
      <c r="B56" s="9" t="s">
        <v>183</v>
      </c>
      <c r="C56" s="9" t="s">
        <v>184</v>
      </c>
      <c r="D56" s="9" t="s">
        <v>17</v>
      </c>
      <c r="E56" s="9" t="s">
        <v>11</v>
      </c>
      <c r="F56" s="9" t="s">
        <v>32</v>
      </c>
      <c r="G56" s="9" t="s">
        <v>43</v>
      </c>
      <c r="H56" s="2">
        <v>45598</v>
      </c>
    </row>
    <row r="57" spans="1:8" ht="14.25" customHeight="1" x14ac:dyDescent="0.25">
      <c r="A57" s="9" t="s">
        <v>185</v>
      </c>
      <c r="B57" s="9" t="s">
        <v>186</v>
      </c>
      <c r="C57" s="9" t="s">
        <v>187</v>
      </c>
      <c r="D57" s="9" t="s">
        <v>17</v>
      </c>
      <c r="E57" s="9" t="s">
        <v>11</v>
      </c>
      <c r="F57" s="9" t="s">
        <v>32</v>
      </c>
      <c r="G57" s="9" t="s">
        <v>33</v>
      </c>
      <c r="H57" s="2">
        <v>45534</v>
      </c>
    </row>
    <row r="58" spans="1:8" ht="14.25" customHeight="1" x14ac:dyDescent="0.25">
      <c r="A58" s="9" t="s">
        <v>188</v>
      </c>
      <c r="B58" s="9" t="s">
        <v>189</v>
      </c>
      <c r="C58" s="9" t="s">
        <v>190</v>
      </c>
      <c r="D58" s="9" t="s">
        <v>17</v>
      </c>
      <c r="E58" s="9" t="s">
        <v>11</v>
      </c>
      <c r="F58" s="9" t="s">
        <v>28</v>
      </c>
      <c r="G58" s="9" t="s">
        <v>19</v>
      </c>
      <c r="H58" s="2">
        <v>44979</v>
      </c>
    </row>
    <row r="59" spans="1:8" ht="14.25" customHeight="1" x14ac:dyDescent="0.25">
      <c r="A59" s="9" t="s">
        <v>191</v>
      </c>
      <c r="B59" s="9" t="s">
        <v>192</v>
      </c>
      <c r="C59" s="9" t="s">
        <v>193</v>
      </c>
      <c r="D59" s="9" t="s">
        <v>17</v>
      </c>
      <c r="E59" s="9" t="s">
        <v>11</v>
      </c>
      <c r="F59" s="9" t="s">
        <v>28</v>
      </c>
      <c r="G59" s="9" t="s">
        <v>33</v>
      </c>
      <c r="H59" s="2">
        <v>45026</v>
      </c>
    </row>
    <row r="60" spans="1:8" ht="14.25" customHeight="1" x14ac:dyDescent="0.25">
      <c r="A60" s="9" t="s">
        <v>194</v>
      </c>
      <c r="B60" s="9" t="s">
        <v>195</v>
      </c>
      <c r="C60" s="9" t="s">
        <v>196</v>
      </c>
      <c r="D60" s="9" t="s">
        <v>23</v>
      </c>
      <c r="E60" s="9" t="s">
        <v>24</v>
      </c>
      <c r="F60" s="9" t="s">
        <v>28</v>
      </c>
      <c r="G60" s="9" t="s">
        <v>43</v>
      </c>
      <c r="H60" s="2">
        <v>44978</v>
      </c>
    </row>
    <row r="61" spans="1:8" ht="14.25" customHeight="1" x14ac:dyDescent="0.25">
      <c r="A61" s="9" t="s">
        <v>197</v>
      </c>
      <c r="B61" s="9" t="s">
        <v>198</v>
      </c>
      <c r="C61" s="9" t="s">
        <v>199</v>
      </c>
      <c r="D61" s="9" t="s">
        <v>10</v>
      </c>
      <c r="E61" s="9" t="s">
        <v>11</v>
      </c>
      <c r="F61" s="9" t="s">
        <v>28</v>
      </c>
      <c r="G61" s="9" t="s">
        <v>43</v>
      </c>
      <c r="H61" s="2">
        <v>45113</v>
      </c>
    </row>
    <row r="62" spans="1:8" ht="14.25" customHeight="1" x14ac:dyDescent="0.25">
      <c r="A62" s="9" t="s">
        <v>200</v>
      </c>
      <c r="B62" s="9" t="s">
        <v>201</v>
      </c>
      <c r="C62" s="9" t="s">
        <v>202</v>
      </c>
      <c r="D62" s="9" t="s">
        <v>10</v>
      </c>
      <c r="E62" s="9" t="s">
        <v>24</v>
      </c>
      <c r="F62" s="9" t="s">
        <v>18</v>
      </c>
      <c r="G62" s="9" t="s">
        <v>13</v>
      </c>
      <c r="H62" s="2">
        <v>44971</v>
      </c>
    </row>
    <row r="63" spans="1:8" ht="14.25" customHeight="1" x14ac:dyDescent="0.25">
      <c r="A63" s="9" t="s">
        <v>203</v>
      </c>
      <c r="B63" s="9" t="s">
        <v>204</v>
      </c>
      <c r="C63" s="9" t="s">
        <v>205</v>
      </c>
      <c r="D63" s="9" t="s">
        <v>10</v>
      </c>
      <c r="E63" s="9" t="s">
        <v>11</v>
      </c>
      <c r="F63" s="9" t="s">
        <v>28</v>
      </c>
      <c r="G63" s="9" t="s">
        <v>19</v>
      </c>
      <c r="H63" s="2">
        <v>45437</v>
      </c>
    </row>
    <row r="64" spans="1:8" ht="14.25" customHeight="1" x14ac:dyDescent="0.25">
      <c r="A64" s="9" t="s">
        <v>206</v>
      </c>
      <c r="B64" s="9" t="s">
        <v>207</v>
      </c>
      <c r="C64" s="9" t="s">
        <v>208</v>
      </c>
      <c r="D64" s="9" t="s">
        <v>10</v>
      </c>
      <c r="E64" s="9" t="s">
        <v>24</v>
      </c>
      <c r="F64" s="9" t="s">
        <v>12</v>
      </c>
      <c r="G64" s="9" t="s">
        <v>43</v>
      </c>
      <c r="H64" s="2">
        <v>45391</v>
      </c>
    </row>
    <row r="65" spans="1:8" ht="14.25" customHeight="1" x14ac:dyDescent="0.25">
      <c r="A65" s="9" t="s">
        <v>209</v>
      </c>
      <c r="B65" s="9" t="s">
        <v>210</v>
      </c>
      <c r="C65" s="9" t="s">
        <v>211</v>
      </c>
      <c r="D65" s="9" t="s">
        <v>23</v>
      </c>
      <c r="E65" s="9" t="s">
        <v>11</v>
      </c>
      <c r="F65" s="9" t="s">
        <v>12</v>
      </c>
      <c r="G65" s="9" t="s">
        <v>43</v>
      </c>
      <c r="H65" s="2">
        <v>45518</v>
      </c>
    </row>
    <row r="66" spans="1:8" ht="14.25" customHeight="1" x14ac:dyDescent="0.25">
      <c r="A66" s="9" t="s">
        <v>212</v>
      </c>
      <c r="B66" s="9" t="s">
        <v>213</v>
      </c>
      <c r="C66" s="9" t="s">
        <v>214</v>
      </c>
      <c r="D66" s="9" t="s">
        <v>17</v>
      </c>
      <c r="E66" s="9" t="s">
        <v>24</v>
      </c>
      <c r="F66" s="9" t="s">
        <v>28</v>
      </c>
      <c r="G66" s="9" t="s">
        <v>43</v>
      </c>
      <c r="H66" s="2">
        <v>45263</v>
      </c>
    </row>
    <row r="67" spans="1:8" ht="14.25" customHeight="1" x14ac:dyDescent="0.25">
      <c r="A67" s="9" t="s">
        <v>215</v>
      </c>
      <c r="B67" s="9" t="s">
        <v>216</v>
      </c>
      <c r="C67" s="9" t="s">
        <v>217</v>
      </c>
      <c r="D67" s="9" t="s">
        <v>23</v>
      </c>
      <c r="E67" s="9" t="s">
        <v>24</v>
      </c>
      <c r="F67" s="9" t="s">
        <v>18</v>
      </c>
      <c r="G67" s="9" t="s">
        <v>33</v>
      </c>
      <c r="H67" s="2">
        <v>45133</v>
      </c>
    </row>
    <row r="68" spans="1:8" ht="14.25" customHeight="1" x14ac:dyDescent="0.25">
      <c r="A68" s="9" t="s">
        <v>218</v>
      </c>
      <c r="B68" s="9" t="s">
        <v>219</v>
      </c>
      <c r="C68" s="9" t="s">
        <v>220</v>
      </c>
      <c r="D68" s="9" t="s">
        <v>10</v>
      </c>
      <c r="E68" s="9" t="s">
        <v>24</v>
      </c>
      <c r="F68" s="9" t="s">
        <v>28</v>
      </c>
      <c r="G68" s="9" t="s">
        <v>13</v>
      </c>
      <c r="H68" s="2">
        <v>44915</v>
      </c>
    </row>
    <row r="69" spans="1:8" ht="14.25" customHeight="1" x14ac:dyDescent="0.25">
      <c r="A69" s="9" t="s">
        <v>221</v>
      </c>
      <c r="B69" s="9" t="s">
        <v>222</v>
      </c>
      <c r="C69" s="9" t="s">
        <v>223</v>
      </c>
      <c r="D69" s="9" t="s">
        <v>17</v>
      </c>
      <c r="E69" s="9" t="s">
        <v>11</v>
      </c>
      <c r="F69" s="9" t="s">
        <v>32</v>
      </c>
      <c r="G69" s="9" t="s">
        <v>43</v>
      </c>
      <c r="H69" s="2">
        <v>45353</v>
      </c>
    </row>
    <row r="70" spans="1:8" ht="14.25" customHeight="1" x14ac:dyDescent="0.25">
      <c r="A70" s="9" t="s">
        <v>224</v>
      </c>
      <c r="B70" s="9" t="s">
        <v>225</v>
      </c>
      <c r="C70" s="9" t="s">
        <v>226</v>
      </c>
      <c r="D70" s="9" t="s">
        <v>17</v>
      </c>
      <c r="E70" s="9" t="s">
        <v>11</v>
      </c>
      <c r="F70" s="9" t="s">
        <v>32</v>
      </c>
      <c r="G70" s="9" t="s">
        <v>19</v>
      </c>
      <c r="H70" s="2">
        <v>45041</v>
      </c>
    </row>
    <row r="71" spans="1:8" ht="14.25" customHeight="1" x14ac:dyDescent="0.25">
      <c r="A71" s="9" t="s">
        <v>227</v>
      </c>
      <c r="B71" s="9" t="s">
        <v>228</v>
      </c>
      <c r="C71" s="9" t="s">
        <v>229</v>
      </c>
      <c r="D71" s="9" t="s">
        <v>23</v>
      </c>
      <c r="E71" s="9" t="s">
        <v>11</v>
      </c>
      <c r="F71" s="9" t="s">
        <v>28</v>
      </c>
      <c r="G71" s="9" t="s">
        <v>33</v>
      </c>
      <c r="H71" s="2">
        <v>45315</v>
      </c>
    </row>
    <row r="72" spans="1:8" ht="14.25" customHeight="1" x14ac:dyDescent="0.25">
      <c r="A72" s="9" t="s">
        <v>230</v>
      </c>
      <c r="B72" s="9" t="s">
        <v>231</v>
      </c>
      <c r="C72" s="9" t="s">
        <v>232</v>
      </c>
      <c r="D72" s="9" t="s">
        <v>23</v>
      </c>
      <c r="E72" s="9" t="s">
        <v>11</v>
      </c>
      <c r="F72" s="9" t="s">
        <v>18</v>
      </c>
      <c r="G72" s="9" t="s">
        <v>33</v>
      </c>
      <c r="H72" s="2">
        <v>45350</v>
      </c>
    </row>
    <row r="73" spans="1:8" ht="14.25" customHeight="1" x14ac:dyDescent="0.25">
      <c r="A73" s="9" t="s">
        <v>233</v>
      </c>
      <c r="B73" s="9" t="s">
        <v>234</v>
      </c>
      <c r="C73" s="9" t="s">
        <v>235</v>
      </c>
      <c r="D73" s="9" t="s">
        <v>17</v>
      </c>
      <c r="E73" s="9" t="s">
        <v>11</v>
      </c>
      <c r="F73" s="9" t="s">
        <v>28</v>
      </c>
      <c r="G73" s="9" t="s">
        <v>19</v>
      </c>
      <c r="H73" s="2">
        <v>45048</v>
      </c>
    </row>
    <row r="74" spans="1:8" ht="14.25" customHeight="1" x14ac:dyDescent="0.25">
      <c r="A74" s="9" t="s">
        <v>236</v>
      </c>
      <c r="B74" s="9" t="s">
        <v>237</v>
      </c>
      <c r="C74" s="9" t="s">
        <v>238</v>
      </c>
      <c r="D74" s="9" t="s">
        <v>10</v>
      </c>
      <c r="E74" s="9" t="s">
        <v>11</v>
      </c>
      <c r="F74" s="9" t="s">
        <v>18</v>
      </c>
      <c r="G74" s="9" t="s">
        <v>43</v>
      </c>
      <c r="H74" s="2">
        <v>45345</v>
      </c>
    </row>
    <row r="75" spans="1:8" ht="14.25" customHeight="1" x14ac:dyDescent="0.25">
      <c r="A75" s="9" t="s">
        <v>239</v>
      </c>
      <c r="B75" s="9" t="s">
        <v>240</v>
      </c>
      <c r="C75" s="9" t="s">
        <v>241</v>
      </c>
      <c r="D75" s="9" t="s">
        <v>23</v>
      </c>
      <c r="E75" s="9" t="s">
        <v>24</v>
      </c>
      <c r="F75" s="9" t="s">
        <v>12</v>
      </c>
      <c r="G75" s="9" t="s">
        <v>19</v>
      </c>
      <c r="H75" s="2">
        <v>44909</v>
      </c>
    </row>
    <row r="76" spans="1:8" ht="14.25" customHeight="1" x14ac:dyDescent="0.25">
      <c r="A76" s="9" t="s">
        <v>242</v>
      </c>
      <c r="B76" s="9" t="s">
        <v>243</v>
      </c>
      <c r="C76" s="9" t="s">
        <v>244</v>
      </c>
      <c r="D76" s="9" t="s">
        <v>10</v>
      </c>
      <c r="E76" s="9" t="s">
        <v>11</v>
      </c>
      <c r="F76" s="9" t="s">
        <v>12</v>
      </c>
      <c r="G76" s="9" t="s">
        <v>13</v>
      </c>
      <c r="H76" s="2">
        <v>45461</v>
      </c>
    </row>
    <row r="77" spans="1:8" ht="14.25" customHeight="1" x14ac:dyDescent="0.25">
      <c r="A77" s="9" t="s">
        <v>245</v>
      </c>
      <c r="B77" s="9" t="s">
        <v>246</v>
      </c>
      <c r="C77" s="9" t="s">
        <v>247</v>
      </c>
      <c r="D77" s="9" t="s">
        <v>23</v>
      </c>
      <c r="E77" s="9" t="s">
        <v>24</v>
      </c>
      <c r="F77" s="9" t="s">
        <v>28</v>
      </c>
      <c r="G77" s="9" t="s">
        <v>33</v>
      </c>
      <c r="H77" s="2">
        <v>45019</v>
      </c>
    </row>
    <row r="78" spans="1:8" ht="14.25" customHeight="1" x14ac:dyDescent="0.25">
      <c r="A78" s="9" t="s">
        <v>248</v>
      </c>
      <c r="B78" s="9" t="s">
        <v>249</v>
      </c>
      <c r="C78" s="9" t="s">
        <v>250</v>
      </c>
      <c r="D78" s="9" t="s">
        <v>10</v>
      </c>
      <c r="E78" s="9" t="s">
        <v>24</v>
      </c>
      <c r="F78" s="9" t="s">
        <v>18</v>
      </c>
      <c r="G78" s="9" t="s">
        <v>19</v>
      </c>
      <c r="H78" s="2">
        <v>45605</v>
      </c>
    </row>
    <row r="79" spans="1:8" ht="14.25" customHeight="1" x14ac:dyDescent="0.25">
      <c r="A79" s="9" t="s">
        <v>251</v>
      </c>
      <c r="B79" s="9" t="s">
        <v>252</v>
      </c>
      <c r="C79" s="9" t="s">
        <v>253</v>
      </c>
      <c r="D79" s="9" t="s">
        <v>23</v>
      </c>
      <c r="E79" s="9" t="s">
        <v>11</v>
      </c>
      <c r="F79" s="9" t="s">
        <v>28</v>
      </c>
      <c r="G79" s="9" t="s">
        <v>33</v>
      </c>
      <c r="H79" s="2">
        <v>45399</v>
      </c>
    </row>
    <row r="80" spans="1:8" ht="14.25" customHeight="1" x14ac:dyDescent="0.25">
      <c r="A80" s="9" t="s">
        <v>254</v>
      </c>
      <c r="B80" s="9" t="s">
        <v>255</v>
      </c>
      <c r="C80" s="9" t="s">
        <v>256</v>
      </c>
      <c r="D80" s="9" t="s">
        <v>10</v>
      </c>
      <c r="E80" s="9" t="s">
        <v>24</v>
      </c>
      <c r="F80" s="9" t="s">
        <v>32</v>
      </c>
      <c r="G80" s="9" t="s">
        <v>43</v>
      </c>
      <c r="H80" s="2">
        <v>45072</v>
      </c>
    </row>
    <row r="81" spans="1:8" ht="14.25" customHeight="1" x14ac:dyDescent="0.25">
      <c r="A81" s="9" t="s">
        <v>257</v>
      </c>
      <c r="B81" s="9" t="s">
        <v>258</v>
      </c>
      <c r="C81" s="9" t="s">
        <v>259</v>
      </c>
      <c r="D81" s="9" t="s">
        <v>23</v>
      </c>
      <c r="E81" s="9" t="s">
        <v>11</v>
      </c>
      <c r="F81" s="9" t="s">
        <v>28</v>
      </c>
      <c r="G81" s="9" t="s">
        <v>43</v>
      </c>
      <c r="H81" s="2">
        <v>44921</v>
      </c>
    </row>
    <row r="82" spans="1:8" ht="14.25" customHeight="1" x14ac:dyDescent="0.25">
      <c r="A82" s="9" t="s">
        <v>260</v>
      </c>
      <c r="B82" s="9" t="s">
        <v>261</v>
      </c>
      <c r="C82" s="9" t="s">
        <v>262</v>
      </c>
      <c r="D82" s="9" t="s">
        <v>23</v>
      </c>
      <c r="E82" s="9" t="s">
        <v>11</v>
      </c>
      <c r="F82" s="9" t="s">
        <v>32</v>
      </c>
      <c r="G82" s="9" t="s">
        <v>13</v>
      </c>
      <c r="H82" s="2">
        <v>44976</v>
      </c>
    </row>
    <row r="83" spans="1:8" ht="14.25" customHeight="1" x14ac:dyDescent="0.25">
      <c r="A83" s="9" t="s">
        <v>263</v>
      </c>
      <c r="B83" s="9" t="s">
        <v>264</v>
      </c>
      <c r="C83" s="9" t="s">
        <v>265</v>
      </c>
      <c r="D83" s="9" t="s">
        <v>23</v>
      </c>
      <c r="E83" s="9" t="s">
        <v>11</v>
      </c>
      <c r="F83" s="9" t="s">
        <v>28</v>
      </c>
      <c r="G83" s="9" t="s">
        <v>13</v>
      </c>
      <c r="H83" s="2">
        <v>44878</v>
      </c>
    </row>
    <row r="84" spans="1:8" ht="14.25" customHeight="1" x14ac:dyDescent="0.25">
      <c r="A84" s="9" t="s">
        <v>266</v>
      </c>
      <c r="B84" s="9" t="s">
        <v>267</v>
      </c>
      <c r="C84" s="9" t="s">
        <v>268</v>
      </c>
      <c r="D84" s="9" t="s">
        <v>17</v>
      </c>
      <c r="E84" s="9" t="s">
        <v>11</v>
      </c>
      <c r="F84" s="9" t="s">
        <v>32</v>
      </c>
      <c r="G84" s="9" t="s">
        <v>13</v>
      </c>
      <c r="H84" s="2">
        <v>45526</v>
      </c>
    </row>
    <row r="85" spans="1:8" ht="14.25" customHeight="1" x14ac:dyDescent="0.25">
      <c r="A85" s="9" t="s">
        <v>269</v>
      </c>
      <c r="B85" s="9" t="s">
        <v>270</v>
      </c>
      <c r="C85" s="9" t="s">
        <v>271</v>
      </c>
      <c r="D85" s="9" t="s">
        <v>17</v>
      </c>
      <c r="E85" s="9" t="s">
        <v>24</v>
      </c>
      <c r="F85" s="9" t="s">
        <v>32</v>
      </c>
      <c r="G85" s="9" t="s">
        <v>43</v>
      </c>
      <c r="H85" s="2">
        <v>45459</v>
      </c>
    </row>
    <row r="86" spans="1:8" ht="14.25" customHeight="1" x14ac:dyDescent="0.25">
      <c r="A86" s="9" t="s">
        <v>272</v>
      </c>
      <c r="B86" s="9" t="s">
        <v>273</v>
      </c>
      <c r="C86" s="9" t="s">
        <v>274</v>
      </c>
      <c r="D86" s="9" t="s">
        <v>10</v>
      </c>
      <c r="E86" s="9" t="s">
        <v>11</v>
      </c>
      <c r="F86" s="9" t="s">
        <v>32</v>
      </c>
      <c r="G86" s="9" t="s">
        <v>33</v>
      </c>
      <c r="H86" s="2">
        <v>45588</v>
      </c>
    </row>
    <row r="87" spans="1:8" ht="14.25" customHeight="1" x14ac:dyDescent="0.25">
      <c r="A87" s="9" t="s">
        <v>275</v>
      </c>
      <c r="B87" s="9" t="s">
        <v>276</v>
      </c>
      <c r="C87" s="9" t="s">
        <v>277</v>
      </c>
      <c r="D87" s="9" t="s">
        <v>17</v>
      </c>
      <c r="E87" s="9" t="s">
        <v>24</v>
      </c>
      <c r="F87" s="9" t="s">
        <v>12</v>
      </c>
      <c r="G87" s="9" t="s">
        <v>43</v>
      </c>
      <c r="H87" s="2">
        <v>45581</v>
      </c>
    </row>
    <row r="88" spans="1:8" ht="14.25" customHeight="1" x14ac:dyDescent="0.25">
      <c r="A88" s="9" t="s">
        <v>278</v>
      </c>
      <c r="B88" s="9" t="s">
        <v>279</v>
      </c>
      <c r="C88" s="9" t="s">
        <v>280</v>
      </c>
      <c r="D88" s="9" t="s">
        <v>17</v>
      </c>
      <c r="E88" s="9" t="s">
        <v>11</v>
      </c>
      <c r="F88" s="9" t="s">
        <v>28</v>
      </c>
      <c r="G88" s="9" t="s">
        <v>43</v>
      </c>
      <c r="H88" s="2">
        <v>45028</v>
      </c>
    </row>
    <row r="89" spans="1:8" ht="14.25" customHeight="1" x14ac:dyDescent="0.25">
      <c r="A89" s="9" t="s">
        <v>281</v>
      </c>
      <c r="B89" s="9" t="s">
        <v>282</v>
      </c>
      <c r="C89" s="9" t="s">
        <v>283</v>
      </c>
      <c r="D89" s="9" t="s">
        <v>23</v>
      </c>
      <c r="E89" s="9" t="s">
        <v>11</v>
      </c>
      <c r="F89" s="9" t="s">
        <v>12</v>
      </c>
      <c r="G89" s="9" t="s">
        <v>19</v>
      </c>
      <c r="H89" s="2">
        <v>45178</v>
      </c>
    </row>
    <row r="90" spans="1:8" ht="14.25" customHeight="1" x14ac:dyDescent="0.25">
      <c r="A90" s="9" t="s">
        <v>284</v>
      </c>
      <c r="B90" s="9" t="s">
        <v>285</v>
      </c>
      <c r="C90" s="9" t="s">
        <v>286</v>
      </c>
      <c r="D90" s="9" t="s">
        <v>23</v>
      </c>
      <c r="E90" s="9" t="s">
        <v>11</v>
      </c>
      <c r="F90" s="9" t="s">
        <v>28</v>
      </c>
      <c r="G90" s="9" t="s">
        <v>13</v>
      </c>
      <c r="H90" s="2">
        <v>45471</v>
      </c>
    </row>
    <row r="91" spans="1:8" ht="14.25" customHeight="1" x14ac:dyDescent="0.25">
      <c r="A91" s="9" t="s">
        <v>287</v>
      </c>
      <c r="B91" s="9" t="s">
        <v>288</v>
      </c>
      <c r="C91" s="9" t="s">
        <v>289</v>
      </c>
      <c r="D91" s="9" t="s">
        <v>17</v>
      </c>
      <c r="E91" s="9" t="s">
        <v>24</v>
      </c>
      <c r="F91" s="9" t="s">
        <v>12</v>
      </c>
      <c r="G91" s="9" t="s">
        <v>13</v>
      </c>
      <c r="H91" s="2">
        <v>44943</v>
      </c>
    </row>
    <row r="92" spans="1:8" ht="14.25" customHeight="1" x14ac:dyDescent="0.25">
      <c r="A92" s="9" t="s">
        <v>290</v>
      </c>
      <c r="B92" s="9" t="s">
        <v>291</v>
      </c>
      <c r="C92" s="9" t="s">
        <v>292</v>
      </c>
      <c r="D92" s="9" t="s">
        <v>17</v>
      </c>
      <c r="E92" s="9" t="s">
        <v>11</v>
      </c>
      <c r="F92" s="9" t="s">
        <v>12</v>
      </c>
      <c r="G92" s="9" t="s">
        <v>43</v>
      </c>
      <c r="H92" s="2">
        <v>45233</v>
      </c>
    </row>
    <row r="93" spans="1:8" ht="14.25" customHeight="1" x14ac:dyDescent="0.25">
      <c r="A93" s="9" t="s">
        <v>293</v>
      </c>
      <c r="B93" s="9" t="s">
        <v>294</v>
      </c>
      <c r="C93" s="9" t="s">
        <v>295</v>
      </c>
      <c r="D93" s="9" t="s">
        <v>10</v>
      </c>
      <c r="E93" s="9" t="s">
        <v>11</v>
      </c>
      <c r="F93" s="9" t="s">
        <v>28</v>
      </c>
      <c r="G93" s="9" t="s">
        <v>33</v>
      </c>
      <c r="H93" s="2">
        <v>45224</v>
      </c>
    </row>
    <row r="94" spans="1:8" ht="14.25" customHeight="1" x14ac:dyDescent="0.25">
      <c r="A94" s="9" t="s">
        <v>296</v>
      </c>
      <c r="B94" s="9" t="s">
        <v>297</v>
      </c>
      <c r="C94" s="9" t="s">
        <v>298</v>
      </c>
      <c r="D94" s="9" t="s">
        <v>10</v>
      </c>
      <c r="E94" s="9" t="s">
        <v>11</v>
      </c>
      <c r="F94" s="9" t="s">
        <v>18</v>
      </c>
      <c r="G94" s="9" t="s">
        <v>33</v>
      </c>
      <c r="H94" s="2">
        <v>45571</v>
      </c>
    </row>
    <row r="95" spans="1:8" ht="14.25" customHeight="1" x14ac:dyDescent="0.25">
      <c r="A95" s="9" t="s">
        <v>299</v>
      </c>
      <c r="B95" s="9" t="s">
        <v>300</v>
      </c>
      <c r="C95" s="9" t="s">
        <v>301</v>
      </c>
      <c r="D95" s="9" t="s">
        <v>17</v>
      </c>
      <c r="E95" s="9" t="s">
        <v>11</v>
      </c>
      <c r="F95" s="9" t="s">
        <v>12</v>
      </c>
      <c r="G95" s="9" t="s">
        <v>19</v>
      </c>
      <c r="H95" s="2">
        <v>45350</v>
      </c>
    </row>
    <row r="96" spans="1:8" ht="14.25" customHeight="1" x14ac:dyDescent="0.25">
      <c r="A96" s="9" t="s">
        <v>302</v>
      </c>
      <c r="B96" s="9" t="s">
        <v>303</v>
      </c>
      <c r="C96" s="9" t="s">
        <v>304</v>
      </c>
      <c r="D96" s="9" t="s">
        <v>17</v>
      </c>
      <c r="E96" s="9" t="s">
        <v>24</v>
      </c>
      <c r="F96" s="9" t="s">
        <v>18</v>
      </c>
      <c r="G96" s="9" t="s">
        <v>43</v>
      </c>
      <c r="H96" s="2">
        <v>45562</v>
      </c>
    </row>
    <row r="97" spans="1:8" ht="14.25" customHeight="1" x14ac:dyDescent="0.25">
      <c r="A97" s="9" t="s">
        <v>305</v>
      </c>
      <c r="B97" s="9" t="s">
        <v>306</v>
      </c>
      <c r="C97" s="9" t="s">
        <v>307</v>
      </c>
      <c r="D97" s="9" t="s">
        <v>23</v>
      </c>
      <c r="E97" s="9" t="s">
        <v>11</v>
      </c>
      <c r="F97" s="9" t="s">
        <v>12</v>
      </c>
      <c r="G97" s="9" t="s">
        <v>43</v>
      </c>
      <c r="H97" s="2">
        <v>45138</v>
      </c>
    </row>
    <row r="98" spans="1:8" ht="14.25" customHeight="1" x14ac:dyDescent="0.25">
      <c r="A98" s="9" t="s">
        <v>308</v>
      </c>
      <c r="B98" s="9" t="s">
        <v>309</v>
      </c>
      <c r="C98" s="9" t="s">
        <v>310</v>
      </c>
      <c r="D98" s="9" t="s">
        <v>10</v>
      </c>
      <c r="E98" s="9" t="s">
        <v>24</v>
      </c>
      <c r="F98" s="9" t="s">
        <v>28</v>
      </c>
      <c r="G98" s="9" t="s">
        <v>19</v>
      </c>
      <c r="H98" s="2">
        <v>45101</v>
      </c>
    </row>
    <row r="99" spans="1:8" ht="14.25" customHeight="1" x14ac:dyDescent="0.25">
      <c r="A99" s="9" t="s">
        <v>311</v>
      </c>
      <c r="B99" s="9" t="s">
        <v>312</v>
      </c>
      <c r="C99" s="9" t="s">
        <v>313</v>
      </c>
      <c r="D99" s="9" t="s">
        <v>10</v>
      </c>
      <c r="E99" s="9" t="s">
        <v>11</v>
      </c>
      <c r="F99" s="9" t="s">
        <v>18</v>
      </c>
      <c r="G99" s="9" t="s">
        <v>13</v>
      </c>
      <c r="H99" s="2">
        <v>45180</v>
      </c>
    </row>
    <row r="100" spans="1:8" ht="14.25" customHeight="1" x14ac:dyDescent="0.25">
      <c r="A100" s="9" t="s">
        <v>314</v>
      </c>
      <c r="B100" s="9" t="s">
        <v>315</v>
      </c>
      <c r="C100" s="9" t="s">
        <v>316</v>
      </c>
      <c r="D100" s="9" t="s">
        <v>23</v>
      </c>
      <c r="E100" s="9" t="s">
        <v>11</v>
      </c>
      <c r="F100" s="9" t="s">
        <v>12</v>
      </c>
      <c r="G100" s="9" t="s">
        <v>13</v>
      </c>
      <c r="H100" s="2">
        <v>45333</v>
      </c>
    </row>
    <row r="101" spans="1:8" ht="14.25" customHeight="1" x14ac:dyDescent="0.25">
      <c r="A101" s="9" t="s">
        <v>317</v>
      </c>
      <c r="B101" s="9" t="s">
        <v>318</v>
      </c>
      <c r="C101" s="9" t="s">
        <v>319</v>
      </c>
      <c r="D101" s="9" t="s">
        <v>17</v>
      </c>
      <c r="E101" s="9" t="s">
        <v>11</v>
      </c>
      <c r="F101" s="9" t="s">
        <v>12</v>
      </c>
      <c r="G101" s="9" t="s">
        <v>13</v>
      </c>
      <c r="H101" s="2">
        <v>45425</v>
      </c>
    </row>
    <row r="102" spans="1:8" ht="14.25" customHeight="1" x14ac:dyDescent="0.25"/>
    <row r="103" spans="1:8" ht="14.25" customHeight="1" x14ac:dyDescent="0.25"/>
    <row r="104" spans="1:8" ht="14.25" customHeight="1" x14ac:dyDescent="0.25"/>
    <row r="105" spans="1:8" ht="14.25" customHeight="1" x14ac:dyDescent="0.25"/>
    <row r="106" spans="1:8" ht="14.25" customHeight="1" x14ac:dyDescent="0.25"/>
    <row r="107" spans="1:8" ht="14.25" customHeight="1" x14ac:dyDescent="0.25"/>
    <row r="108" spans="1:8" ht="14.25" customHeight="1" x14ac:dyDescent="0.25"/>
    <row r="109" spans="1:8" ht="14.25" customHeight="1" x14ac:dyDescent="0.25"/>
    <row r="110" spans="1:8" ht="14.25" customHeight="1" x14ac:dyDescent="0.25"/>
    <row r="111" spans="1:8" ht="14.25" customHeight="1" x14ac:dyDescent="0.25"/>
    <row r="112" spans="1:8" ht="14.25" customHeight="1" x14ac:dyDescent="0.25"/>
    <row r="113" ht="14.25" customHeight="1" x14ac:dyDescent="0.25"/>
    <row r="114" ht="14.25" customHeight="1" x14ac:dyDescent="0.25"/>
    <row r="115" ht="14.25" customHeight="1" x14ac:dyDescent="0.25"/>
    <row r="116" ht="14.25" customHeight="1" x14ac:dyDescent="0.25"/>
    <row r="117" ht="14.25" customHeight="1" x14ac:dyDescent="0.25"/>
    <row r="118" ht="14.25" customHeight="1" x14ac:dyDescent="0.25"/>
    <row r="119" ht="14.25" customHeight="1" x14ac:dyDescent="0.25"/>
    <row r="120" ht="14.25" customHeight="1" x14ac:dyDescent="0.25"/>
    <row r="121" ht="14.25" customHeight="1" x14ac:dyDescent="0.25"/>
    <row r="122" ht="14.25" customHeight="1" x14ac:dyDescent="0.25"/>
    <row r="123" ht="14.25" customHeight="1" x14ac:dyDescent="0.25"/>
    <row r="124" ht="14.25" customHeight="1" x14ac:dyDescent="0.25"/>
    <row r="125" ht="14.25" customHeight="1" x14ac:dyDescent="0.25"/>
    <row r="126" ht="14.25" customHeight="1" x14ac:dyDescent="0.25"/>
    <row r="127" ht="14.25" customHeight="1" x14ac:dyDescent="0.25"/>
    <row r="128" ht="14.25" customHeight="1" x14ac:dyDescent="0.25"/>
    <row r="129" ht="14.25" customHeight="1" x14ac:dyDescent="0.25"/>
    <row r="130" ht="14.25" customHeight="1" x14ac:dyDescent="0.25"/>
    <row r="131" ht="14.25" customHeight="1" x14ac:dyDescent="0.25"/>
    <row r="132" ht="14.25" customHeight="1" x14ac:dyDescent="0.25"/>
    <row r="133" ht="14.25" customHeight="1" x14ac:dyDescent="0.25"/>
    <row r="134" ht="14.25" customHeight="1" x14ac:dyDescent="0.25"/>
    <row r="135" ht="14.25" customHeight="1" x14ac:dyDescent="0.25"/>
    <row r="136" ht="14.25" customHeight="1" x14ac:dyDescent="0.25"/>
    <row r="137" ht="14.25" customHeight="1" x14ac:dyDescent="0.25"/>
    <row r="138" ht="14.25" customHeight="1" x14ac:dyDescent="0.25"/>
    <row r="139" ht="14.25" customHeight="1" x14ac:dyDescent="0.25"/>
    <row r="140" ht="14.25" customHeight="1" x14ac:dyDescent="0.25"/>
    <row r="141" ht="14.25" customHeight="1" x14ac:dyDescent="0.25"/>
    <row r="142" ht="14.25" customHeight="1" x14ac:dyDescent="0.25"/>
    <row r="143" ht="14.25" customHeight="1" x14ac:dyDescent="0.25"/>
    <row r="144" ht="14.25" customHeight="1" x14ac:dyDescent="0.25"/>
    <row r="145" ht="14.25" customHeight="1" x14ac:dyDescent="0.25"/>
    <row r="146" ht="14.25" customHeight="1" x14ac:dyDescent="0.25"/>
    <row r="147" ht="14.25" customHeight="1" x14ac:dyDescent="0.25"/>
    <row r="148" ht="14.25" customHeight="1" x14ac:dyDescent="0.25"/>
    <row r="149" ht="14.25" customHeight="1" x14ac:dyDescent="0.25"/>
    <row r="150" ht="14.25" customHeight="1" x14ac:dyDescent="0.25"/>
    <row r="151" ht="14.25" customHeight="1" x14ac:dyDescent="0.25"/>
    <row r="152" ht="14.25" customHeight="1" x14ac:dyDescent="0.25"/>
    <row r="153" ht="14.25" customHeight="1" x14ac:dyDescent="0.25"/>
    <row r="154" ht="14.25" customHeight="1" x14ac:dyDescent="0.25"/>
    <row r="155" ht="14.25" customHeight="1" x14ac:dyDescent="0.25"/>
    <row r="156" ht="14.25" customHeight="1" x14ac:dyDescent="0.25"/>
    <row r="157" ht="14.25" customHeight="1" x14ac:dyDescent="0.25"/>
    <row r="158" ht="14.25" customHeight="1" x14ac:dyDescent="0.25"/>
    <row r="159" ht="14.25" customHeight="1" x14ac:dyDescent="0.25"/>
    <row r="160" ht="14.25" customHeight="1" x14ac:dyDescent="0.25"/>
    <row r="161" ht="14.25" customHeight="1" x14ac:dyDescent="0.25"/>
    <row r="162" ht="14.25" customHeight="1" x14ac:dyDescent="0.25"/>
    <row r="163" ht="14.25" customHeight="1" x14ac:dyDescent="0.25"/>
    <row r="164" ht="14.25" customHeight="1" x14ac:dyDescent="0.25"/>
    <row r="165" ht="14.25" customHeight="1" x14ac:dyDescent="0.25"/>
    <row r="166" ht="14.25" customHeight="1" x14ac:dyDescent="0.25"/>
    <row r="167" ht="14.25" customHeight="1" x14ac:dyDescent="0.25"/>
    <row r="168" ht="14.25" customHeight="1" x14ac:dyDescent="0.25"/>
    <row r="169" ht="14.25" customHeight="1" x14ac:dyDescent="0.25"/>
    <row r="170" ht="14.25" customHeight="1" x14ac:dyDescent="0.25"/>
    <row r="171" ht="14.25" customHeight="1" x14ac:dyDescent="0.25"/>
    <row r="172" ht="14.25" customHeight="1" x14ac:dyDescent="0.25"/>
    <row r="173" ht="14.25" customHeight="1" x14ac:dyDescent="0.25"/>
    <row r="174" ht="14.25" customHeight="1" x14ac:dyDescent="0.25"/>
    <row r="175" ht="14.25" customHeight="1" x14ac:dyDescent="0.25"/>
    <row r="176" ht="14.25" customHeight="1" x14ac:dyDescent="0.25"/>
    <row r="177" ht="14.25" customHeight="1" x14ac:dyDescent="0.25"/>
    <row r="178" ht="14.25" customHeight="1" x14ac:dyDescent="0.25"/>
    <row r="179" ht="14.25" customHeight="1" x14ac:dyDescent="0.25"/>
    <row r="180" ht="14.25" customHeight="1" x14ac:dyDescent="0.25"/>
    <row r="181" ht="14.25" customHeight="1" x14ac:dyDescent="0.25"/>
    <row r="182" ht="14.25" customHeight="1" x14ac:dyDescent="0.25"/>
    <row r="183" ht="14.25" customHeight="1" x14ac:dyDescent="0.25"/>
    <row r="184" ht="14.25" customHeight="1" x14ac:dyDescent="0.25"/>
    <row r="185" ht="14.25" customHeight="1" x14ac:dyDescent="0.25"/>
    <row r="186" ht="14.25" customHeight="1" x14ac:dyDescent="0.25"/>
    <row r="187" ht="14.25" customHeight="1" x14ac:dyDescent="0.25"/>
    <row r="188" ht="14.25" customHeight="1" x14ac:dyDescent="0.25"/>
    <row r="189" ht="14.25" customHeight="1" x14ac:dyDescent="0.25"/>
    <row r="190" ht="14.25" customHeight="1" x14ac:dyDescent="0.25"/>
    <row r="191" ht="14.25" customHeight="1" x14ac:dyDescent="0.25"/>
    <row r="192" ht="14.25" customHeight="1" x14ac:dyDescent="0.25"/>
    <row r="193" ht="14.25" customHeight="1" x14ac:dyDescent="0.25"/>
    <row r="194" ht="14.25" customHeight="1" x14ac:dyDescent="0.25"/>
    <row r="195" ht="14.25" customHeight="1" x14ac:dyDescent="0.25"/>
    <row r="196" ht="14.25" customHeight="1" x14ac:dyDescent="0.25"/>
    <row r="197" ht="14.25" customHeight="1" x14ac:dyDescent="0.25"/>
    <row r="198" ht="14.25" customHeight="1" x14ac:dyDescent="0.25"/>
    <row r="199" ht="14.25" customHeight="1" x14ac:dyDescent="0.25"/>
    <row r="200" ht="14.25" customHeight="1" x14ac:dyDescent="0.25"/>
    <row r="201" ht="14.25" customHeight="1" x14ac:dyDescent="0.25"/>
    <row r="202" ht="14.25" customHeight="1" x14ac:dyDescent="0.25"/>
    <row r="203" ht="14.25" customHeight="1" x14ac:dyDescent="0.25"/>
    <row r="204" ht="14.25" customHeight="1" x14ac:dyDescent="0.25"/>
    <row r="205" ht="14.25" customHeight="1" x14ac:dyDescent="0.25"/>
    <row r="206" ht="14.25" customHeight="1" x14ac:dyDescent="0.25"/>
    <row r="207" ht="14.25" customHeight="1" x14ac:dyDescent="0.25"/>
    <row r="208" ht="14.25" customHeight="1" x14ac:dyDescent="0.25"/>
    <row r="209" ht="14.25" customHeight="1" x14ac:dyDescent="0.25"/>
    <row r="210" ht="14.25" customHeight="1" x14ac:dyDescent="0.25"/>
    <row r="211" ht="14.25" customHeight="1" x14ac:dyDescent="0.25"/>
    <row r="212" ht="14.25" customHeight="1" x14ac:dyDescent="0.25"/>
    <row r="213" ht="14.25" customHeight="1" x14ac:dyDescent="0.25"/>
    <row r="214" ht="14.25" customHeight="1" x14ac:dyDescent="0.25"/>
    <row r="215" ht="14.25" customHeight="1" x14ac:dyDescent="0.25"/>
    <row r="216" ht="14.25" customHeight="1" x14ac:dyDescent="0.25"/>
    <row r="217" ht="14.25" customHeight="1" x14ac:dyDescent="0.25"/>
    <row r="218" ht="14.25" customHeight="1" x14ac:dyDescent="0.25"/>
    <row r="219" ht="14.25" customHeight="1" x14ac:dyDescent="0.25"/>
    <row r="220" ht="14.25" customHeight="1" x14ac:dyDescent="0.25"/>
    <row r="221" ht="14.25" customHeight="1" x14ac:dyDescent="0.25"/>
    <row r="222" ht="14.25" customHeight="1" x14ac:dyDescent="0.25"/>
    <row r="223" ht="14.25" customHeight="1" x14ac:dyDescent="0.25"/>
    <row r="224" ht="14.25" customHeight="1" x14ac:dyDescent="0.25"/>
    <row r="225" ht="14.25" customHeight="1" x14ac:dyDescent="0.25"/>
    <row r="226" ht="14.25" customHeight="1" x14ac:dyDescent="0.25"/>
    <row r="227" ht="14.25" customHeight="1" x14ac:dyDescent="0.25"/>
    <row r="228" ht="14.25" customHeight="1" x14ac:dyDescent="0.25"/>
    <row r="229" ht="14.25" customHeight="1" x14ac:dyDescent="0.25"/>
    <row r="230" ht="14.25" customHeight="1" x14ac:dyDescent="0.25"/>
    <row r="231" ht="14.25" customHeight="1" x14ac:dyDescent="0.25"/>
    <row r="232" ht="14.25" customHeight="1" x14ac:dyDescent="0.25"/>
    <row r="233" ht="14.25" customHeight="1" x14ac:dyDescent="0.25"/>
    <row r="234" ht="14.25" customHeight="1" x14ac:dyDescent="0.25"/>
    <row r="235" ht="14.25" customHeight="1" x14ac:dyDescent="0.25"/>
    <row r="236" ht="14.25" customHeight="1" x14ac:dyDescent="0.25"/>
    <row r="237" ht="14.25" customHeight="1" x14ac:dyDescent="0.25"/>
    <row r="238" ht="14.25" customHeight="1" x14ac:dyDescent="0.25"/>
    <row r="239" ht="14.25" customHeight="1" x14ac:dyDescent="0.25"/>
    <row r="240" ht="14.25" customHeight="1" x14ac:dyDescent="0.25"/>
    <row r="241" ht="14.25" customHeight="1" x14ac:dyDescent="0.25"/>
    <row r="242" ht="14.25" customHeight="1" x14ac:dyDescent="0.25"/>
    <row r="243" ht="14.25" customHeight="1" x14ac:dyDescent="0.25"/>
    <row r="244" ht="14.25" customHeight="1" x14ac:dyDescent="0.25"/>
    <row r="245" ht="14.25" customHeight="1" x14ac:dyDescent="0.25"/>
    <row r="246" ht="14.25" customHeight="1" x14ac:dyDescent="0.25"/>
    <row r="247" ht="14.25" customHeight="1" x14ac:dyDescent="0.25"/>
    <row r="248" ht="14.25" customHeight="1" x14ac:dyDescent="0.25"/>
    <row r="249" ht="14.25" customHeight="1" x14ac:dyDescent="0.25"/>
    <row r="250" ht="14.25" customHeight="1" x14ac:dyDescent="0.25"/>
    <row r="251" ht="14.25" customHeight="1" x14ac:dyDescent="0.25"/>
    <row r="252" ht="14.25" customHeight="1" x14ac:dyDescent="0.25"/>
    <row r="253" ht="14.25" customHeight="1" x14ac:dyDescent="0.25"/>
    <row r="254" ht="14.25" customHeight="1" x14ac:dyDescent="0.25"/>
    <row r="255" ht="14.25" customHeight="1" x14ac:dyDescent="0.25"/>
    <row r="256" ht="14.25" customHeight="1" x14ac:dyDescent="0.25"/>
    <row r="257" ht="14.25" customHeight="1" x14ac:dyDescent="0.25"/>
    <row r="258" ht="14.25" customHeight="1" x14ac:dyDescent="0.25"/>
    <row r="259" ht="14.25" customHeight="1" x14ac:dyDescent="0.25"/>
    <row r="260" ht="14.25" customHeight="1" x14ac:dyDescent="0.25"/>
    <row r="261" ht="14.25" customHeight="1" x14ac:dyDescent="0.25"/>
    <row r="262" ht="14.25" customHeight="1" x14ac:dyDescent="0.25"/>
    <row r="263" ht="14.25" customHeight="1" x14ac:dyDescent="0.25"/>
    <row r="264" ht="14.25" customHeight="1" x14ac:dyDescent="0.25"/>
    <row r="265" ht="14.25" customHeight="1" x14ac:dyDescent="0.25"/>
    <row r="266" ht="14.25" customHeight="1" x14ac:dyDescent="0.25"/>
    <row r="267" ht="14.25" customHeight="1" x14ac:dyDescent="0.25"/>
    <row r="268" ht="14.25" customHeight="1" x14ac:dyDescent="0.25"/>
    <row r="269" ht="14.25" customHeight="1" x14ac:dyDescent="0.25"/>
    <row r="270" ht="14.25" customHeight="1" x14ac:dyDescent="0.25"/>
    <row r="271" ht="14.25" customHeight="1" x14ac:dyDescent="0.25"/>
    <row r="272" ht="14.25" customHeight="1" x14ac:dyDescent="0.25"/>
    <row r="273" ht="14.25" customHeight="1" x14ac:dyDescent="0.25"/>
    <row r="274" ht="14.25" customHeight="1" x14ac:dyDescent="0.25"/>
    <row r="275" ht="14.25" customHeight="1" x14ac:dyDescent="0.25"/>
    <row r="276" ht="14.25" customHeight="1" x14ac:dyDescent="0.25"/>
    <row r="277" ht="14.25" customHeight="1" x14ac:dyDescent="0.25"/>
    <row r="278" ht="14.25" customHeight="1" x14ac:dyDescent="0.25"/>
    <row r="279" ht="14.25" customHeight="1" x14ac:dyDescent="0.25"/>
    <row r="280" ht="14.25" customHeight="1" x14ac:dyDescent="0.25"/>
    <row r="281" ht="14.25" customHeight="1" x14ac:dyDescent="0.25"/>
    <row r="282" ht="14.25" customHeight="1" x14ac:dyDescent="0.25"/>
    <row r="283" ht="14.25" customHeight="1" x14ac:dyDescent="0.25"/>
    <row r="284" ht="14.25" customHeight="1" x14ac:dyDescent="0.25"/>
    <row r="285" ht="14.25" customHeight="1" x14ac:dyDescent="0.25"/>
    <row r="286" ht="14.25" customHeight="1" x14ac:dyDescent="0.25"/>
    <row r="287" ht="14.25" customHeight="1" x14ac:dyDescent="0.25"/>
    <row r="288" ht="14.25" customHeight="1" x14ac:dyDescent="0.25"/>
    <row r="289" ht="14.25" customHeight="1" x14ac:dyDescent="0.25"/>
    <row r="290" ht="14.25" customHeight="1" x14ac:dyDescent="0.25"/>
    <row r="291" ht="14.25" customHeight="1" x14ac:dyDescent="0.25"/>
    <row r="292" ht="14.25" customHeight="1" x14ac:dyDescent="0.25"/>
    <row r="293" ht="14.25" customHeight="1" x14ac:dyDescent="0.25"/>
    <row r="294" ht="14.25" customHeight="1" x14ac:dyDescent="0.25"/>
    <row r="295" ht="14.25" customHeight="1" x14ac:dyDescent="0.25"/>
    <row r="296" ht="14.25" customHeight="1" x14ac:dyDescent="0.25"/>
    <row r="297" ht="14.25" customHeight="1" x14ac:dyDescent="0.25"/>
    <row r="298" ht="14.25" customHeight="1" x14ac:dyDescent="0.25"/>
    <row r="299" ht="14.25" customHeight="1" x14ac:dyDescent="0.25"/>
    <row r="300" ht="14.25" customHeight="1" x14ac:dyDescent="0.25"/>
    <row r="301" ht="14.25" customHeight="1" x14ac:dyDescent="0.25"/>
    <row r="302" ht="14.25" customHeight="1" x14ac:dyDescent="0.25"/>
    <row r="303" ht="14.25" customHeight="1" x14ac:dyDescent="0.25"/>
    <row r="304" ht="14.25" customHeight="1" x14ac:dyDescent="0.25"/>
    <row r="305" ht="14.25" customHeight="1" x14ac:dyDescent="0.25"/>
    <row r="306" ht="14.25" customHeight="1" x14ac:dyDescent="0.25"/>
    <row r="307" ht="14.25" customHeight="1" x14ac:dyDescent="0.25"/>
    <row r="308" ht="14.25" customHeight="1" x14ac:dyDescent="0.25"/>
    <row r="309" ht="14.25" customHeight="1" x14ac:dyDescent="0.25"/>
    <row r="310" ht="14.25" customHeight="1" x14ac:dyDescent="0.25"/>
    <row r="311" ht="14.25" customHeight="1" x14ac:dyDescent="0.25"/>
    <row r="312" ht="14.25" customHeight="1" x14ac:dyDescent="0.25"/>
    <row r="313" ht="14.25" customHeight="1" x14ac:dyDescent="0.25"/>
    <row r="314" ht="14.25" customHeight="1" x14ac:dyDescent="0.25"/>
    <row r="315" ht="14.25" customHeight="1" x14ac:dyDescent="0.25"/>
    <row r="316" ht="14.25" customHeight="1" x14ac:dyDescent="0.25"/>
    <row r="317" ht="14.25" customHeight="1" x14ac:dyDescent="0.25"/>
    <row r="318" ht="14.25" customHeight="1" x14ac:dyDescent="0.25"/>
    <row r="319" ht="14.25" customHeight="1" x14ac:dyDescent="0.25"/>
    <row r="320" ht="14.25" customHeight="1" x14ac:dyDescent="0.25"/>
    <row r="321" ht="14.25" customHeight="1" x14ac:dyDescent="0.25"/>
    <row r="322" ht="14.25" customHeight="1" x14ac:dyDescent="0.25"/>
    <row r="323" ht="14.25" customHeight="1" x14ac:dyDescent="0.25"/>
    <row r="324" ht="14.25" customHeight="1" x14ac:dyDescent="0.25"/>
    <row r="325" ht="14.25" customHeight="1" x14ac:dyDescent="0.25"/>
    <row r="326" ht="14.25" customHeight="1" x14ac:dyDescent="0.25"/>
    <row r="327" ht="14.25" customHeight="1" x14ac:dyDescent="0.25"/>
    <row r="328" ht="14.25" customHeight="1" x14ac:dyDescent="0.25"/>
    <row r="329" ht="14.25" customHeight="1" x14ac:dyDescent="0.25"/>
    <row r="330" ht="14.25" customHeight="1" x14ac:dyDescent="0.25"/>
    <row r="331" ht="14.25" customHeight="1" x14ac:dyDescent="0.25"/>
    <row r="332" ht="14.25" customHeight="1" x14ac:dyDescent="0.25"/>
    <row r="333" ht="14.25" customHeight="1" x14ac:dyDescent="0.25"/>
    <row r="334" ht="14.25" customHeight="1" x14ac:dyDescent="0.25"/>
    <row r="335" ht="14.25" customHeight="1" x14ac:dyDescent="0.25"/>
    <row r="336" ht="14.25" customHeight="1" x14ac:dyDescent="0.25"/>
    <row r="337" ht="14.25" customHeight="1" x14ac:dyDescent="0.25"/>
    <row r="338" ht="14.25" customHeight="1" x14ac:dyDescent="0.25"/>
    <row r="339" ht="14.25" customHeight="1" x14ac:dyDescent="0.25"/>
    <row r="340" ht="14.25" customHeight="1" x14ac:dyDescent="0.25"/>
    <row r="341" ht="14.25" customHeight="1" x14ac:dyDescent="0.25"/>
    <row r="342" ht="14.25" customHeight="1" x14ac:dyDescent="0.25"/>
    <row r="343" ht="14.25" customHeight="1" x14ac:dyDescent="0.25"/>
    <row r="344" ht="14.25" customHeight="1" x14ac:dyDescent="0.25"/>
    <row r="345" ht="14.25" customHeight="1" x14ac:dyDescent="0.25"/>
    <row r="346" ht="14.25" customHeight="1" x14ac:dyDescent="0.25"/>
    <row r="347" ht="14.25" customHeight="1" x14ac:dyDescent="0.25"/>
    <row r="348" ht="14.25" customHeight="1" x14ac:dyDescent="0.25"/>
    <row r="349" ht="14.25" customHeight="1" x14ac:dyDescent="0.25"/>
    <row r="350" ht="14.25" customHeight="1" x14ac:dyDescent="0.25"/>
    <row r="351" ht="14.25" customHeight="1" x14ac:dyDescent="0.25"/>
    <row r="352" ht="14.25" customHeight="1" x14ac:dyDescent="0.25"/>
    <row r="353" ht="14.25" customHeight="1" x14ac:dyDescent="0.25"/>
    <row r="354" ht="14.25" customHeight="1" x14ac:dyDescent="0.25"/>
    <row r="355" ht="14.25" customHeight="1" x14ac:dyDescent="0.25"/>
    <row r="356" ht="14.25" customHeight="1" x14ac:dyDescent="0.25"/>
    <row r="357" ht="14.25" customHeight="1" x14ac:dyDescent="0.25"/>
    <row r="358" ht="14.25" customHeight="1" x14ac:dyDescent="0.25"/>
    <row r="359" ht="14.25" customHeight="1" x14ac:dyDescent="0.25"/>
    <row r="360" ht="14.25" customHeight="1" x14ac:dyDescent="0.25"/>
    <row r="361" ht="14.25" customHeight="1" x14ac:dyDescent="0.25"/>
    <row r="362" ht="14.25" customHeight="1" x14ac:dyDescent="0.25"/>
    <row r="363" ht="14.25" customHeight="1" x14ac:dyDescent="0.25"/>
    <row r="364" ht="14.25" customHeight="1" x14ac:dyDescent="0.25"/>
    <row r="365" ht="14.25" customHeight="1" x14ac:dyDescent="0.25"/>
    <row r="366" ht="14.25" customHeight="1" x14ac:dyDescent="0.25"/>
    <row r="367" ht="14.25" customHeight="1" x14ac:dyDescent="0.25"/>
    <row r="368" ht="14.25" customHeight="1" x14ac:dyDescent="0.25"/>
    <row r="369" ht="14.25" customHeight="1" x14ac:dyDescent="0.25"/>
    <row r="370" ht="14.25" customHeight="1" x14ac:dyDescent="0.25"/>
    <row r="371" ht="14.25" customHeight="1" x14ac:dyDescent="0.25"/>
    <row r="372" ht="14.25" customHeight="1" x14ac:dyDescent="0.25"/>
    <row r="373" ht="14.25" customHeight="1" x14ac:dyDescent="0.25"/>
    <row r="374" ht="14.25" customHeight="1" x14ac:dyDescent="0.25"/>
    <row r="375" ht="14.25" customHeight="1" x14ac:dyDescent="0.25"/>
    <row r="376" ht="14.25" customHeight="1" x14ac:dyDescent="0.25"/>
    <row r="377" ht="14.25" customHeight="1" x14ac:dyDescent="0.25"/>
    <row r="378" ht="14.25" customHeight="1" x14ac:dyDescent="0.25"/>
    <row r="379" ht="14.25" customHeight="1" x14ac:dyDescent="0.25"/>
    <row r="380" ht="14.25" customHeight="1" x14ac:dyDescent="0.25"/>
    <row r="381" ht="14.25" customHeight="1" x14ac:dyDescent="0.25"/>
    <row r="382" ht="14.25" customHeight="1" x14ac:dyDescent="0.25"/>
    <row r="383" ht="14.25" customHeight="1" x14ac:dyDescent="0.25"/>
    <row r="384" ht="14.25" customHeight="1" x14ac:dyDescent="0.25"/>
    <row r="385" ht="14.25" customHeight="1" x14ac:dyDescent="0.25"/>
    <row r="386" ht="14.25" customHeight="1" x14ac:dyDescent="0.25"/>
    <row r="387" ht="14.25" customHeight="1" x14ac:dyDescent="0.25"/>
    <row r="388" ht="14.25" customHeight="1" x14ac:dyDescent="0.25"/>
    <row r="389" ht="14.25" customHeight="1" x14ac:dyDescent="0.25"/>
    <row r="390" ht="14.25" customHeight="1" x14ac:dyDescent="0.25"/>
    <row r="391" ht="14.25" customHeight="1" x14ac:dyDescent="0.25"/>
    <row r="392" ht="14.25" customHeight="1" x14ac:dyDescent="0.25"/>
    <row r="393" ht="14.25" customHeight="1" x14ac:dyDescent="0.25"/>
    <row r="394" ht="14.25" customHeight="1" x14ac:dyDescent="0.25"/>
    <row r="395" ht="14.25" customHeight="1" x14ac:dyDescent="0.25"/>
    <row r="396" ht="14.25" customHeight="1" x14ac:dyDescent="0.25"/>
    <row r="397" ht="14.25" customHeight="1" x14ac:dyDescent="0.25"/>
    <row r="398" ht="14.25" customHeight="1" x14ac:dyDescent="0.25"/>
    <row r="399" ht="14.25" customHeight="1" x14ac:dyDescent="0.25"/>
    <row r="400" ht="14.25" customHeight="1" x14ac:dyDescent="0.25"/>
    <row r="401" ht="14.25" customHeight="1" x14ac:dyDescent="0.25"/>
    <row r="402" ht="14.25" customHeight="1" x14ac:dyDescent="0.25"/>
    <row r="403" ht="14.25" customHeight="1" x14ac:dyDescent="0.25"/>
    <row r="404" ht="14.25" customHeight="1" x14ac:dyDescent="0.25"/>
    <row r="405" ht="14.25" customHeight="1" x14ac:dyDescent="0.25"/>
    <row r="406" ht="14.25" customHeight="1" x14ac:dyDescent="0.25"/>
    <row r="407" ht="14.25" customHeight="1" x14ac:dyDescent="0.25"/>
    <row r="408" ht="14.25" customHeight="1" x14ac:dyDescent="0.25"/>
    <row r="409" ht="14.25" customHeight="1" x14ac:dyDescent="0.25"/>
    <row r="410" ht="14.25" customHeight="1" x14ac:dyDescent="0.25"/>
    <row r="411" ht="14.25" customHeight="1" x14ac:dyDescent="0.25"/>
    <row r="412" ht="14.25" customHeight="1" x14ac:dyDescent="0.25"/>
    <row r="413" ht="14.25" customHeight="1" x14ac:dyDescent="0.25"/>
    <row r="414" ht="14.25" customHeight="1" x14ac:dyDescent="0.25"/>
    <row r="415" ht="14.25" customHeight="1" x14ac:dyDescent="0.25"/>
    <row r="416" ht="14.25" customHeight="1" x14ac:dyDescent="0.25"/>
    <row r="417" ht="14.25" customHeight="1" x14ac:dyDescent="0.25"/>
    <row r="418" ht="14.25" customHeight="1" x14ac:dyDescent="0.25"/>
    <row r="419" ht="14.25" customHeight="1" x14ac:dyDescent="0.25"/>
    <row r="420" ht="14.25" customHeight="1" x14ac:dyDescent="0.25"/>
    <row r="421" ht="14.25" customHeight="1" x14ac:dyDescent="0.25"/>
    <row r="422" ht="14.25" customHeight="1" x14ac:dyDescent="0.25"/>
    <row r="423" ht="14.25" customHeight="1" x14ac:dyDescent="0.25"/>
    <row r="424" ht="14.25" customHeight="1" x14ac:dyDescent="0.25"/>
    <row r="425" ht="14.25" customHeight="1" x14ac:dyDescent="0.25"/>
    <row r="426" ht="14.25" customHeight="1" x14ac:dyDescent="0.25"/>
    <row r="427" ht="14.25" customHeight="1" x14ac:dyDescent="0.25"/>
    <row r="428" ht="14.25" customHeight="1" x14ac:dyDescent="0.25"/>
    <row r="429" ht="14.25" customHeight="1" x14ac:dyDescent="0.25"/>
    <row r="430" ht="14.25" customHeight="1" x14ac:dyDescent="0.25"/>
    <row r="431" ht="14.25" customHeight="1" x14ac:dyDescent="0.25"/>
    <row r="432" ht="14.25" customHeight="1" x14ac:dyDescent="0.25"/>
    <row r="433" ht="14.25" customHeight="1" x14ac:dyDescent="0.25"/>
    <row r="434" ht="14.25" customHeight="1" x14ac:dyDescent="0.25"/>
    <row r="435" ht="14.25" customHeight="1" x14ac:dyDescent="0.25"/>
    <row r="436" ht="14.25" customHeight="1" x14ac:dyDescent="0.25"/>
    <row r="437" ht="14.25" customHeight="1" x14ac:dyDescent="0.25"/>
    <row r="438" ht="14.25" customHeight="1" x14ac:dyDescent="0.25"/>
    <row r="439" ht="14.25" customHeight="1" x14ac:dyDescent="0.25"/>
    <row r="440" ht="14.25" customHeight="1" x14ac:dyDescent="0.25"/>
    <row r="441" ht="14.25" customHeight="1" x14ac:dyDescent="0.25"/>
    <row r="442" ht="14.25" customHeight="1" x14ac:dyDescent="0.25"/>
    <row r="443" ht="14.25" customHeight="1" x14ac:dyDescent="0.25"/>
    <row r="444" ht="14.25" customHeight="1" x14ac:dyDescent="0.25"/>
    <row r="445" ht="14.25" customHeight="1" x14ac:dyDescent="0.25"/>
    <row r="446" ht="14.25" customHeight="1" x14ac:dyDescent="0.25"/>
    <row r="447" ht="14.25" customHeight="1" x14ac:dyDescent="0.25"/>
    <row r="448" ht="14.25" customHeight="1" x14ac:dyDescent="0.25"/>
    <row r="449" ht="14.25" customHeight="1" x14ac:dyDescent="0.25"/>
    <row r="450" ht="14.25" customHeight="1" x14ac:dyDescent="0.25"/>
    <row r="451" ht="14.25" customHeight="1" x14ac:dyDescent="0.25"/>
    <row r="452" ht="14.25" customHeight="1" x14ac:dyDescent="0.25"/>
    <row r="453" ht="14.25" customHeight="1" x14ac:dyDescent="0.25"/>
    <row r="454" ht="14.25" customHeight="1" x14ac:dyDescent="0.25"/>
    <row r="455" ht="14.25" customHeight="1" x14ac:dyDescent="0.25"/>
    <row r="456" ht="14.25" customHeight="1" x14ac:dyDescent="0.25"/>
    <row r="457" ht="14.25" customHeight="1" x14ac:dyDescent="0.25"/>
    <row r="458" ht="14.25" customHeight="1" x14ac:dyDescent="0.25"/>
    <row r="459" ht="14.25" customHeight="1" x14ac:dyDescent="0.25"/>
    <row r="460" ht="14.25" customHeight="1" x14ac:dyDescent="0.25"/>
    <row r="461" ht="14.25" customHeight="1" x14ac:dyDescent="0.25"/>
    <row r="462" ht="14.25" customHeight="1" x14ac:dyDescent="0.25"/>
    <row r="463" ht="14.25" customHeight="1" x14ac:dyDescent="0.25"/>
    <row r="464" ht="14.25" customHeight="1" x14ac:dyDescent="0.25"/>
    <row r="465" ht="14.25" customHeight="1" x14ac:dyDescent="0.25"/>
    <row r="466" ht="14.25" customHeight="1" x14ac:dyDescent="0.25"/>
    <row r="467" ht="14.25" customHeight="1" x14ac:dyDescent="0.25"/>
    <row r="468" ht="14.25" customHeight="1" x14ac:dyDescent="0.25"/>
    <row r="469" ht="14.25" customHeight="1" x14ac:dyDescent="0.25"/>
    <row r="470" ht="14.25" customHeight="1" x14ac:dyDescent="0.25"/>
    <row r="471" ht="14.25" customHeight="1" x14ac:dyDescent="0.25"/>
    <row r="472" ht="14.25" customHeight="1" x14ac:dyDescent="0.25"/>
    <row r="473" ht="14.25" customHeight="1" x14ac:dyDescent="0.25"/>
    <row r="474" ht="14.25" customHeight="1" x14ac:dyDescent="0.25"/>
    <row r="475" ht="14.25" customHeight="1" x14ac:dyDescent="0.25"/>
    <row r="476" ht="14.25" customHeight="1" x14ac:dyDescent="0.25"/>
    <row r="477" ht="14.25" customHeight="1" x14ac:dyDescent="0.25"/>
    <row r="478" ht="14.25" customHeight="1" x14ac:dyDescent="0.25"/>
    <row r="479" ht="14.25" customHeight="1" x14ac:dyDescent="0.25"/>
    <row r="480" ht="14.25" customHeight="1" x14ac:dyDescent="0.25"/>
    <row r="481" ht="14.25" customHeight="1" x14ac:dyDescent="0.25"/>
    <row r="482" ht="14.25" customHeight="1" x14ac:dyDescent="0.25"/>
    <row r="483" ht="14.25" customHeight="1" x14ac:dyDescent="0.25"/>
    <row r="484" ht="14.25" customHeight="1" x14ac:dyDescent="0.25"/>
    <row r="485" ht="14.25" customHeight="1" x14ac:dyDescent="0.25"/>
    <row r="486" ht="14.25" customHeight="1" x14ac:dyDescent="0.25"/>
    <row r="487" ht="14.25" customHeight="1" x14ac:dyDescent="0.25"/>
    <row r="488" ht="14.25" customHeight="1" x14ac:dyDescent="0.25"/>
    <row r="489" ht="14.25" customHeight="1" x14ac:dyDescent="0.25"/>
    <row r="490" ht="14.25" customHeight="1" x14ac:dyDescent="0.25"/>
    <row r="491" ht="14.25" customHeight="1" x14ac:dyDescent="0.25"/>
    <row r="492" ht="14.25" customHeight="1" x14ac:dyDescent="0.25"/>
    <row r="493" ht="14.25" customHeight="1" x14ac:dyDescent="0.25"/>
    <row r="494" ht="14.25" customHeight="1" x14ac:dyDescent="0.25"/>
    <row r="495" ht="14.25" customHeight="1" x14ac:dyDescent="0.25"/>
    <row r="496" ht="14.25" customHeight="1" x14ac:dyDescent="0.25"/>
    <row r="497" ht="14.25" customHeight="1" x14ac:dyDescent="0.25"/>
    <row r="498" ht="14.25" customHeight="1" x14ac:dyDescent="0.25"/>
    <row r="499" ht="14.25" customHeight="1" x14ac:dyDescent="0.25"/>
    <row r="500" ht="14.25" customHeight="1" x14ac:dyDescent="0.25"/>
    <row r="501" ht="14.25" customHeight="1" x14ac:dyDescent="0.25"/>
    <row r="502" ht="14.25" customHeight="1" x14ac:dyDescent="0.25"/>
    <row r="503" ht="14.25" customHeight="1" x14ac:dyDescent="0.25"/>
    <row r="504" ht="14.25" customHeight="1" x14ac:dyDescent="0.25"/>
    <row r="505" ht="14.25" customHeight="1" x14ac:dyDescent="0.25"/>
    <row r="506" ht="14.25" customHeight="1" x14ac:dyDescent="0.25"/>
    <row r="507" ht="14.25" customHeight="1" x14ac:dyDescent="0.25"/>
    <row r="508" ht="14.25" customHeight="1" x14ac:dyDescent="0.25"/>
    <row r="509" ht="14.25" customHeight="1" x14ac:dyDescent="0.25"/>
    <row r="510" ht="14.25" customHeight="1" x14ac:dyDescent="0.25"/>
    <row r="511" ht="14.25" customHeight="1" x14ac:dyDescent="0.25"/>
    <row r="512" ht="14.25" customHeight="1" x14ac:dyDescent="0.25"/>
    <row r="513" ht="14.25" customHeight="1" x14ac:dyDescent="0.25"/>
    <row r="514" ht="14.25" customHeight="1" x14ac:dyDescent="0.25"/>
    <row r="515" ht="14.25" customHeight="1" x14ac:dyDescent="0.25"/>
    <row r="516" ht="14.25" customHeight="1" x14ac:dyDescent="0.25"/>
    <row r="517" ht="14.25" customHeight="1" x14ac:dyDescent="0.25"/>
    <row r="518" ht="14.25" customHeight="1" x14ac:dyDescent="0.25"/>
    <row r="519" ht="14.25" customHeight="1" x14ac:dyDescent="0.25"/>
    <row r="520" ht="14.25" customHeight="1" x14ac:dyDescent="0.25"/>
    <row r="521" ht="14.25" customHeight="1" x14ac:dyDescent="0.25"/>
    <row r="522" ht="14.25" customHeight="1" x14ac:dyDescent="0.25"/>
    <row r="523" ht="14.25" customHeight="1" x14ac:dyDescent="0.25"/>
    <row r="524" ht="14.25" customHeight="1" x14ac:dyDescent="0.25"/>
    <row r="525" ht="14.25" customHeight="1" x14ac:dyDescent="0.25"/>
    <row r="526" ht="14.25" customHeight="1" x14ac:dyDescent="0.25"/>
    <row r="527" ht="14.25" customHeight="1" x14ac:dyDescent="0.25"/>
    <row r="528" ht="14.25" customHeight="1" x14ac:dyDescent="0.25"/>
    <row r="529" ht="14.25" customHeight="1" x14ac:dyDescent="0.25"/>
    <row r="530" ht="14.25" customHeight="1" x14ac:dyDescent="0.25"/>
    <row r="531" ht="14.25" customHeight="1" x14ac:dyDescent="0.25"/>
    <row r="532" ht="14.25" customHeight="1" x14ac:dyDescent="0.25"/>
    <row r="533" ht="14.25" customHeight="1" x14ac:dyDescent="0.25"/>
    <row r="534" ht="14.25" customHeight="1" x14ac:dyDescent="0.25"/>
    <row r="535" ht="14.25" customHeight="1" x14ac:dyDescent="0.25"/>
    <row r="536" ht="14.25" customHeight="1" x14ac:dyDescent="0.25"/>
    <row r="537" ht="14.25" customHeight="1" x14ac:dyDescent="0.25"/>
    <row r="538" ht="14.25" customHeight="1" x14ac:dyDescent="0.25"/>
    <row r="539" ht="14.25" customHeight="1" x14ac:dyDescent="0.25"/>
    <row r="540" ht="14.25" customHeight="1" x14ac:dyDescent="0.25"/>
    <row r="541" ht="14.25" customHeight="1" x14ac:dyDescent="0.25"/>
    <row r="542" ht="14.25" customHeight="1" x14ac:dyDescent="0.25"/>
    <row r="543" ht="14.25" customHeight="1" x14ac:dyDescent="0.25"/>
    <row r="544" ht="14.25" customHeight="1" x14ac:dyDescent="0.25"/>
    <row r="545" ht="14.25" customHeight="1" x14ac:dyDescent="0.25"/>
    <row r="546" ht="14.25" customHeight="1" x14ac:dyDescent="0.25"/>
    <row r="547" ht="14.25" customHeight="1" x14ac:dyDescent="0.25"/>
    <row r="548" ht="14.25" customHeight="1" x14ac:dyDescent="0.25"/>
    <row r="549" ht="14.25" customHeight="1" x14ac:dyDescent="0.25"/>
    <row r="550" ht="14.25" customHeight="1" x14ac:dyDescent="0.25"/>
    <row r="551" ht="14.25" customHeight="1" x14ac:dyDescent="0.25"/>
    <row r="552" ht="14.25" customHeight="1" x14ac:dyDescent="0.25"/>
    <row r="553" ht="14.25" customHeight="1" x14ac:dyDescent="0.25"/>
    <row r="554" ht="14.25" customHeight="1" x14ac:dyDescent="0.25"/>
    <row r="555" ht="14.25" customHeight="1" x14ac:dyDescent="0.25"/>
    <row r="556" ht="14.25" customHeight="1" x14ac:dyDescent="0.25"/>
    <row r="557" ht="14.25" customHeight="1" x14ac:dyDescent="0.25"/>
    <row r="558" ht="14.25" customHeight="1" x14ac:dyDescent="0.25"/>
    <row r="559" ht="14.25" customHeight="1" x14ac:dyDescent="0.25"/>
    <row r="560" ht="14.25" customHeight="1" x14ac:dyDescent="0.25"/>
    <row r="561" ht="14.25" customHeight="1" x14ac:dyDescent="0.25"/>
    <row r="562" ht="14.25" customHeight="1" x14ac:dyDescent="0.25"/>
    <row r="563" ht="14.25" customHeight="1" x14ac:dyDescent="0.25"/>
    <row r="564" ht="14.25" customHeight="1" x14ac:dyDescent="0.25"/>
    <row r="565" ht="14.25" customHeight="1" x14ac:dyDescent="0.25"/>
    <row r="566" ht="14.25" customHeight="1" x14ac:dyDescent="0.25"/>
    <row r="567" ht="14.25" customHeight="1" x14ac:dyDescent="0.25"/>
    <row r="568" ht="14.25" customHeight="1" x14ac:dyDescent="0.25"/>
    <row r="569" ht="14.25" customHeight="1" x14ac:dyDescent="0.25"/>
    <row r="570" ht="14.25" customHeight="1" x14ac:dyDescent="0.25"/>
    <row r="571" ht="14.25" customHeight="1" x14ac:dyDescent="0.25"/>
    <row r="572" ht="14.25" customHeight="1" x14ac:dyDescent="0.25"/>
    <row r="573" ht="14.25" customHeight="1" x14ac:dyDescent="0.25"/>
    <row r="574" ht="14.25" customHeight="1" x14ac:dyDescent="0.25"/>
    <row r="575" ht="14.25" customHeight="1" x14ac:dyDescent="0.25"/>
    <row r="576" ht="14.25" customHeight="1" x14ac:dyDescent="0.25"/>
    <row r="577" ht="14.25" customHeight="1" x14ac:dyDescent="0.25"/>
    <row r="578" ht="14.25" customHeight="1" x14ac:dyDescent="0.25"/>
    <row r="579" ht="14.25" customHeight="1" x14ac:dyDescent="0.25"/>
    <row r="580" ht="14.25" customHeight="1" x14ac:dyDescent="0.25"/>
    <row r="581" ht="14.25" customHeight="1" x14ac:dyDescent="0.25"/>
    <row r="582" ht="14.25" customHeight="1" x14ac:dyDescent="0.25"/>
    <row r="583" ht="14.25" customHeight="1" x14ac:dyDescent="0.25"/>
    <row r="584" ht="14.25" customHeight="1" x14ac:dyDescent="0.25"/>
    <row r="585" ht="14.25" customHeight="1" x14ac:dyDescent="0.25"/>
    <row r="586" ht="14.25" customHeight="1" x14ac:dyDescent="0.25"/>
    <row r="587" ht="14.25" customHeight="1" x14ac:dyDescent="0.25"/>
    <row r="588" ht="14.25" customHeight="1" x14ac:dyDescent="0.25"/>
    <row r="589" ht="14.25" customHeight="1" x14ac:dyDescent="0.25"/>
    <row r="590" ht="14.25" customHeight="1" x14ac:dyDescent="0.25"/>
    <row r="591" ht="14.25" customHeight="1" x14ac:dyDescent="0.25"/>
    <row r="592" ht="14.25" customHeight="1" x14ac:dyDescent="0.25"/>
    <row r="593" ht="14.25" customHeight="1" x14ac:dyDescent="0.25"/>
    <row r="594" ht="14.25" customHeight="1" x14ac:dyDescent="0.25"/>
    <row r="595" ht="14.25" customHeight="1" x14ac:dyDescent="0.25"/>
    <row r="596" ht="14.25" customHeight="1" x14ac:dyDescent="0.25"/>
    <row r="597" ht="14.25" customHeight="1" x14ac:dyDescent="0.25"/>
    <row r="598" ht="14.25" customHeight="1" x14ac:dyDescent="0.25"/>
    <row r="599" ht="14.25" customHeight="1" x14ac:dyDescent="0.25"/>
    <row r="600" ht="14.25" customHeight="1" x14ac:dyDescent="0.25"/>
    <row r="601" ht="14.25" customHeight="1" x14ac:dyDescent="0.25"/>
    <row r="602" ht="14.25" customHeight="1" x14ac:dyDescent="0.25"/>
    <row r="603" ht="14.25" customHeight="1" x14ac:dyDescent="0.25"/>
    <row r="604" ht="14.25" customHeight="1" x14ac:dyDescent="0.25"/>
    <row r="605" ht="14.25" customHeight="1" x14ac:dyDescent="0.25"/>
    <row r="606" ht="14.25" customHeight="1" x14ac:dyDescent="0.25"/>
    <row r="607" ht="14.25" customHeight="1" x14ac:dyDescent="0.25"/>
    <row r="608" ht="14.25" customHeight="1" x14ac:dyDescent="0.25"/>
    <row r="609" ht="14.25" customHeight="1" x14ac:dyDescent="0.25"/>
    <row r="610" ht="14.25" customHeight="1" x14ac:dyDescent="0.25"/>
    <row r="611" ht="14.25" customHeight="1" x14ac:dyDescent="0.25"/>
    <row r="612" ht="14.25" customHeight="1" x14ac:dyDescent="0.25"/>
    <row r="613" ht="14.25" customHeight="1" x14ac:dyDescent="0.25"/>
    <row r="614" ht="14.25" customHeight="1" x14ac:dyDescent="0.25"/>
    <row r="615" ht="14.25" customHeight="1" x14ac:dyDescent="0.25"/>
    <row r="616" ht="14.25" customHeight="1" x14ac:dyDescent="0.25"/>
    <row r="617" ht="14.25" customHeight="1" x14ac:dyDescent="0.25"/>
    <row r="618" ht="14.25" customHeight="1" x14ac:dyDescent="0.25"/>
    <row r="619" ht="14.25" customHeight="1" x14ac:dyDescent="0.25"/>
    <row r="620" ht="14.25" customHeight="1" x14ac:dyDescent="0.25"/>
    <row r="621" ht="14.25" customHeight="1" x14ac:dyDescent="0.25"/>
    <row r="622" ht="14.25" customHeight="1" x14ac:dyDescent="0.25"/>
    <row r="623" ht="14.25" customHeight="1" x14ac:dyDescent="0.25"/>
    <row r="624" ht="14.25" customHeight="1" x14ac:dyDescent="0.25"/>
    <row r="625" ht="14.25" customHeight="1" x14ac:dyDescent="0.25"/>
    <row r="626" ht="14.25" customHeight="1" x14ac:dyDescent="0.25"/>
    <row r="627" ht="14.25" customHeight="1" x14ac:dyDescent="0.25"/>
    <row r="628" ht="14.25" customHeight="1" x14ac:dyDescent="0.25"/>
    <row r="629" ht="14.25" customHeight="1" x14ac:dyDescent="0.25"/>
    <row r="630" ht="14.25" customHeight="1" x14ac:dyDescent="0.25"/>
    <row r="631" ht="14.25" customHeight="1" x14ac:dyDescent="0.25"/>
    <row r="632" ht="14.25" customHeight="1" x14ac:dyDescent="0.25"/>
    <row r="633" ht="14.25" customHeight="1" x14ac:dyDescent="0.25"/>
    <row r="634" ht="14.25" customHeight="1" x14ac:dyDescent="0.25"/>
    <row r="635" ht="14.25" customHeight="1" x14ac:dyDescent="0.25"/>
    <row r="636" ht="14.25" customHeight="1" x14ac:dyDescent="0.25"/>
    <row r="637" ht="14.25" customHeight="1" x14ac:dyDescent="0.25"/>
    <row r="638" ht="14.25" customHeight="1" x14ac:dyDescent="0.25"/>
    <row r="639" ht="14.25" customHeight="1" x14ac:dyDescent="0.25"/>
    <row r="640" ht="14.25" customHeight="1" x14ac:dyDescent="0.25"/>
    <row r="641" ht="14.25" customHeight="1" x14ac:dyDescent="0.25"/>
    <row r="642" ht="14.25" customHeight="1" x14ac:dyDescent="0.25"/>
    <row r="643" ht="14.25" customHeight="1" x14ac:dyDescent="0.25"/>
    <row r="644" ht="14.25" customHeight="1" x14ac:dyDescent="0.25"/>
    <row r="645" ht="14.25" customHeight="1" x14ac:dyDescent="0.25"/>
    <row r="646" ht="14.25" customHeight="1" x14ac:dyDescent="0.25"/>
    <row r="647" ht="14.25" customHeight="1" x14ac:dyDescent="0.25"/>
    <row r="648" ht="14.25" customHeight="1" x14ac:dyDescent="0.25"/>
    <row r="649" ht="14.25" customHeight="1" x14ac:dyDescent="0.25"/>
    <row r="650" ht="14.25" customHeight="1" x14ac:dyDescent="0.25"/>
    <row r="651" ht="14.25" customHeight="1" x14ac:dyDescent="0.25"/>
    <row r="652" ht="14.25" customHeight="1" x14ac:dyDescent="0.25"/>
    <row r="653" ht="14.25" customHeight="1" x14ac:dyDescent="0.25"/>
    <row r="654" ht="14.25" customHeight="1" x14ac:dyDescent="0.25"/>
    <row r="655" ht="14.25" customHeight="1" x14ac:dyDescent="0.25"/>
    <row r="656" ht="14.25" customHeight="1" x14ac:dyDescent="0.25"/>
    <row r="657" ht="14.25" customHeight="1" x14ac:dyDescent="0.25"/>
    <row r="658" ht="14.25" customHeight="1" x14ac:dyDescent="0.25"/>
    <row r="659" ht="14.25" customHeight="1" x14ac:dyDescent="0.25"/>
    <row r="660" ht="14.25" customHeight="1" x14ac:dyDescent="0.25"/>
    <row r="661" ht="14.25" customHeight="1" x14ac:dyDescent="0.25"/>
    <row r="662" ht="14.25" customHeight="1" x14ac:dyDescent="0.25"/>
    <row r="663" ht="14.25" customHeight="1" x14ac:dyDescent="0.25"/>
    <row r="664" ht="14.25" customHeight="1" x14ac:dyDescent="0.25"/>
    <row r="665" ht="14.25" customHeight="1" x14ac:dyDescent="0.25"/>
    <row r="666" ht="14.25" customHeight="1" x14ac:dyDescent="0.25"/>
    <row r="667" ht="14.25" customHeight="1" x14ac:dyDescent="0.25"/>
    <row r="668" ht="14.25" customHeight="1" x14ac:dyDescent="0.25"/>
    <row r="669" ht="14.25" customHeight="1" x14ac:dyDescent="0.25"/>
    <row r="670" ht="14.25" customHeight="1" x14ac:dyDescent="0.25"/>
    <row r="671" ht="14.25" customHeight="1" x14ac:dyDescent="0.25"/>
    <row r="672" ht="14.25" customHeight="1" x14ac:dyDescent="0.25"/>
    <row r="673" ht="14.25" customHeight="1" x14ac:dyDescent="0.25"/>
    <row r="674" ht="14.25" customHeight="1" x14ac:dyDescent="0.25"/>
    <row r="675" ht="14.25" customHeight="1" x14ac:dyDescent="0.25"/>
    <row r="676" ht="14.25" customHeight="1" x14ac:dyDescent="0.25"/>
    <row r="677" ht="14.25" customHeight="1" x14ac:dyDescent="0.25"/>
    <row r="678" ht="14.25" customHeight="1" x14ac:dyDescent="0.25"/>
    <row r="679" ht="14.25" customHeight="1" x14ac:dyDescent="0.25"/>
    <row r="680" ht="14.25" customHeight="1" x14ac:dyDescent="0.25"/>
    <row r="681" ht="14.25" customHeight="1" x14ac:dyDescent="0.25"/>
    <row r="682" ht="14.25" customHeight="1" x14ac:dyDescent="0.25"/>
    <row r="683" ht="14.25" customHeight="1" x14ac:dyDescent="0.25"/>
    <row r="684" ht="14.25" customHeight="1" x14ac:dyDescent="0.25"/>
    <row r="685" ht="14.25" customHeight="1" x14ac:dyDescent="0.25"/>
    <row r="686" ht="14.25" customHeight="1" x14ac:dyDescent="0.25"/>
    <row r="687" ht="14.25" customHeight="1" x14ac:dyDescent="0.25"/>
    <row r="688" ht="14.25" customHeight="1" x14ac:dyDescent="0.25"/>
    <row r="689" ht="14.25" customHeight="1" x14ac:dyDescent="0.25"/>
    <row r="690" ht="14.25" customHeight="1" x14ac:dyDescent="0.25"/>
    <row r="691" ht="14.25" customHeight="1" x14ac:dyDescent="0.25"/>
    <row r="692" ht="14.25" customHeight="1" x14ac:dyDescent="0.25"/>
    <row r="693" ht="14.25" customHeight="1" x14ac:dyDescent="0.25"/>
    <row r="694" ht="14.25" customHeight="1" x14ac:dyDescent="0.25"/>
    <row r="695" ht="14.25" customHeight="1" x14ac:dyDescent="0.25"/>
    <row r="696" ht="14.25" customHeight="1" x14ac:dyDescent="0.25"/>
    <row r="697" ht="14.25" customHeight="1" x14ac:dyDescent="0.25"/>
    <row r="698" ht="14.25" customHeight="1" x14ac:dyDescent="0.25"/>
    <row r="699" ht="14.25" customHeight="1" x14ac:dyDescent="0.25"/>
    <row r="700" ht="14.25" customHeight="1" x14ac:dyDescent="0.25"/>
    <row r="701" ht="14.25" customHeight="1" x14ac:dyDescent="0.25"/>
    <row r="702" ht="14.25" customHeight="1" x14ac:dyDescent="0.25"/>
    <row r="703" ht="14.25" customHeight="1" x14ac:dyDescent="0.25"/>
    <row r="704" ht="14.25" customHeight="1" x14ac:dyDescent="0.25"/>
    <row r="705" ht="14.25" customHeight="1" x14ac:dyDescent="0.25"/>
    <row r="706" ht="14.25" customHeight="1" x14ac:dyDescent="0.25"/>
    <row r="707" ht="14.25" customHeight="1" x14ac:dyDescent="0.25"/>
    <row r="708" ht="14.25" customHeight="1" x14ac:dyDescent="0.25"/>
    <row r="709" ht="14.25" customHeight="1" x14ac:dyDescent="0.25"/>
    <row r="710" ht="14.25" customHeight="1" x14ac:dyDescent="0.25"/>
    <row r="711" ht="14.25" customHeight="1" x14ac:dyDescent="0.25"/>
    <row r="712" ht="14.25" customHeight="1" x14ac:dyDescent="0.25"/>
    <row r="713" ht="14.25" customHeight="1" x14ac:dyDescent="0.25"/>
    <row r="714" ht="14.25" customHeight="1" x14ac:dyDescent="0.25"/>
    <row r="715" ht="14.25" customHeight="1" x14ac:dyDescent="0.25"/>
    <row r="716" ht="14.25" customHeight="1" x14ac:dyDescent="0.25"/>
    <row r="717" ht="14.25" customHeight="1" x14ac:dyDescent="0.25"/>
    <row r="718" ht="14.25" customHeight="1" x14ac:dyDescent="0.25"/>
    <row r="719" ht="14.25" customHeight="1" x14ac:dyDescent="0.25"/>
    <row r="720" ht="14.25" customHeight="1" x14ac:dyDescent="0.25"/>
    <row r="721" ht="14.25" customHeight="1" x14ac:dyDescent="0.25"/>
    <row r="722" ht="14.25" customHeight="1" x14ac:dyDescent="0.25"/>
    <row r="723" ht="14.25" customHeight="1" x14ac:dyDescent="0.25"/>
    <row r="724" ht="14.25" customHeight="1" x14ac:dyDescent="0.25"/>
    <row r="725" ht="14.25" customHeight="1" x14ac:dyDescent="0.25"/>
    <row r="726" ht="14.25" customHeight="1" x14ac:dyDescent="0.25"/>
    <row r="727" ht="14.25" customHeight="1" x14ac:dyDescent="0.25"/>
    <row r="728" ht="14.25" customHeight="1" x14ac:dyDescent="0.25"/>
    <row r="729" ht="14.25" customHeight="1" x14ac:dyDescent="0.25"/>
    <row r="730" ht="14.25" customHeight="1" x14ac:dyDescent="0.25"/>
    <row r="731" ht="14.25" customHeight="1" x14ac:dyDescent="0.25"/>
    <row r="732" ht="14.25" customHeight="1" x14ac:dyDescent="0.25"/>
    <row r="733" ht="14.25" customHeight="1" x14ac:dyDescent="0.25"/>
    <row r="734" ht="14.25" customHeight="1" x14ac:dyDescent="0.25"/>
    <row r="735" ht="14.25" customHeight="1" x14ac:dyDescent="0.25"/>
    <row r="736" ht="14.25" customHeight="1" x14ac:dyDescent="0.25"/>
    <row r="737" ht="14.25" customHeight="1" x14ac:dyDescent="0.25"/>
    <row r="738" ht="14.25" customHeight="1" x14ac:dyDescent="0.25"/>
    <row r="739" ht="14.25" customHeight="1" x14ac:dyDescent="0.25"/>
    <row r="740" ht="14.25" customHeight="1" x14ac:dyDescent="0.25"/>
    <row r="741" ht="14.25" customHeight="1" x14ac:dyDescent="0.25"/>
    <row r="742" ht="14.25" customHeight="1" x14ac:dyDescent="0.25"/>
    <row r="743" ht="14.25" customHeight="1" x14ac:dyDescent="0.25"/>
    <row r="744" ht="14.25" customHeight="1" x14ac:dyDescent="0.25"/>
    <row r="745" ht="14.25" customHeight="1" x14ac:dyDescent="0.25"/>
    <row r="746" ht="14.25" customHeight="1" x14ac:dyDescent="0.25"/>
    <row r="747" ht="14.25" customHeight="1" x14ac:dyDescent="0.25"/>
    <row r="748" ht="14.25" customHeight="1" x14ac:dyDescent="0.25"/>
    <row r="749" ht="14.25" customHeight="1" x14ac:dyDescent="0.25"/>
    <row r="750" ht="14.25" customHeight="1" x14ac:dyDescent="0.25"/>
    <row r="751" ht="14.25" customHeight="1" x14ac:dyDescent="0.25"/>
    <row r="752" ht="14.25" customHeight="1" x14ac:dyDescent="0.25"/>
    <row r="753" ht="14.25" customHeight="1" x14ac:dyDescent="0.25"/>
    <row r="754" ht="14.25" customHeight="1" x14ac:dyDescent="0.25"/>
    <row r="755" ht="14.25" customHeight="1" x14ac:dyDescent="0.25"/>
    <row r="756" ht="14.25" customHeight="1" x14ac:dyDescent="0.25"/>
    <row r="757" ht="14.25" customHeight="1" x14ac:dyDescent="0.25"/>
    <row r="758" ht="14.25" customHeight="1" x14ac:dyDescent="0.25"/>
    <row r="759" ht="14.25" customHeight="1" x14ac:dyDescent="0.25"/>
    <row r="760" ht="14.25" customHeight="1" x14ac:dyDescent="0.25"/>
    <row r="761" ht="14.25" customHeight="1" x14ac:dyDescent="0.25"/>
    <row r="762" ht="14.25" customHeight="1" x14ac:dyDescent="0.25"/>
    <row r="763" ht="14.25" customHeight="1" x14ac:dyDescent="0.25"/>
    <row r="764" ht="14.25" customHeight="1" x14ac:dyDescent="0.25"/>
    <row r="765" ht="14.25" customHeight="1" x14ac:dyDescent="0.25"/>
    <row r="766" ht="14.25" customHeight="1" x14ac:dyDescent="0.25"/>
    <row r="767" ht="14.25" customHeight="1" x14ac:dyDescent="0.25"/>
    <row r="768" ht="14.25" customHeight="1" x14ac:dyDescent="0.25"/>
    <row r="769" ht="14.25" customHeight="1" x14ac:dyDescent="0.25"/>
    <row r="770" ht="14.25" customHeight="1" x14ac:dyDescent="0.25"/>
    <row r="771" ht="14.25" customHeight="1" x14ac:dyDescent="0.25"/>
    <row r="772" ht="14.25" customHeight="1" x14ac:dyDescent="0.25"/>
    <row r="773" ht="14.25" customHeight="1" x14ac:dyDescent="0.25"/>
    <row r="774" ht="14.25" customHeight="1" x14ac:dyDescent="0.25"/>
    <row r="775" ht="14.25" customHeight="1" x14ac:dyDescent="0.25"/>
    <row r="776" ht="14.25" customHeight="1" x14ac:dyDescent="0.25"/>
    <row r="777" ht="14.25" customHeight="1" x14ac:dyDescent="0.25"/>
    <row r="778" ht="14.25" customHeight="1" x14ac:dyDescent="0.25"/>
    <row r="779" ht="14.25" customHeight="1" x14ac:dyDescent="0.25"/>
    <row r="780" ht="14.25" customHeight="1" x14ac:dyDescent="0.25"/>
    <row r="781" ht="14.25" customHeight="1" x14ac:dyDescent="0.25"/>
    <row r="782" ht="14.25" customHeight="1" x14ac:dyDescent="0.25"/>
    <row r="783" ht="14.25" customHeight="1" x14ac:dyDescent="0.25"/>
    <row r="784" ht="14.25" customHeight="1" x14ac:dyDescent="0.25"/>
    <row r="785" ht="14.25" customHeight="1" x14ac:dyDescent="0.25"/>
    <row r="786" ht="14.25" customHeight="1" x14ac:dyDescent="0.25"/>
    <row r="787" ht="14.25" customHeight="1" x14ac:dyDescent="0.25"/>
    <row r="788" ht="14.25" customHeight="1" x14ac:dyDescent="0.25"/>
    <row r="789" ht="14.25" customHeight="1" x14ac:dyDescent="0.25"/>
    <row r="790" ht="14.25" customHeight="1" x14ac:dyDescent="0.25"/>
    <row r="791" ht="14.25" customHeight="1" x14ac:dyDescent="0.25"/>
    <row r="792" ht="14.25" customHeight="1" x14ac:dyDescent="0.25"/>
    <row r="793" ht="14.25" customHeight="1" x14ac:dyDescent="0.25"/>
    <row r="794" ht="14.25" customHeight="1" x14ac:dyDescent="0.25"/>
    <row r="795" ht="14.25" customHeight="1" x14ac:dyDescent="0.25"/>
    <row r="796" ht="14.25" customHeight="1" x14ac:dyDescent="0.25"/>
    <row r="797" ht="14.25" customHeight="1" x14ac:dyDescent="0.25"/>
    <row r="798" ht="14.25" customHeight="1" x14ac:dyDescent="0.25"/>
    <row r="799" ht="14.25" customHeight="1" x14ac:dyDescent="0.25"/>
    <row r="800" ht="14.25" customHeight="1" x14ac:dyDescent="0.25"/>
    <row r="801" ht="14.25" customHeight="1" x14ac:dyDescent="0.25"/>
    <row r="802" ht="14.25" customHeight="1" x14ac:dyDescent="0.25"/>
    <row r="803" ht="14.25" customHeight="1" x14ac:dyDescent="0.25"/>
    <row r="804" ht="14.25" customHeight="1" x14ac:dyDescent="0.25"/>
    <row r="805" ht="14.25" customHeight="1" x14ac:dyDescent="0.25"/>
    <row r="806" ht="14.25" customHeight="1" x14ac:dyDescent="0.25"/>
    <row r="807" ht="14.25" customHeight="1" x14ac:dyDescent="0.25"/>
    <row r="808" ht="14.25" customHeight="1" x14ac:dyDescent="0.25"/>
    <row r="809" ht="14.25" customHeight="1" x14ac:dyDescent="0.25"/>
    <row r="810" ht="14.25" customHeight="1" x14ac:dyDescent="0.25"/>
    <row r="811" ht="14.25" customHeight="1" x14ac:dyDescent="0.25"/>
    <row r="812" ht="14.25" customHeight="1" x14ac:dyDescent="0.25"/>
    <row r="813" ht="14.25" customHeight="1" x14ac:dyDescent="0.25"/>
    <row r="814" ht="14.25" customHeight="1" x14ac:dyDescent="0.25"/>
    <row r="815" ht="14.25" customHeight="1" x14ac:dyDescent="0.25"/>
    <row r="816" ht="14.25" customHeight="1" x14ac:dyDescent="0.25"/>
    <row r="817" ht="14.25" customHeight="1" x14ac:dyDescent="0.25"/>
    <row r="818" ht="14.25" customHeight="1" x14ac:dyDescent="0.25"/>
    <row r="819" ht="14.25" customHeight="1" x14ac:dyDescent="0.25"/>
    <row r="820" ht="14.25" customHeight="1" x14ac:dyDescent="0.25"/>
    <row r="821" ht="14.25" customHeight="1" x14ac:dyDescent="0.25"/>
    <row r="822" ht="14.25" customHeight="1" x14ac:dyDescent="0.25"/>
    <row r="823" ht="14.25" customHeight="1" x14ac:dyDescent="0.25"/>
    <row r="824" ht="14.25" customHeight="1" x14ac:dyDescent="0.25"/>
    <row r="825" ht="14.25" customHeight="1" x14ac:dyDescent="0.25"/>
    <row r="826" ht="14.25" customHeight="1" x14ac:dyDescent="0.25"/>
    <row r="827" ht="14.25" customHeight="1" x14ac:dyDescent="0.25"/>
    <row r="828" ht="14.25" customHeight="1" x14ac:dyDescent="0.25"/>
    <row r="829" ht="14.25" customHeight="1" x14ac:dyDescent="0.25"/>
    <row r="830" ht="14.25" customHeight="1" x14ac:dyDescent="0.25"/>
    <row r="831" ht="14.25" customHeight="1" x14ac:dyDescent="0.25"/>
    <row r="832" ht="14.25" customHeight="1" x14ac:dyDescent="0.25"/>
    <row r="833" ht="14.25" customHeight="1" x14ac:dyDescent="0.25"/>
    <row r="834" ht="14.25" customHeight="1" x14ac:dyDescent="0.25"/>
    <row r="835" ht="14.25" customHeight="1" x14ac:dyDescent="0.25"/>
    <row r="836" ht="14.25" customHeight="1" x14ac:dyDescent="0.25"/>
    <row r="837" ht="14.25" customHeight="1" x14ac:dyDescent="0.25"/>
    <row r="838" ht="14.25" customHeight="1" x14ac:dyDescent="0.25"/>
    <row r="839" ht="14.25" customHeight="1" x14ac:dyDescent="0.25"/>
    <row r="840" ht="14.25" customHeight="1" x14ac:dyDescent="0.25"/>
    <row r="841" ht="14.25" customHeight="1" x14ac:dyDescent="0.25"/>
    <row r="842" ht="14.25" customHeight="1" x14ac:dyDescent="0.25"/>
    <row r="843" ht="14.25" customHeight="1" x14ac:dyDescent="0.25"/>
    <row r="844" ht="14.25" customHeight="1" x14ac:dyDescent="0.25"/>
    <row r="845" ht="14.25" customHeight="1" x14ac:dyDescent="0.25"/>
    <row r="846" ht="14.25" customHeight="1" x14ac:dyDescent="0.25"/>
    <row r="847" ht="14.25" customHeight="1" x14ac:dyDescent="0.25"/>
    <row r="848" ht="14.25" customHeight="1" x14ac:dyDescent="0.25"/>
    <row r="849" ht="14.25" customHeight="1" x14ac:dyDescent="0.25"/>
    <row r="850" ht="14.25" customHeight="1" x14ac:dyDescent="0.25"/>
    <row r="851" ht="14.25" customHeight="1" x14ac:dyDescent="0.25"/>
    <row r="852" ht="14.25" customHeight="1" x14ac:dyDescent="0.25"/>
    <row r="853" ht="14.25" customHeight="1" x14ac:dyDescent="0.25"/>
    <row r="854" ht="14.25" customHeight="1" x14ac:dyDescent="0.25"/>
    <row r="855" ht="14.25" customHeight="1" x14ac:dyDescent="0.25"/>
    <row r="856" ht="14.25" customHeight="1" x14ac:dyDescent="0.25"/>
    <row r="857" ht="14.25" customHeight="1" x14ac:dyDescent="0.25"/>
    <row r="858" ht="14.25" customHeight="1" x14ac:dyDescent="0.25"/>
    <row r="859" ht="14.25" customHeight="1" x14ac:dyDescent="0.25"/>
    <row r="860" ht="14.25" customHeight="1" x14ac:dyDescent="0.25"/>
    <row r="861" ht="14.25" customHeight="1" x14ac:dyDescent="0.25"/>
    <row r="862" ht="14.25" customHeight="1" x14ac:dyDescent="0.25"/>
    <row r="863" ht="14.25" customHeight="1" x14ac:dyDescent="0.25"/>
    <row r="864" ht="14.25" customHeight="1" x14ac:dyDescent="0.25"/>
    <row r="865" ht="14.25" customHeight="1" x14ac:dyDescent="0.25"/>
    <row r="866" ht="14.25" customHeight="1" x14ac:dyDescent="0.25"/>
    <row r="867" ht="14.25" customHeight="1" x14ac:dyDescent="0.25"/>
    <row r="868" ht="14.25" customHeight="1" x14ac:dyDescent="0.25"/>
    <row r="869" ht="14.25" customHeight="1" x14ac:dyDescent="0.25"/>
    <row r="870" ht="14.25" customHeight="1" x14ac:dyDescent="0.25"/>
    <row r="871" ht="14.25" customHeight="1" x14ac:dyDescent="0.25"/>
    <row r="872" ht="14.25" customHeight="1" x14ac:dyDescent="0.25"/>
    <row r="873" ht="14.25" customHeight="1" x14ac:dyDescent="0.25"/>
    <row r="874" ht="14.25" customHeight="1" x14ac:dyDescent="0.25"/>
    <row r="875" ht="14.25" customHeight="1" x14ac:dyDescent="0.25"/>
    <row r="876" ht="14.25" customHeight="1" x14ac:dyDescent="0.25"/>
    <row r="877" ht="14.25" customHeight="1" x14ac:dyDescent="0.25"/>
    <row r="878" ht="14.25" customHeight="1" x14ac:dyDescent="0.25"/>
    <row r="879" ht="14.25" customHeight="1" x14ac:dyDescent="0.25"/>
    <row r="880" ht="14.25" customHeight="1" x14ac:dyDescent="0.25"/>
    <row r="881" ht="14.25" customHeight="1" x14ac:dyDescent="0.25"/>
    <row r="882" ht="14.25" customHeight="1" x14ac:dyDescent="0.25"/>
    <row r="883" ht="14.25" customHeight="1" x14ac:dyDescent="0.25"/>
    <row r="884" ht="14.25" customHeight="1" x14ac:dyDescent="0.25"/>
    <row r="885" ht="14.25" customHeight="1" x14ac:dyDescent="0.25"/>
    <row r="886" ht="14.25" customHeight="1" x14ac:dyDescent="0.25"/>
    <row r="887" ht="14.25" customHeight="1" x14ac:dyDescent="0.25"/>
    <row r="888" ht="14.25" customHeight="1" x14ac:dyDescent="0.25"/>
    <row r="889" ht="14.25" customHeight="1" x14ac:dyDescent="0.25"/>
    <row r="890" ht="14.25" customHeight="1" x14ac:dyDescent="0.25"/>
    <row r="891" ht="14.25" customHeight="1" x14ac:dyDescent="0.25"/>
    <row r="892" ht="14.25" customHeight="1" x14ac:dyDescent="0.25"/>
    <row r="893" ht="14.25" customHeight="1" x14ac:dyDescent="0.25"/>
    <row r="894" ht="14.25" customHeight="1" x14ac:dyDescent="0.25"/>
    <row r="895" ht="14.25" customHeight="1" x14ac:dyDescent="0.25"/>
    <row r="896" ht="14.25" customHeight="1" x14ac:dyDescent="0.25"/>
    <row r="897" ht="14.25" customHeight="1" x14ac:dyDescent="0.25"/>
    <row r="898" ht="14.25" customHeight="1" x14ac:dyDescent="0.25"/>
    <row r="899" ht="14.25" customHeight="1" x14ac:dyDescent="0.25"/>
    <row r="900" ht="14.25" customHeight="1" x14ac:dyDescent="0.25"/>
    <row r="901" ht="14.25" customHeight="1" x14ac:dyDescent="0.25"/>
    <row r="902" ht="14.25" customHeight="1" x14ac:dyDescent="0.25"/>
    <row r="903" ht="14.25" customHeight="1" x14ac:dyDescent="0.25"/>
    <row r="904" ht="14.25" customHeight="1" x14ac:dyDescent="0.25"/>
    <row r="905" ht="14.25" customHeight="1" x14ac:dyDescent="0.25"/>
    <row r="906" ht="14.25" customHeight="1" x14ac:dyDescent="0.25"/>
    <row r="907" ht="14.25" customHeight="1" x14ac:dyDescent="0.25"/>
    <row r="908" ht="14.25" customHeight="1" x14ac:dyDescent="0.25"/>
    <row r="909" ht="14.25" customHeight="1" x14ac:dyDescent="0.25"/>
    <row r="910" ht="14.25" customHeight="1" x14ac:dyDescent="0.25"/>
    <row r="911" ht="14.25" customHeight="1" x14ac:dyDescent="0.25"/>
    <row r="912" ht="14.25" customHeight="1" x14ac:dyDescent="0.25"/>
    <row r="913" ht="14.25" customHeight="1" x14ac:dyDescent="0.25"/>
    <row r="914" ht="14.25" customHeight="1" x14ac:dyDescent="0.25"/>
    <row r="915" ht="14.25" customHeight="1" x14ac:dyDescent="0.25"/>
    <row r="916" ht="14.25" customHeight="1" x14ac:dyDescent="0.25"/>
    <row r="917" ht="14.25" customHeight="1" x14ac:dyDescent="0.25"/>
    <row r="918" ht="14.25" customHeight="1" x14ac:dyDescent="0.25"/>
    <row r="919" ht="14.25" customHeight="1" x14ac:dyDescent="0.25"/>
    <row r="920" ht="14.25" customHeight="1" x14ac:dyDescent="0.25"/>
    <row r="921" ht="14.25" customHeight="1" x14ac:dyDescent="0.25"/>
    <row r="922" ht="14.25" customHeight="1" x14ac:dyDescent="0.25"/>
    <row r="923" ht="14.25" customHeight="1" x14ac:dyDescent="0.25"/>
    <row r="924" ht="14.25" customHeight="1" x14ac:dyDescent="0.25"/>
    <row r="925" ht="14.25" customHeight="1" x14ac:dyDescent="0.25"/>
    <row r="926" ht="14.25" customHeight="1" x14ac:dyDescent="0.25"/>
    <row r="927" ht="14.25" customHeight="1" x14ac:dyDescent="0.25"/>
    <row r="928" ht="14.25" customHeight="1" x14ac:dyDescent="0.25"/>
    <row r="929" ht="14.25" customHeight="1" x14ac:dyDescent="0.25"/>
    <row r="930" ht="14.25" customHeight="1" x14ac:dyDescent="0.25"/>
    <row r="931" ht="14.25" customHeight="1" x14ac:dyDescent="0.25"/>
    <row r="932" ht="14.25" customHeight="1" x14ac:dyDescent="0.25"/>
    <row r="933" ht="14.25" customHeight="1" x14ac:dyDescent="0.25"/>
    <row r="934" ht="14.25" customHeight="1" x14ac:dyDescent="0.25"/>
    <row r="935" ht="14.25" customHeight="1" x14ac:dyDescent="0.25"/>
    <row r="936" ht="14.25" customHeight="1" x14ac:dyDescent="0.25"/>
    <row r="937" ht="14.25" customHeight="1" x14ac:dyDescent="0.25"/>
    <row r="938" ht="14.25" customHeight="1" x14ac:dyDescent="0.25"/>
    <row r="939" ht="14.25" customHeight="1" x14ac:dyDescent="0.25"/>
    <row r="940" ht="14.25" customHeight="1" x14ac:dyDescent="0.25"/>
    <row r="941" ht="14.25" customHeight="1" x14ac:dyDescent="0.25"/>
    <row r="942" ht="14.25" customHeight="1" x14ac:dyDescent="0.25"/>
    <row r="943" ht="14.25" customHeight="1" x14ac:dyDescent="0.25"/>
    <row r="944" ht="14.25" customHeight="1" x14ac:dyDescent="0.25"/>
    <row r="945" ht="14.25" customHeight="1" x14ac:dyDescent="0.25"/>
    <row r="946" ht="14.25" customHeight="1" x14ac:dyDescent="0.25"/>
    <row r="947" ht="14.25" customHeight="1" x14ac:dyDescent="0.25"/>
    <row r="948" ht="14.25" customHeight="1" x14ac:dyDescent="0.25"/>
    <row r="949" ht="14.25" customHeight="1" x14ac:dyDescent="0.25"/>
    <row r="950" ht="14.25" customHeight="1" x14ac:dyDescent="0.25"/>
    <row r="951" ht="14.25" customHeight="1" x14ac:dyDescent="0.25"/>
    <row r="952" ht="14.25" customHeight="1" x14ac:dyDescent="0.25"/>
    <row r="953" ht="14.25" customHeight="1" x14ac:dyDescent="0.25"/>
    <row r="954" ht="14.25" customHeight="1" x14ac:dyDescent="0.25"/>
    <row r="955" ht="14.25" customHeight="1" x14ac:dyDescent="0.25"/>
    <row r="956" ht="14.25" customHeight="1" x14ac:dyDescent="0.25"/>
    <row r="957" ht="14.25" customHeight="1" x14ac:dyDescent="0.25"/>
    <row r="958" ht="14.25" customHeight="1" x14ac:dyDescent="0.25"/>
    <row r="959" ht="14.25" customHeight="1" x14ac:dyDescent="0.25"/>
    <row r="960" ht="14.25" customHeight="1" x14ac:dyDescent="0.25"/>
    <row r="961" ht="14.25" customHeight="1" x14ac:dyDescent="0.25"/>
    <row r="962" ht="14.25" customHeight="1" x14ac:dyDescent="0.25"/>
    <row r="963" ht="14.25" customHeight="1" x14ac:dyDescent="0.25"/>
    <row r="964" ht="14.25" customHeight="1" x14ac:dyDescent="0.25"/>
    <row r="965" ht="14.25" customHeight="1" x14ac:dyDescent="0.25"/>
    <row r="966" ht="14.25" customHeight="1" x14ac:dyDescent="0.25"/>
    <row r="967" ht="14.25" customHeight="1" x14ac:dyDescent="0.25"/>
    <row r="968" ht="14.25" customHeight="1" x14ac:dyDescent="0.25"/>
    <row r="969" ht="14.25" customHeight="1" x14ac:dyDescent="0.25"/>
    <row r="970" ht="14.25" customHeight="1" x14ac:dyDescent="0.25"/>
    <row r="971" ht="14.25" customHeight="1" x14ac:dyDescent="0.25"/>
    <row r="972" ht="14.25" customHeight="1" x14ac:dyDescent="0.25"/>
    <row r="973" ht="14.25" customHeight="1" x14ac:dyDescent="0.25"/>
    <row r="974" ht="14.25" customHeight="1" x14ac:dyDescent="0.25"/>
    <row r="975" ht="14.25" customHeight="1" x14ac:dyDescent="0.25"/>
    <row r="976" ht="14.25" customHeight="1" x14ac:dyDescent="0.25"/>
    <row r="977" ht="14.25" customHeight="1" x14ac:dyDescent="0.25"/>
    <row r="978" ht="14.25" customHeight="1" x14ac:dyDescent="0.25"/>
    <row r="979" ht="14.25" customHeight="1" x14ac:dyDescent="0.25"/>
    <row r="980" ht="14.25" customHeight="1" x14ac:dyDescent="0.25"/>
    <row r="981" ht="14.25" customHeight="1" x14ac:dyDescent="0.25"/>
    <row r="982" ht="14.25" customHeight="1" x14ac:dyDescent="0.25"/>
    <row r="983" ht="14.25" customHeight="1" x14ac:dyDescent="0.25"/>
    <row r="984" ht="14.25" customHeight="1" x14ac:dyDescent="0.25"/>
    <row r="985" ht="14.25" customHeight="1" x14ac:dyDescent="0.25"/>
    <row r="986" ht="14.25" customHeight="1" x14ac:dyDescent="0.25"/>
    <row r="987" ht="14.25" customHeight="1" x14ac:dyDescent="0.25"/>
    <row r="988" ht="14.25" customHeight="1" x14ac:dyDescent="0.25"/>
    <row r="989" ht="14.25" customHeight="1" x14ac:dyDescent="0.25"/>
    <row r="990" ht="14.25" customHeight="1" x14ac:dyDescent="0.25"/>
    <row r="991" ht="14.25" customHeight="1" x14ac:dyDescent="0.25"/>
    <row r="992" ht="14.25" customHeight="1" x14ac:dyDescent="0.25"/>
    <row r="993" ht="14.25" customHeight="1" x14ac:dyDescent="0.25"/>
    <row r="994" ht="14.25" customHeight="1" x14ac:dyDescent="0.25"/>
    <row r="995" ht="14.25" customHeight="1" x14ac:dyDescent="0.25"/>
    <row r="996" ht="14.25" customHeight="1" x14ac:dyDescent="0.25"/>
    <row r="997" ht="14.25" customHeight="1" x14ac:dyDescent="0.25"/>
    <row r="998" ht="14.25" customHeight="1" x14ac:dyDescent="0.25"/>
    <row r="999" ht="14.25" customHeight="1" x14ac:dyDescent="0.25"/>
    <row r="1000" ht="14.25" customHeight="1" x14ac:dyDescent="0.25"/>
  </sheetData>
  <autoFilter ref="A1:H1" xr:uid="{00000000-0001-0000-0000-000000000000}"/>
  <pageMargins left="0.7" right="0.7" top="0.75" bottom="0.75" header="0" footer="0"/>
  <pageSetup orientation="landscape"/>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outlinePr summaryBelow="0" summaryRight="0"/>
  </sheetPr>
  <dimension ref="B2:P1523"/>
  <sheetViews>
    <sheetView workbookViewId="0">
      <selection activeCell="G8" sqref="G8"/>
    </sheetView>
  </sheetViews>
  <sheetFormatPr defaultColWidth="14.42578125" defaultRowHeight="15" customHeight="1" x14ac:dyDescent="0.25"/>
  <cols>
    <col min="6" max="6" width="14.7109375" bestFit="1" customWidth="1"/>
    <col min="7" max="7" width="17.28515625" bestFit="1" customWidth="1"/>
    <col min="9" max="9" width="18.28515625" bestFit="1" customWidth="1"/>
    <col min="10" max="10" width="17.28515625" bestFit="1" customWidth="1"/>
    <col min="15" max="15" width="17.28515625" bestFit="1" customWidth="1"/>
  </cols>
  <sheetData>
    <row r="2" spans="2:13" ht="15" customHeight="1" x14ac:dyDescent="0.25">
      <c r="B2" s="86" t="s">
        <v>341</v>
      </c>
      <c r="C2" s="87"/>
      <c r="E2" s="92" t="s">
        <v>1596</v>
      </c>
      <c r="F2" s="87"/>
    </row>
    <row r="3" spans="2:13" x14ac:dyDescent="0.25">
      <c r="B3" s="20" t="s">
        <v>320</v>
      </c>
      <c r="C3" s="21">
        <v>50000</v>
      </c>
      <c r="E3" s="20" t="s">
        <v>320</v>
      </c>
      <c r="F3" s="21">
        <v>100000</v>
      </c>
      <c r="I3" s="3"/>
      <c r="J3" s="88" t="s">
        <v>330</v>
      </c>
      <c r="K3" s="89"/>
      <c r="L3" s="90" t="s">
        <v>331</v>
      </c>
      <c r="M3" s="91"/>
    </row>
    <row r="4" spans="2:13" x14ac:dyDescent="0.25">
      <c r="B4" s="20" t="s">
        <v>321</v>
      </c>
      <c r="C4" s="22">
        <v>6500</v>
      </c>
      <c r="E4" s="20" t="s">
        <v>321</v>
      </c>
      <c r="F4" s="22">
        <v>10000</v>
      </c>
      <c r="I4" s="15" t="s">
        <v>332</v>
      </c>
      <c r="J4" s="15" t="s">
        <v>333</v>
      </c>
      <c r="K4" s="15" t="s">
        <v>334</v>
      </c>
      <c r="L4" s="11" t="s">
        <v>333</v>
      </c>
      <c r="M4" s="36" t="s">
        <v>334</v>
      </c>
    </row>
    <row r="5" spans="2:13" x14ac:dyDescent="0.25">
      <c r="B5" s="20" t="s">
        <v>322</v>
      </c>
      <c r="C5" s="22">
        <v>3000</v>
      </c>
      <c r="E5" s="20" t="s">
        <v>322</v>
      </c>
      <c r="F5" s="22">
        <v>25000</v>
      </c>
      <c r="I5" s="14" t="s">
        <v>3</v>
      </c>
      <c r="J5" s="18" t="s">
        <v>11</v>
      </c>
      <c r="K5" s="13">
        <f>IFERROR(VLOOKUP(J5,C9:D37, 2, 0),0)</f>
        <v>32</v>
      </c>
      <c r="L5" s="8"/>
      <c r="M5" s="13">
        <f>IFERROR(VLOOKUP(L5,C9:D37, 2, 0),0)</f>
        <v>0</v>
      </c>
    </row>
    <row r="6" spans="2:13" ht="15" customHeight="1" x14ac:dyDescent="0.25">
      <c r="I6" s="14" t="s">
        <v>2</v>
      </c>
      <c r="J6" s="14" t="s">
        <v>337</v>
      </c>
      <c r="K6" s="13">
        <f>IFERROR(VLOOKUP(J6,C9:D37, 2, 0),0)</f>
        <v>137</v>
      </c>
      <c r="L6" s="10"/>
      <c r="M6" s="13">
        <f>IFERROR(VLOOKUP(L6,C9:D37, 2, 0),0)</f>
        <v>0</v>
      </c>
    </row>
    <row r="7" spans="2:13" ht="15" customHeight="1" x14ac:dyDescent="0.25">
      <c r="I7" s="14" t="s">
        <v>327</v>
      </c>
      <c r="J7" s="14" t="s">
        <v>1602</v>
      </c>
      <c r="K7" s="13">
        <f>IFERROR(VLOOKUP(J7,C9:D37, 2, 0),0)</f>
        <v>0</v>
      </c>
      <c r="L7" s="10"/>
      <c r="M7" s="13">
        <f>IFERROR(VLOOKUP(L7,C9:D37, 2, 0),0)</f>
        <v>0</v>
      </c>
    </row>
    <row r="8" spans="2:13" ht="15" customHeight="1" x14ac:dyDescent="0.25">
      <c r="B8" s="3" t="s">
        <v>332</v>
      </c>
      <c r="C8" s="3" t="s">
        <v>328</v>
      </c>
      <c r="D8" s="3" t="s">
        <v>329</v>
      </c>
      <c r="I8" s="14" t="s">
        <v>5</v>
      </c>
      <c r="J8" s="14"/>
      <c r="K8" s="13">
        <f>IFERROR(VLOOKUP(J8,C9:D37, 2, 0),0)</f>
        <v>0</v>
      </c>
      <c r="L8" s="10"/>
      <c r="M8" s="13">
        <f>IFERROR(VLOOKUP(L8,C9:D37, 2, 0),0)</f>
        <v>0</v>
      </c>
    </row>
    <row r="9" spans="2:13" ht="15" customHeight="1" x14ac:dyDescent="0.25">
      <c r="B9" s="19" t="s">
        <v>3</v>
      </c>
      <c r="C9" s="25" t="s">
        <v>24</v>
      </c>
      <c r="D9" s="4">
        <v>9</v>
      </c>
      <c r="I9" s="15" t="s">
        <v>336</v>
      </c>
      <c r="J9" s="15"/>
      <c r="K9" s="16">
        <f>SUM(K5:K8)</f>
        <v>169</v>
      </c>
      <c r="L9" s="11"/>
      <c r="M9" s="13">
        <f>SUM(M5:M8)</f>
        <v>0</v>
      </c>
    </row>
    <row r="10" spans="2:13" ht="15" customHeight="1" x14ac:dyDescent="0.25">
      <c r="B10" s="19" t="s">
        <v>3</v>
      </c>
      <c r="C10" s="25" t="s">
        <v>11</v>
      </c>
      <c r="D10" s="4">
        <v>32</v>
      </c>
      <c r="I10" s="82" t="s">
        <v>1548</v>
      </c>
      <c r="J10" s="83"/>
      <c r="K10" s="83"/>
      <c r="L10" s="83"/>
      <c r="M10" s="83"/>
    </row>
    <row r="11" spans="2:13" ht="15" customHeight="1" x14ac:dyDescent="0.25">
      <c r="B11" s="19" t="s">
        <v>5</v>
      </c>
      <c r="C11" s="17" t="s">
        <v>339</v>
      </c>
      <c r="D11" s="4">
        <v>0</v>
      </c>
      <c r="I11" s="82" t="s">
        <v>1549</v>
      </c>
      <c r="J11" s="83"/>
      <c r="K11" s="83"/>
      <c r="L11" s="83"/>
      <c r="M11" s="83"/>
    </row>
    <row r="12" spans="2:13" ht="15" customHeight="1" x14ac:dyDescent="0.25">
      <c r="B12" s="19" t="s">
        <v>5</v>
      </c>
      <c r="C12" s="10" t="s">
        <v>13</v>
      </c>
      <c r="D12" s="4">
        <v>21</v>
      </c>
      <c r="I12" s="84" t="s">
        <v>1550</v>
      </c>
      <c r="J12" s="85"/>
      <c r="K12" s="85"/>
      <c r="L12" s="85"/>
      <c r="M12" s="85"/>
    </row>
    <row r="13" spans="2:13" x14ac:dyDescent="0.25">
      <c r="B13" s="19" t="s">
        <v>5</v>
      </c>
      <c r="C13" s="10" t="s">
        <v>43</v>
      </c>
      <c r="D13" s="4">
        <v>25</v>
      </c>
      <c r="I13" s="85"/>
      <c r="J13" s="85"/>
      <c r="K13" s="85"/>
      <c r="L13" s="85"/>
      <c r="M13" s="85"/>
    </row>
    <row r="14" spans="2:13" ht="15" customHeight="1" x14ac:dyDescent="0.25">
      <c r="B14" s="19" t="s">
        <v>5</v>
      </c>
      <c r="C14" s="10" t="s">
        <v>19</v>
      </c>
      <c r="D14" s="4">
        <v>23</v>
      </c>
      <c r="I14" s="80" t="s">
        <v>1551</v>
      </c>
      <c r="J14" s="81"/>
    </row>
    <row r="15" spans="2:13" ht="15" customHeight="1" x14ac:dyDescent="0.25">
      <c r="B15" s="19" t="s">
        <v>5</v>
      </c>
      <c r="C15" s="10" t="s">
        <v>33</v>
      </c>
      <c r="D15" s="4">
        <v>30</v>
      </c>
      <c r="I15" s="27" t="s">
        <v>1546</v>
      </c>
      <c r="J15" s="27" t="s">
        <v>1547</v>
      </c>
    </row>
    <row r="16" spans="2:13" ht="15" customHeight="1" x14ac:dyDescent="0.25">
      <c r="B16" s="19" t="s">
        <v>5</v>
      </c>
      <c r="C16" s="30" t="s">
        <v>1562</v>
      </c>
      <c r="D16" s="4">
        <v>60</v>
      </c>
      <c r="F16" s="44"/>
      <c r="G16" s="45"/>
      <c r="I16" s="28">
        <v>44927</v>
      </c>
      <c r="J16" s="28">
        <v>46752</v>
      </c>
    </row>
    <row r="17" spans="2:16" ht="15" customHeight="1" x14ac:dyDescent="0.25">
      <c r="B17" s="19" t="s">
        <v>2</v>
      </c>
      <c r="C17" s="23" t="s">
        <v>337</v>
      </c>
      <c r="D17" s="12">
        <v>137</v>
      </c>
      <c r="F17" s="45"/>
      <c r="G17" s="45"/>
    </row>
    <row r="18" spans="2:16" ht="15" customHeight="1" x14ac:dyDescent="0.25">
      <c r="B18" s="19" t="s">
        <v>2</v>
      </c>
      <c r="C18" s="24" t="s">
        <v>335</v>
      </c>
      <c r="D18" s="12">
        <v>139</v>
      </c>
    </row>
    <row r="19" spans="2:16" ht="15" customHeight="1" x14ac:dyDescent="0.25">
      <c r="B19" s="19" t="s">
        <v>2</v>
      </c>
      <c r="C19" s="10" t="s">
        <v>10</v>
      </c>
      <c r="D19" s="12">
        <v>143</v>
      </c>
    </row>
    <row r="20" spans="2:16" ht="15" customHeight="1" x14ac:dyDescent="0.25">
      <c r="B20" s="19" t="s">
        <v>2</v>
      </c>
      <c r="C20" s="23" t="s">
        <v>17</v>
      </c>
      <c r="D20" s="12">
        <v>141</v>
      </c>
    </row>
    <row r="21" spans="2:16" ht="15" customHeight="1" x14ac:dyDescent="0.25">
      <c r="B21" s="19" t="s">
        <v>2</v>
      </c>
      <c r="C21" s="24" t="s">
        <v>23</v>
      </c>
      <c r="D21" s="12">
        <v>136</v>
      </c>
    </row>
    <row r="22" spans="2:16" ht="15" customHeight="1" x14ac:dyDescent="0.25">
      <c r="B22" s="19" t="s">
        <v>2</v>
      </c>
      <c r="C22" s="23" t="s">
        <v>342</v>
      </c>
      <c r="D22" s="12">
        <v>134</v>
      </c>
    </row>
    <row r="23" spans="2:16" ht="15" customHeight="1" x14ac:dyDescent="0.25">
      <c r="B23" s="19" t="s">
        <v>2</v>
      </c>
      <c r="C23" s="10" t="s">
        <v>343</v>
      </c>
      <c r="D23" s="12">
        <v>132</v>
      </c>
      <c r="I23" s="31" t="s">
        <v>2</v>
      </c>
      <c r="J23" s="31" t="s">
        <v>3</v>
      </c>
      <c r="K23" s="31" t="s">
        <v>327</v>
      </c>
      <c r="L23" s="31" t="s">
        <v>5</v>
      </c>
    </row>
    <row r="24" spans="2:16" ht="15" customHeight="1" x14ac:dyDescent="0.25">
      <c r="B24" s="19" t="s">
        <v>2</v>
      </c>
      <c r="C24" s="10" t="s">
        <v>344</v>
      </c>
      <c r="D24" s="12">
        <v>131</v>
      </c>
      <c r="I24" s="32" t="s">
        <v>337</v>
      </c>
      <c r="J24" s="32" t="s">
        <v>11</v>
      </c>
      <c r="K24" s="32" t="s">
        <v>12</v>
      </c>
      <c r="L24" s="32" t="s">
        <v>19</v>
      </c>
      <c r="M24">
        <f>_xlfn.XLOOKUP(I24,$C$9:$C$37,$D$9:$D$37,2,0)</f>
        <v>137</v>
      </c>
      <c r="N24">
        <f t="shared" ref="N24:P24" si="0">_xlfn.XLOOKUP(J24,$C$9:$C$37,$D$9:$D$37,2,0)</f>
        <v>32</v>
      </c>
      <c r="O24">
        <f t="shared" si="0"/>
        <v>0</v>
      </c>
      <c r="P24">
        <f t="shared" si="0"/>
        <v>23</v>
      </c>
    </row>
    <row r="25" spans="2:16" ht="15" customHeight="1" x14ac:dyDescent="0.25">
      <c r="B25" s="19" t="s">
        <v>2</v>
      </c>
      <c r="C25" s="10" t="s">
        <v>340</v>
      </c>
      <c r="D25" s="12">
        <v>129</v>
      </c>
      <c r="I25" s="33" t="s">
        <v>338</v>
      </c>
      <c r="J25" s="33" t="s">
        <v>11</v>
      </c>
      <c r="K25" s="33" t="s">
        <v>1552</v>
      </c>
      <c r="L25" s="33" t="s">
        <v>43</v>
      </c>
      <c r="M25">
        <f t="shared" ref="M25:M88" si="1">_xlfn.XLOOKUP(I25,$C$9:$C$37,$D$9:$D$37,2,0)</f>
        <v>135</v>
      </c>
      <c r="N25">
        <f t="shared" ref="N25:N88" si="2">_xlfn.XLOOKUP(J25,$C$9:$C$37,$D$9:$D$37,2,0)</f>
        <v>32</v>
      </c>
      <c r="O25">
        <f t="shared" ref="O25:O88" si="3">_xlfn.XLOOKUP(K25,$C$9:$C$37,$D$9:$D$37,2,0)</f>
        <v>37</v>
      </c>
      <c r="P25">
        <f t="shared" ref="P25:P88" si="4">_xlfn.XLOOKUP(L25,$C$9:$C$37,$D$9:$D$37,2,0)</f>
        <v>25</v>
      </c>
    </row>
    <row r="26" spans="2:16" ht="15" customHeight="1" x14ac:dyDescent="0.25">
      <c r="B26" s="19" t="s">
        <v>2</v>
      </c>
      <c r="C26" s="23" t="s">
        <v>338</v>
      </c>
      <c r="D26" s="12">
        <v>135</v>
      </c>
      <c r="I26" s="32" t="s">
        <v>335</v>
      </c>
      <c r="J26" s="32" t="s">
        <v>24</v>
      </c>
      <c r="K26" s="32" t="s">
        <v>1553</v>
      </c>
      <c r="L26" s="32" t="s">
        <v>339</v>
      </c>
      <c r="M26">
        <f t="shared" si="1"/>
        <v>139</v>
      </c>
      <c r="N26">
        <f t="shared" si="2"/>
        <v>9</v>
      </c>
      <c r="O26">
        <f t="shared" si="3"/>
        <v>39</v>
      </c>
      <c r="P26">
        <f t="shared" si="4"/>
        <v>0</v>
      </c>
    </row>
    <row r="27" spans="2:16" ht="15" customHeight="1" x14ac:dyDescent="0.25">
      <c r="B27" s="19" t="s">
        <v>327</v>
      </c>
      <c r="C27" s="30" t="s">
        <v>12</v>
      </c>
      <c r="D27" s="4">
        <v>0</v>
      </c>
      <c r="I27" s="33" t="s">
        <v>343</v>
      </c>
      <c r="J27" s="33" t="s">
        <v>24</v>
      </c>
      <c r="K27" s="33" t="s">
        <v>1554</v>
      </c>
      <c r="L27" s="33" t="s">
        <v>345</v>
      </c>
      <c r="M27">
        <f t="shared" si="1"/>
        <v>132</v>
      </c>
      <c r="N27">
        <f t="shared" si="2"/>
        <v>9</v>
      </c>
      <c r="O27">
        <f t="shared" si="3"/>
        <v>38</v>
      </c>
      <c r="P27">
        <f t="shared" si="4"/>
        <v>2</v>
      </c>
    </row>
    <row r="28" spans="2:16" ht="15" customHeight="1" x14ac:dyDescent="0.25">
      <c r="B28" s="19" t="s">
        <v>327</v>
      </c>
      <c r="C28" s="29" t="s">
        <v>1552</v>
      </c>
      <c r="D28" s="4">
        <v>37</v>
      </c>
      <c r="I28" s="32" t="s">
        <v>340</v>
      </c>
      <c r="J28" s="32" t="s">
        <v>24</v>
      </c>
      <c r="K28" s="32" t="s">
        <v>1555</v>
      </c>
      <c r="L28" s="32" t="s">
        <v>33</v>
      </c>
      <c r="M28">
        <f t="shared" si="1"/>
        <v>129</v>
      </c>
      <c r="N28">
        <f t="shared" si="2"/>
        <v>9</v>
      </c>
      <c r="O28">
        <f t="shared" si="3"/>
        <v>41</v>
      </c>
      <c r="P28">
        <f t="shared" si="4"/>
        <v>30</v>
      </c>
    </row>
    <row r="29" spans="2:16" ht="15" customHeight="1" x14ac:dyDescent="0.25">
      <c r="B29" s="19" t="s">
        <v>327</v>
      </c>
      <c r="C29" s="29" t="s">
        <v>1553</v>
      </c>
      <c r="D29" s="4">
        <v>39</v>
      </c>
      <c r="I29" s="33" t="s">
        <v>342</v>
      </c>
      <c r="J29" s="33" t="s">
        <v>11</v>
      </c>
      <c r="K29" s="33" t="s">
        <v>1556</v>
      </c>
      <c r="L29" s="33" t="s">
        <v>13</v>
      </c>
      <c r="M29">
        <f t="shared" si="1"/>
        <v>134</v>
      </c>
      <c r="N29">
        <f t="shared" si="2"/>
        <v>32</v>
      </c>
      <c r="O29">
        <f t="shared" si="3"/>
        <v>42</v>
      </c>
      <c r="P29">
        <f t="shared" si="4"/>
        <v>21</v>
      </c>
    </row>
    <row r="30" spans="2:16" ht="15" customHeight="1" x14ac:dyDescent="0.25">
      <c r="B30" s="19" t="s">
        <v>327</v>
      </c>
      <c r="C30" s="29" t="s">
        <v>1554</v>
      </c>
      <c r="D30" s="4">
        <v>38</v>
      </c>
      <c r="I30" s="32" t="s">
        <v>23</v>
      </c>
      <c r="J30" s="32" t="s">
        <v>24</v>
      </c>
      <c r="K30" s="32" t="s">
        <v>1559</v>
      </c>
      <c r="L30" s="32" t="s">
        <v>19</v>
      </c>
      <c r="M30">
        <f t="shared" si="1"/>
        <v>136</v>
      </c>
      <c r="N30">
        <f t="shared" si="2"/>
        <v>9</v>
      </c>
      <c r="O30">
        <f t="shared" si="3"/>
        <v>43</v>
      </c>
      <c r="P30">
        <f t="shared" si="4"/>
        <v>23</v>
      </c>
    </row>
    <row r="31" spans="2:16" ht="15" customHeight="1" x14ac:dyDescent="0.25">
      <c r="B31" s="19" t="s">
        <v>327</v>
      </c>
      <c r="C31" s="29" t="s">
        <v>1555</v>
      </c>
      <c r="D31" s="4">
        <v>41</v>
      </c>
      <c r="I31" s="33" t="s">
        <v>17</v>
      </c>
      <c r="J31" s="33" t="s">
        <v>11</v>
      </c>
      <c r="K31" s="33" t="s">
        <v>1557</v>
      </c>
      <c r="L31" s="33" t="s">
        <v>43</v>
      </c>
      <c r="M31">
        <f t="shared" si="1"/>
        <v>141</v>
      </c>
      <c r="N31">
        <f t="shared" si="2"/>
        <v>32</v>
      </c>
      <c r="O31">
        <f t="shared" si="3"/>
        <v>47</v>
      </c>
      <c r="P31">
        <f t="shared" si="4"/>
        <v>25</v>
      </c>
    </row>
    <row r="32" spans="2:16" ht="15" customHeight="1" x14ac:dyDescent="0.25">
      <c r="B32" s="19" t="s">
        <v>327</v>
      </c>
      <c r="C32" s="29" t="s">
        <v>1556</v>
      </c>
      <c r="D32" s="4">
        <v>42</v>
      </c>
      <c r="I32" s="32" t="s">
        <v>10</v>
      </c>
      <c r="J32" s="32" t="s">
        <v>11</v>
      </c>
      <c r="K32" s="32" t="s">
        <v>1558</v>
      </c>
      <c r="L32" s="32" t="s">
        <v>339</v>
      </c>
      <c r="M32">
        <f t="shared" si="1"/>
        <v>143</v>
      </c>
      <c r="N32">
        <f t="shared" si="2"/>
        <v>32</v>
      </c>
      <c r="O32">
        <f t="shared" si="3"/>
        <v>48</v>
      </c>
      <c r="P32">
        <f t="shared" si="4"/>
        <v>0</v>
      </c>
    </row>
    <row r="33" spans="2:16" ht="15" customHeight="1" x14ac:dyDescent="0.25">
      <c r="B33" s="19" t="s">
        <v>327</v>
      </c>
      <c r="C33" s="29" t="s">
        <v>1559</v>
      </c>
      <c r="D33" s="4">
        <v>43</v>
      </c>
      <c r="I33" s="33" t="s">
        <v>344</v>
      </c>
      <c r="J33" s="33" t="s">
        <v>11</v>
      </c>
      <c r="K33" s="33" t="s">
        <v>1560</v>
      </c>
      <c r="L33" s="33" t="s">
        <v>345</v>
      </c>
      <c r="M33">
        <f t="shared" si="1"/>
        <v>131</v>
      </c>
      <c r="N33">
        <f t="shared" si="2"/>
        <v>32</v>
      </c>
      <c r="O33">
        <f t="shared" si="3"/>
        <v>49</v>
      </c>
      <c r="P33">
        <f t="shared" si="4"/>
        <v>2</v>
      </c>
    </row>
    <row r="34" spans="2:16" ht="15" customHeight="1" x14ac:dyDescent="0.25">
      <c r="B34" s="19" t="s">
        <v>327</v>
      </c>
      <c r="C34" s="29" t="s">
        <v>1557</v>
      </c>
      <c r="D34" s="4">
        <v>47</v>
      </c>
      <c r="I34" s="32" t="s">
        <v>344</v>
      </c>
      <c r="J34" s="32" t="s">
        <v>24</v>
      </c>
      <c r="K34" s="32" t="s">
        <v>1561</v>
      </c>
      <c r="L34" s="32" t="s">
        <v>33</v>
      </c>
      <c r="M34">
        <f t="shared" si="1"/>
        <v>131</v>
      </c>
      <c r="N34">
        <f t="shared" si="2"/>
        <v>9</v>
      </c>
      <c r="O34">
        <f t="shared" si="3"/>
        <v>51</v>
      </c>
      <c r="P34">
        <f t="shared" si="4"/>
        <v>30</v>
      </c>
    </row>
    <row r="35" spans="2:16" ht="15" customHeight="1" x14ac:dyDescent="0.25">
      <c r="B35" s="19" t="s">
        <v>327</v>
      </c>
      <c r="C35" s="29" t="s">
        <v>1558</v>
      </c>
      <c r="D35" s="4">
        <v>48</v>
      </c>
      <c r="I35" s="33" t="s">
        <v>10</v>
      </c>
      <c r="J35" s="33" t="s">
        <v>24</v>
      </c>
      <c r="K35" s="33" t="s">
        <v>1561</v>
      </c>
      <c r="L35" s="33" t="s">
        <v>13</v>
      </c>
      <c r="M35">
        <f t="shared" si="1"/>
        <v>143</v>
      </c>
      <c r="N35">
        <f t="shared" si="2"/>
        <v>9</v>
      </c>
      <c r="O35">
        <f t="shared" si="3"/>
        <v>51</v>
      </c>
      <c r="P35">
        <f t="shared" si="4"/>
        <v>21</v>
      </c>
    </row>
    <row r="36" spans="2:16" ht="15" customHeight="1" x14ac:dyDescent="0.25">
      <c r="B36" s="19" t="s">
        <v>327</v>
      </c>
      <c r="C36" s="29" t="s">
        <v>1560</v>
      </c>
      <c r="D36" s="4">
        <v>49</v>
      </c>
      <c r="F36" s="44"/>
      <c r="G36" s="45"/>
      <c r="I36" s="32" t="s">
        <v>17</v>
      </c>
      <c r="J36" s="32" t="s">
        <v>24</v>
      </c>
      <c r="K36" s="32" t="s">
        <v>1560</v>
      </c>
      <c r="L36" s="32" t="s">
        <v>19</v>
      </c>
      <c r="M36">
        <f t="shared" si="1"/>
        <v>141</v>
      </c>
      <c r="N36">
        <f t="shared" si="2"/>
        <v>9</v>
      </c>
      <c r="O36">
        <f t="shared" si="3"/>
        <v>49</v>
      </c>
      <c r="P36">
        <f t="shared" si="4"/>
        <v>23</v>
      </c>
    </row>
    <row r="37" spans="2:16" ht="15" customHeight="1" x14ac:dyDescent="0.25">
      <c r="B37" s="19" t="s">
        <v>327</v>
      </c>
      <c r="C37" s="29" t="s">
        <v>1561</v>
      </c>
      <c r="D37" s="4">
        <v>51</v>
      </c>
      <c r="F37" s="45"/>
      <c r="G37" s="45"/>
      <c r="I37" s="33" t="s">
        <v>23</v>
      </c>
      <c r="J37" s="33" t="s">
        <v>24</v>
      </c>
      <c r="K37" s="33" t="s">
        <v>1558</v>
      </c>
      <c r="L37" s="33" t="s">
        <v>43</v>
      </c>
      <c r="M37">
        <f t="shared" si="1"/>
        <v>136</v>
      </c>
      <c r="N37">
        <f t="shared" si="2"/>
        <v>9</v>
      </c>
      <c r="O37">
        <f t="shared" si="3"/>
        <v>48</v>
      </c>
      <c r="P37">
        <f t="shared" si="4"/>
        <v>25</v>
      </c>
    </row>
    <row r="38" spans="2:16" ht="15" customHeight="1" x14ac:dyDescent="0.25">
      <c r="I38" s="32" t="s">
        <v>342</v>
      </c>
      <c r="J38" s="32" t="s">
        <v>24</v>
      </c>
      <c r="K38" s="32" t="s">
        <v>1557</v>
      </c>
      <c r="L38" s="32" t="s">
        <v>339</v>
      </c>
      <c r="M38">
        <f t="shared" si="1"/>
        <v>134</v>
      </c>
      <c r="N38">
        <f t="shared" si="2"/>
        <v>9</v>
      </c>
      <c r="O38">
        <f t="shared" si="3"/>
        <v>47</v>
      </c>
      <c r="P38">
        <f t="shared" si="4"/>
        <v>0</v>
      </c>
    </row>
    <row r="39" spans="2:16" ht="15" customHeight="1" x14ac:dyDescent="0.25">
      <c r="I39" s="33" t="s">
        <v>340</v>
      </c>
      <c r="J39" s="33" t="s">
        <v>24</v>
      </c>
      <c r="K39" s="33" t="s">
        <v>1559</v>
      </c>
      <c r="L39" s="33" t="s">
        <v>345</v>
      </c>
      <c r="M39">
        <f t="shared" si="1"/>
        <v>129</v>
      </c>
      <c r="N39">
        <f t="shared" si="2"/>
        <v>9</v>
      </c>
      <c r="O39">
        <f t="shared" si="3"/>
        <v>43</v>
      </c>
      <c r="P39">
        <f t="shared" si="4"/>
        <v>2</v>
      </c>
    </row>
    <row r="40" spans="2:16" ht="15" customHeight="1" x14ac:dyDescent="0.25">
      <c r="I40" s="32" t="s">
        <v>343</v>
      </c>
      <c r="J40" s="32" t="s">
        <v>11</v>
      </c>
      <c r="K40" s="32" t="s">
        <v>1556</v>
      </c>
      <c r="L40" s="32" t="s">
        <v>33</v>
      </c>
      <c r="M40">
        <f t="shared" si="1"/>
        <v>132</v>
      </c>
      <c r="N40">
        <f t="shared" si="2"/>
        <v>32</v>
      </c>
      <c r="O40">
        <f t="shared" si="3"/>
        <v>42</v>
      </c>
      <c r="P40">
        <f t="shared" si="4"/>
        <v>30</v>
      </c>
    </row>
    <row r="41" spans="2:16" ht="15" customHeight="1" x14ac:dyDescent="0.25">
      <c r="I41" s="33" t="s">
        <v>335</v>
      </c>
      <c r="J41" s="33" t="s">
        <v>11</v>
      </c>
      <c r="K41" s="33" t="s">
        <v>1555</v>
      </c>
      <c r="L41" s="33" t="s">
        <v>13</v>
      </c>
      <c r="M41">
        <f t="shared" si="1"/>
        <v>139</v>
      </c>
      <c r="N41">
        <f t="shared" si="2"/>
        <v>32</v>
      </c>
      <c r="O41">
        <f t="shared" si="3"/>
        <v>41</v>
      </c>
      <c r="P41">
        <f t="shared" si="4"/>
        <v>21</v>
      </c>
    </row>
    <row r="42" spans="2:16" ht="15" customHeight="1" x14ac:dyDescent="0.25">
      <c r="I42" s="32" t="s">
        <v>338</v>
      </c>
      <c r="J42" s="32" t="s">
        <v>24</v>
      </c>
      <c r="K42" s="32" t="s">
        <v>1554</v>
      </c>
      <c r="L42" s="32" t="s">
        <v>19</v>
      </c>
      <c r="M42">
        <f t="shared" si="1"/>
        <v>135</v>
      </c>
      <c r="N42">
        <f t="shared" si="2"/>
        <v>9</v>
      </c>
      <c r="O42">
        <f t="shared" si="3"/>
        <v>38</v>
      </c>
      <c r="P42">
        <f t="shared" si="4"/>
        <v>23</v>
      </c>
    </row>
    <row r="43" spans="2:16" ht="15" customHeight="1" x14ac:dyDescent="0.25">
      <c r="I43" s="33" t="s">
        <v>337</v>
      </c>
      <c r="J43" s="33" t="s">
        <v>24</v>
      </c>
      <c r="K43" s="33" t="s">
        <v>1553</v>
      </c>
      <c r="L43" s="33" t="s">
        <v>43</v>
      </c>
      <c r="M43">
        <f t="shared" si="1"/>
        <v>137</v>
      </c>
      <c r="N43">
        <f t="shared" si="2"/>
        <v>9</v>
      </c>
      <c r="O43">
        <f t="shared" si="3"/>
        <v>39</v>
      </c>
      <c r="P43">
        <f t="shared" si="4"/>
        <v>25</v>
      </c>
    </row>
    <row r="44" spans="2:16" ht="15" customHeight="1" x14ac:dyDescent="0.25">
      <c r="I44" s="32" t="s">
        <v>343</v>
      </c>
      <c r="J44" s="32" t="s">
        <v>11</v>
      </c>
      <c r="K44" s="32" t="s">
        <v>1552</v>
      </c>
      <c r="L44" s="32" t="s">
        <v>339</v>
      </c>
      <c r="M44">
        <f t="shared" si="1"/>
        <v>132</v>
      </c>
      <c r="N44">
        <f t="shared" si="2"/>
        <v>32</v>
      </c>
      <c r="O44">
        <f t="shared" si="3"/>
        <v>37</v>
      </c>
      <c r="P44">
        <f t="shared" si="4"/>
        <v>0</v>
      </c>
    </row>
    <row r="45" spans="2:16" ht="15" customHeight="1" x14ac:dyDescent="0.25">
      <c r="I45" s="33" t="s">
        <v>340</v>
      </c>
      <c r="J45" s="33" t="s">
        <v>11</v>
      </c>
      <c r="K45" s="33" t="s">
        <v>12</v>
      </c>
      <c r="L45" s="33" t="s">
        <v>345</v>
      </c>
      <c r="M45">
        <f t="shared" si="1"/>
        <v>129</v>
      </c>
      <c r="N45">
        <f t="shared" si="2"/>
        <v>32</v>
      </c>
      <c r="O45">
        <f t="shared" si="3"/>
        <v>0</v>
      </c>
      <c r="P45">
        <f t="shared" si="4"/>
        <v>2</v>
      </c>
    </row>
    <row r="46" spans="2:16" ht="15" customHeight="1" x14ac:dyDescent="0.25">
      <c r="I46" s="32" t="s">
        <v>10</v>
      </c>
      <c r="J46" s="32" t="s">
        <v>11</v>
      </c>
      <c r="K46" s="32" t="s">
        <v>12</v>
      </c>
      <c r="L46" s="32" t="s">
        <v>33</v>
      </c>
      <c r="M46">
        <f t="shared" si="1"/>
        <v>143</v>
      </c>
      <c r="N46">
        <f t="shared" si="2"/>
        <v>32</v>
      </c>
      <c r="O46">
        <f t="shared" si="3"/>
        <v>0</v>
      </c>
      <c r="P46">
        <f t="shared" si="4"/>
        <v>30</v>
      </c>
    </row>
    <row r="47" spans="2:16" ht="15" customHeight="1" x14ac:dyDescent="0.25">
      <c r="I47" s="33" t="s">
        <v>344</v>
      </c>
      <c r="J47" s="33" t="s">
        <v>24</v>
      </c>
      <c r="K47" s="33" t="s">
        <v>1552</v>
      </c>
      <c r="L47" s="33" t="s">
        <v>13</v>
      </c>
      <c r="M47">
        <f t="shared" si="1"/>
        <v>131</v>
      </c>
      <c r="N47">
        <f t="shared" si="2"/>
        <v>9</v>
      </c>
      <c r="O47">
        <f t="shared" si="3"/>
        <v>37</v>
      </c>
      <c r="P47">
        <f t="shared" si="4"/>
        <v>21</v>
      </c>
    </row>
    <row r="48" spans="2:16" ht="15" customHeight="1" x14ac:dyDescent="0.25">
      <c r="I48" s="32" t="s">
        <v>338</v>
      </c>
      <c r="J48" s="32" t="s">
        <v>11</v>
      </c>
      <c r="K48" s="32" t="s">
        <v>1555</v>
      </c>
      <c r="L48" s="32" t="s">
        <v>19</v>
      </c>
      <c r="M48">
        <f t="shared" si="1"/>
        <v>135</v>
      </c>
      <c r="N48">
        <f t="shared" si="2"/>
        <v>32</v>
      </c>
      <c r="O48">
        <f t="shared" si="3"/>
        <v>41</v>
      </c>
      <c r="P48">
        <f t="shared" si="4"/>
        <v>23</v>
      </c>
    </row>
    <row r="49" spans="9:16" ht="15" customHeight="1" x14ac:dyDescent="0.25">
      <c r="I49" s="33" t="s">
        <v>23</v>
      </c>
      <c r="J49" s="33" t="s">
        <v>11</v>
      </c>
      <c r="K49" s="33" t="s">
        <v>1557</v>
      </c>
      <c r="L49" s="33" t="s">
        <v>43</v>
      </c>
      <c r="M49">
        <f t="shared" si="1"/>
        <v>136</v>
      </c>
      <c r="N49">
        <f t="shared" si="2"/>
        <v>32</v>
      </c>
      <c r="O49">
        <f t="shared" si="3"/>
        <v>47</v>
      </c>
      <c r="P49">
        <f t="shared" si="4"/>
        <v>25</v>
      </c>
    </row>
    <row r="50" spans="9:16" ht="15" customHeight="1" x14ac:dyDescent="0.25">
      <c r="I50" s="32" t="s">
        <v>17</v>
      </c>
      <c r="J50" s="32" t="s">
        <v>24</v>
      </c>
      <c r="K50" s="32" t="s">
        <v>1560</v>
      </c>
      <c r="L50" s="32" t="s">
        <v>339</v>
      </c>
      <c r="M50">
        <f t="shared" si="1"/>
        <v>141</v>
      </c>
      <c r="N50">
        <f t="shared" si="2"/>
        <v>9</v>
      </c>
      <c r="O50">
        <f t="shared" si="3"/>
        <v>49</v>
      </c>
      <c r="P50">
        <f t="shared" si="4"/>
        <v>0</v>
      </c>
    </row>
    <row r="51" spans="9:16" ht="15" customHeight="1" x14ac:dyDescent="0.25">
      <c r="I51" s="33" t="s">
        <v>10</v>
      </c>
      <c r="J51" s="33" t="s">
        <v>11</v>
      </c>
      <c r="K51" s="33" t="s">
        <v>1553</v>
      </c>
      <c r="L51" s="33" t="s">
        <v>345</v>
      </c>
      <c r="M51">
        <f t="shared" si="1"/>
        <v>143</v>
      </c>
      <c r="N51">
        <f t="shared" si="2"/>
        <v>32</v>
      </c>
      <c r="O51">
        <f t="shared" si="3"/>
        <v>39</v>
      </c>
      <c r="P51">
        <f t="shared" si="4"/>
        <v>2</v>
      </c>
    </row>
    <row r="52" spans="9:16" ht="15" customHeight="1" x14ac:dyDescent="0.25">
      <c r="I52" s="32" t="s">
        <v>337</v>
      </c>
      <c r="J52" s="32" t="s">
        <v>24</v>
      </c>
      <c r="K52" s="32" t="s">
        <v>1556</v>
      </c>
      <c r="L52" s="32" t="s">
        <v>33</v>
      </c>
      <c r="M52">
        <f t="shared" si="1"/>
        <v>137</v>
      </c>
      <c r="N52">
        <f t="shared" si="2"/>
        <v>9</v>
      </c>
      <c r="O52">
        <f t="shared" si="3"/>
        <v>42</v>
      </c>
      <c r="P52">
        <f t="shared" si="4"/>
        <v>30</v>
      </c>
    </row>
    <row r="53" spans="9:16" ht="15" customHeight="1" x14ac:dyDescent="0.25">
      <c r="I53" s="33" t="s">
        <v>338</v>
      </c>
      <c r="J53" s="33" t="s">
        <v>11</v>
      </c>
      <c r="K53" s="33" t="s">
        <v>1558</v>
      </c>
      <c r="L53" s="33" t="s">
        <v>13</v>
      </c>
      <c r="M53">
        <f t="shared" si="1"/>
        <v>135</v>
      </c>
      <c r="N53">
        <f t="shared" si="2"/>
        <v>32</v>
      </c>
      <c r="O53">
        <f t="shared" si="3"/>
        <v>48</v>
      </c>
      <c r="P53">
        <f t="shared" si="4"/>
        <v>21</v>
      </c>
    </row>
    <row r="54" spans="9:16" ht="15" customHeight="1" x14ac:dyDescent="0.25">
      <c r="I54" s="32" t="s">
        <v>338</v>
      </c>
      <c r="J54" s="32" t="s">
        <v>24</v>
      </c>
      <c r="K54" s="32" t="s">
        <v>1561</v>
      </c>
      <c r="L54" s="32" t="s">
        <v>19</v>
      </c>
      <c r="M54">
        <f t="shared" si="1"/>
        <v>135</v>
      </c>
      <c r="N54">
        <f t="shared" si="2"/>
        <v>9</v>
      </c>
      <c r="O54">
        <f t="shared" si="3"/>
        <v>51</v>
      </c>
      <c r="P54">
        <f t="shared" si="4"/>
        <v>23</v>
      </c>
    </row>
    <row r="55" spans="9:16" ht="15" customHeight="1" x14ac:dyDescent="0.25">
      <c r="I55" s="33" t="s">
        <v>335</v>
      </c>
      <c r="J55" s="33" t="s">
        <v>11</v>
      </c>
      <c r="K55" s="33" t="s">
        <v>1554</v>
      </c>
      <c r="L55" s="33" t="s">
        <v>43</v>
      </c>
      <c r="M55">
        <f t="shared" si="1"/>
        <v>139</v>
      </c>
      <c r="N55">
        <f t="shared" si="2"/>
        <v>32</v>
      </c>
      <c r="O55">
        <f t="shared" si="3"/>
        <v>38</v>
      </c>
      <c r="P55">
        <f t="shared" si="4"/>
        <v>25</v>
      </c>
    </row>
    <row r="56" spans="9:16" ht="15" customHeight="1" x14ac:dyDescent="0.25">
      <c r="I56" s="32" t="s">
        <v>335</v>
      </c>
      <c r="J56" s="32" t="s">
        <v>24</v>
      </c>
      <c r="K56" s="32" t="s">
        <v>1559</v>
      </c>
      <c r="L56" s="32" t="s">
        <v>339</v>
      </c>
      <c r="M56">
        <f t="shared" si="1"/>
        <v>139</v>
      </c>
      <c r="N56">
        <f t="shared" si="2"/>
        <v>9</v>
      </c>
      <c r="O56">
        <f t="shared" si="3"/>
        <v>43</v>
      </c>
      <c r="P56">
        <f t="shared" si="4"/>
        <v>0</v>
      </c>
    </row>
    <row r="57" spans="9:16" ht="15" customHeight="1" x14ac:dyDescent="0.25">
      <c r="I57" s="33" t="s">
        <v>342</v>
      </c>
      <c r="J57" s="33" t="s">
        <v>24</v>
      </c>
      <c r="K57" s="33" t="s">
        <v>1554</v>
      </c>
      <c r="L57" s="33" t="s">
        <v>345</v>
      </c>
      <c r="M57">
        <f t="shared" si="1"/>
        <v>134</v>
      </c>
      <c r="N57">
        <f t="shared" si="2"/>
        <v>9</v>
      </c>
      <c r="O57">
        <f t="shared" si="3"/>
        <v>38</v>
      </c>
      <c r="P57">
        <f t="shared" si="4"/>
        <v>2</v>
      </c>
    </row>
    <row r="58" spans="9:16" ht="15" customHeight="1" x14ac:dyDescent="0.25">
      <c r="I58" s="32" t="s">
        <v>342</v>
      </c>
      <c r="J58" s="32" t="s">
        <v>24</v>
      </c>
      <c r="K58" s="32" t="s">
        <v>1559</v>
      </c>
      <c r="L58" s="32" t="s">
        <v>33</v>
      </c>
      <c r="M58">
        <f t="shared" si="1"/>
        <v>134</v>
      </c>
      <c r="N58">
        <f t="shared" si="2"/>
        <v>9</v>
      </c>
      <c r="O58">
        <f t="shared" si="3"/>
        <v>43</v>
      </c>
      <c r="P58">
        <f t="shared" si="4"/>
        <v>30</v>
      </c>
    </row>
    <row r="59" spans="9:16" ht="15" customHeight="1" x14ac:dyDescent="0.25">
      <c r="I59" s="33" t="s">
        <v>10</v>
      </c>
      <c r="J59" s="33" t="s">
        <v>11</v>
      </c>
      <c r="K59" s="33" t="s">
        <v>1553</v>
      </c>
      <c r="L59" s="33" t="s">
        <v>13</v>
      </c>
      <c r="M59">
        <f t="shared" si="1"/>
        <v>143</v>
      </c>
      <c r="N59">
        <f t="shared" si="2"/>
        <v>32</v>
      </c>
      <c r="O59">
        <f t="shared" si="3"/>
        <v>39</v>
      </c>
      <c r="P59">
        <f t="shared" si="4"/>
        <v>21</v>
      </c>
    </row>
    <row r="60" spans="9:16" ht="15" customHeight="1" x14ac:dyDescent="0.25">
      <c r="I60" s="32" t="s">
        <v>17</v>
      </c>
      <c r="J60" s="32" t="s">
        <v>24</v>
      </c>
      <c r="K60" s="32" t="s">
        <v>1556</v>
      </c>
      <c r="L60" s="32" t="s">
        <v>19</v>
      </c>
      <c r="M60">
        <f t="shared" si="1"/>
        <v>141</v>
      </c>
      <c r="N60">
        <f t="shared" si="2"/>
        <v>9</v>
      </c>
      <c r="O60">
        <f t="shared" si="3"/>
        <v>42</v>
      </c>
      <c r="P60">
        <f t="shared" si="4"/>
        <v>23</v>
      </c>
    </row>
    <row r="61" spans="9:16" ht="15" customHeight="1" x14ac:dyDescent="0.25">
      <c r="I61" s="33" t="s">
        <v>10</v>
      </c>
      <c r="J61" s="33" t="s">
        <v>11</v>
      </c>
      <c r="K61" s="33" t="s">
        <v>1558</v>
      </c>
      <c r="L61" s="33" t="s">
        <v>43</v>
      </c>
      <c r="M61">
        <f t="shared" si="1"/>
        <v>143</v>
      </c>
      <c r="N61">
        <f t="shared" si="2"/>
        <v>32</v>
      </c>
      <c r="O61">
        <f t="shared" si="3"/>
        <v>48</v>
      </c>
      <c r="P61">
        <f t="shared" si="4"/>
        <v>25</v>
      </c>
    </row>
    <row r="62" spans="9:16" ht="15" customHeight="1" x14ac:dyDescent="0.25">
      <c r="I62" s="32" t="s">
        <v>23</v>
      </c>
      <c r="J62" s="32" t="s">
        <v>24</v>
      </c>
      <c r="K62" s="32" t="s">
        <v>1561</v>
      </c>
      <c r="L62" s="32" t="s">
        <v>339</v>
      </c>
      <c r="M62">
        <f t="shared" si="1"/>
        <v>136</v>
      </c>
      <c r="N62">
        <f t="shared" si="2"/>
        <v>9</v>
      </c>
      <c r="O62">
        <f t="shared" si="3"/>
        <v>51</v>
      </c>
      <c r="P62">
        <f t="shared" si="4"/>
        <v>0</v>
      </c>
    </row>
    <row r="63" spans="9:16" ht="15" customHeight="1" x14ac:dyDescent="0.25">
      <c r="I63" s="33" t="s">
        <v>17</v>
      </c>
      <c r="J63" s="33" t="s">
        <v>11</v>
      </c>
      <c r="K63" s="33" t="s">
        <v>1552</v>
      </c>
      <c r="L63" s="33" t="s">
        <v>345</v>
      </c>
      <c r="M63">
        <f t="shared" si="1"/>
        <v>141</v>
      </c>
      <c r="N63">
        <f t="shared" si="2"/>
        <v>32</v>
      </c>
      <c r="O63">
        <f t="shared" si="3"/>
        <v>37</v>
      </c>
      <c r="P63">
        <f t="shared" si="4"/>
        <v>2</v>
      </c>
    </row>
    <row r="64" spans="9:16" ht="15" customHeight="1" x14ac:dyDescent="0.25">
      <c r="I64" s="32" t="s">
        <v>337</v>
      </c>
      <c r="J64" s="32" t="s">
        <v>24</v>
      </c>
      <c r="K64" s="32" t="s">
        <v>1555</v>
      </c>
      <c r="L64" s="32" t="s">
        <v>33</v>
      </c>
      <c r="M64">
        <f t="shared" si="1"/>
        <v>137</v>
      </c>
      <c r="N64">
        <f t="shared" si="2"/>
        <v>9</v>
      </c>
      <c r="O64">
        <f t="shared" si="3"/>
        <v>41</v>
      </c>
      <c r="P64">
        <f t="shared" si="4"/>
        <v>30</v>
      </c>
    </row>
    <row r="65" spans="9:16" ht="15" customHeight="1" x14ac:dyDescent="0.25">
      <c r="I65" s="33" t="s">
        <v>338</v>
      </c>
      <c r="J65" s="33" t="s">
        <v>11</v>
      </c>
      <c r="K65" s="33" t="s">
        <v>1557</v>
      </c>
      <c r="L65" s="33" t="s">
        <v>13</v>
      </c>
      <c r="M65">
        <f t="shared" si="1"/>
        <v>135</v>
      </c>
      <c r="N65">
        <f t="shared" si="2"/>
        <v>32</v>
      </c>
      <c r="O65">
        <f t="shared" si="3"/>
        <v>47</v>
      </c>
      <c r="P65">
        <f t="shared" si="4"/>
        <v>21</v>
      </c>
    </row>
    <row r="66" spans="9:16" ht="15" customHeight="1" x14ac:dyDescent="0.25">
      <c r="I66" s="32" t="s">
        <v>335</v>
      </c>
      <c r="J66" s="32" t="s">
        <v>11</v>
      </c>
      <c r="K66" s="32" t="s">
        <v>1560</v>
      </c>
      <c r="L66" s="32" t="s">
        <v>19</v>
      </c>
      <c r="M66">
        <f t="shared" si="1"/>
        <v>139</v>
      </c>
      <c r="N66">
        <f t="shared" si="2"/>
        <v>32</v>
      </c>
      <c r="O66">
        <f t="shared" si="3"/>
        <v>49</v>
      </c>
      <c r="P66">
        <f t="shared" si="4"/>
        <v>23</v>
      </c>
    </row>
    <row r="67" spans="9:16" ht="15" customHeight="1" x14ac:dyDescent="0.25">
      <c r="I67" s="33" t="s">
        <v>342</v>
      </c>
      <c r="J67" s="33" t="s">
        <v>24</v>
      </c>
      <c r="K67" s="33" t="s">
        <v>12</v>
      </c>
      <c r="L67" s="33" t="s">
        <v>43</v>
      </c>
      <c r="M67">
        <f t="shared" si="1"/>
        <v>134</v>
      </c>
      <c r="N67">
        <f t="shared" si="2"/>
        <v>9</v>
      </c>
      <c r="O67">
        <f t="shared" si="3"/>
        <v>0</v>
      </c>
      <c r="P67">
        <f t="shared" si="4"/>
        <v>25</v>
      </c>
    </row>
    <row r="68" spans="9:16" ht="15" customHeight="1" x14ac:dyDescent="0.25">
      <c r="I68" s="32" t="s">
        <v>23</v>
      </c>
      <c r="J68" s="32" t="s">
        <v>11</v>
      </c>
      <c r="K68" s="32" t="s">
        <v>12</v>
      </c>
      <c r="L68" s="32" t="s">
        <v>339</v>
      </c>
      <c r="M68">
        <f t="shared" si="1"/>
        <v>136</v>
      </c>
      <c r="N68">
        <f t="shared" si="2"/>
        <v>32</v>
      </c>
      <c r="O68">
        <f t="shared" si="3"/>
        <v>0</v>
      </c>
      <c r="P68">
        <f t="shared" si="4"/>
        <v>0</v>
      </c>
    </row>
    <row r="69" spans="9:16" ht="15" customHeight="1" x14ac:dyDescent="0.25">
      <c r="I69" s="33" t="s">
        <v>17</v>
      </c>
      <c r="J69" s="33" t="s">
        <v>24</v>
      </c>
      <c r="K69" s="33" t="s">
        <v>1552</v>
      </c>
      <c r="L69" s="33" t="s">
        <v>345</v>
      </c>
      <c r="M69">
        <f t="shared" si="1"/>
        <v>141</v>
      </c>
      <c r="N69">
        <f t="shared" si="2"/>
        <v>9</v>
      </c>
      <c r="O69">
        <f t="shared" si="3"/>
        <v>37</v>
      </c>
      <c r="P69">
        <f t="shared" si="4"/>
        <v>2</v>
      </c>
    </row>
    <row r="70" spans="9:16" ht="15" customHeight="1" x14ac:dyDescent="0.25">
      <c r="I70" s="32" t="s">
        <v>10</v>
      </c>
      <c r="J70" s="32" t="s">
        <v>24</v>
      </c>
      <c r="K70" s="32" t="s">
        <v>1553</v>
      </c>
      <c r="L70" s="32" t="s">
        <v>33</v>
      </c>
      <c r="M70">
        <f t="shared" si="1"/>
        <v>143</v>
      </c>
      <c r="N70">
        <f t="shared" si="2"/>
        <v>9</v>
      </c>
      <c r="O70">
        <f t="shared" si="3"/>
        <v>39</v>
      </c>
      <c r="P70">
        <f t="shared" si="4"/>
        <v>30</v>
      </c>
    </row>
    <row r="71" spans="9:16" ht="15" customHeight="1" x14ac:dyDescent="0.25">
      <c r="I71" s="33" t="s">
        <v>343</v>
      </c>
      <c r="J71" s="33" t="s">
        <v>11</v>
      </c>
      <c r="K71" s="33" t="s">
        <v>1554</v>
      </c>
      <c r="L71" s="33" t="s">
        <v>13</v>
      </c>
      <c r="M71">
        <f t="shared" si="1"/>
        <v>132</v>
      </c>
      <c r="N71">
        <f t="shared" si="2"/>
        <v>32</v>
      </c>
      <c r="O71">
        <f t="shared" si="3"/>
        <v>38</v>
      </c>
      <c r="P71">
        <f t="shared" si="4"/>
        <v>21</v>
      </c>
    </row>
    <row r="72" spans="9:16" ht="15" customHeight="1" x14ac:dyDescent="0.25">
      <c r="I72" s="32" t="s">
        <v>340</v>
      </c>
      <c r="J72" s="32" t="s">
        <v>11</v>
      </c>
      <c r="K72" s="32" t="s">
        <v>1555</v>
      </c>
      <c r="L72" s="32" t="s">
        <v>19</v>
      </c>
      <c r="M72">
        <f t="shared" si="1"/>
        <v>129</v>
      </c>
      <c r="N72">
        <f t="shared" si="2"/>
        <v>32</v>
      </c>
      <c r="O72">
        <f t="shared" si="3"/>
        <v>41</v>
      </c>
      <c r="P72">
        <f t="shared" si="4"/>
        <v>23</v>
      </c>
    </row>
    <row r="73" spans="9:16" ht="15" customHeight="1" x14ac:dyDescent="0.25">
      <c r="I73" s="33" t="s">
        <v>344</v>
      </c>
      <c r="J73" s="33" t="s">
        <v>11</v>
      </c>
      <c r="K73" s="33" t="s">
        <v>1556</v>
      </c>
      <c r="L73" s="33" t="s">
        <v>43</v>
      </c>
      <c r="M73">
        <f t="shared" si="1"/>
        <v>131</v>
      </c>
      <c r="N73">
        <f t="shared" si="2"/>
        <v>32</v>
      </c>
      <c r="O73">
        <f t="shared" si="3"/>
        <v>42</v>
      </c>
      <c r="P73">
        <f t="shared" si="4"/>
        <v>25</v>
      </c>
    </row>
    <row r="74" spans="9:16" ht="15" customHeight="1" x14ac:dyDescent="0.25">
      <c r="I74" s="32" t="s">
        <v>335</v>
      </c>
      <c r="J74" s="32" t="s">
        <v>11</v>
      </c>
      <c r="K74" s="32" t="s">
        <v>1559</v>
      </c>
      <c r="L74" s="32" t="s">
        <v>339</v>
      </c>
      <c r="M74">
        <f t="shared" si="1"/>
        <v>139</v>
      </c>
      <c r="N74">
        <f t="shared" si="2"/>
        <v>32</v>
      </c>
      <c r="O74">
        <f t="shared" si="3"/>
        <v>43</v>
      </c>
      <c r="P74">
        <f t="shared" si="4"/>
        <v>0</v>
      </c>
    </row>
    <row r="75" spans="9:16" ht="15" customHeight="1" x14ac:dyDescent="0.25">
      <c r="I75" s="33" t="s">
        <v>343</v>
      </c>
      <c r="J75" s="33" t="s">
        <v>11</v>
      </c>
      <c r="K75" s="33" t="s">
        <v>1557</v>
      </c>
      <c r="L75" s="33" t="s">
        <v>345</v>
      </c>
      <c r="M75">
        <f t="shared" si="1"/>
        <v>132</v>
      </c>
      <c r="N75">
        <f t="shared" si="2"/>
        <v>32</v>
      </c>
      <c r="O75">
        <f t="shared" si="3"/>
        <v>47</v>
      </c>
      <c r="P75">
        <f t="shared" si="4"/>
        <v>2</v>
      </c>
    </row>
    <row r="76" spans="9:16" ht="15" customHeight="1" x14ac:dyDescent="0.25">
      <c r="I76" s="32" t="s">
        <v>340</v>
      </c>
      <c r="J76" s="32" t="s">
        <v>11</v>
      </c>
      <c r="K76" s="32" t="s">
        <v>1558</v>
      </c>
      <c r="L76" s="32" t="s">
        <v>33</v>
      </c>
      <c r="M76">
        <f t="shared" si="1"/>
        <v>129</v>
      </c>
      <c r="N76">
        <f t="shared" si="2"/>
        <v>32</v>
      </c>
      <c r="O76">
        <f t="shared" si="3"/>
        <v>48</v>
      </c>
      <c r="P76">
        <f t="shared" si="4"/>
        <v>30</v>
      </c>
    </row>
    <row r="77" spans="9:16" ht="15" customHeight="1" x14ac:dyDescent="0.25">
      <c r="I77" s="33" t="s">
        <v>344</v>
      </c>
      <c r="J77" s="33" t="s">
        <v>24</v>
      </c>
      <c r="K77" s="33" t="s">
        <v>1560</v>
      </c>
      <c r="L77" s="33" t="s">
        <v>13</v>
      </c>
      <c r="M77">
        <f t="shared" si="1"/>
        <v>131</v>
      </c>
      <c r="N77">
        <f t="shared" si="2"/>
        <v>9</v>
      </c>
      <c r="O77">
        <f t="shared" si="3"/>
        <v>49</v>
      </c>
      <c r="P77">
        <f t="shared" si="4"/>
        <v>21</v>
      </c>
    </row>
    <row r="78" spans="9:16" ht="15" customHeight="1" x14ac:dyDescent="0.25">
      <c r="I78" s="32" t="s">
        <v>337</v>
      </c>
      <c r="J78" s="32" t="s">
        <v>11</v>
      </c>
      <c r="K78" s="32" t="s">
        <v>1561</v>
      </c>
      <c r="L78" s="32" t="s">
        <v>19</v>
      </c>
      <c r="M78">
        <f t="shared" si="1"/>
        <v>137</v>
      </c>
      <c r="N78">
        <f t="shared" si="2"/>
        <v>32</v>
      </c>
      <c r="O78">
        <f t="shared" si="3"/>
        <v>51</v>
      </c>
      <c r="P78">
        <f t="shared" si="4"/>
        <v>23</v>
      </c>
    </row>
    <row r="79" spans="9:16" ht="15" customHeight="1" x14ac:dyDescent="0.25">
      <c r="I79" s="33" t="s">
        <v>338</v>
      </c>
      <c r="J79" s="33" t="s">
        <v>11</v>
      </c>
      <c r="K79" s="33" t="s">
        <v>1561</v>
      </c>
      <c r="L79" s="33" t="s">
        <v>43</v>
      </c>
      <c r="M79">
        <f t="shared" si="1"/>
        <v>135</v>
      </c>
      <c r="N79">
        <f t="shared" si="2"/>
        <v>32</v>
      </c>
      <c r="O79">
        <f t="shared" si="3"/>
        <v>51</v>
      </c>
      <c r="P79">
        <f t="shared" si="4"/>
        <v>25</v>
      </c>
    </row>
    <row r="80" spans="9:16" ht="15" customHeight="1" x14ac:dyDescent="0.25">
      <c r="I80" s="32" t="s">
        <v>335</v>
      </c>
      <c r="J80" s="32" t="s">
        <v>11</v>
      </c>
      <c r="K80" s="32" t="s">
        <v>1560</v>
      </c>
      <c r="L80" s="32" t="s">
        <v>339</v>
      </c>
      <c r="M80">
        <f t="shared" si="1"/>
        <v>139</v>
      </c>
      <c r="N80">
        <f t="shared" si="2"/>
        <v>32</v>
      </c>
      <c r="O80">
        <f t="shared" si="3"/>
        <v>49</v>
      </c>
      <c r="P80">
        <f t="shared" si="4"/>
        <v>0</v>
      </c>
    </row>
    <row r="81" spans="9:16" ht="15" customHeight="1" x14ac:dyDescent="0.25">
      <c r="I81" s="33" t="s">
        <v>343</v>
      </c>
      <c r="J81" s="33" t="s">
        <v>11</v>
      </c>
      <c r="K81" s="33" t="s">
        <v>1558</v>
      </c>
      <c r="L81" s="33" t="s">
        <v>345</v>
      </c>
      <c r="M81">
        <f t="shared" si="1"/>
        <v>132</v>
      </c>
      <c r="N81">
        <f t="shared" si="2"/>
        <v>32</v>
      </c>
      <c r="O81">
        <f t="shared" si="3"/>
        <v>48</v>
      </c>
      <c r="P81">
        <f t="shared" si="4"/>
        <v>2</v>
      </c>
    </row>
    <row r="82" spans="9:16" ht="15" customHeight="1" x14ac:dyDescent="0.25">
      <c r="I82" s="32" t="s">
        <v>340</v>
      </c>
      <c r="J82" s="32" t="s">
        <v>24</v>
      </c>
      <c r="K82" s="32" t="s">
        <v>1557</v>
      </c>
      <c r="L82" s="32" t="s">
        <v>33</v>
      </c>
      <c r="M82">
        <f t="shared" si="1"/>
        <v>129</v>
      </c>
      <c r="N82">
        <f t="shared" si="2"/>
        <v>9</v>
      </c>
      <c r="O82">
        <f t="shared" si="3"/>
        <v>47</v>
      </c>
      <c r="P82">
        <f t="shared" si="4"/>
        <v>30</v>
      </c>
    </row>
    <row r="83" spans="9:16" ht="15" customHeight="1" x14ac:dyDescent="0.25">
      <c r="I83" s="33" t="s">
        <v>342</v>
      </c>
      <c r="J83" s="33" t="s">
        <v>11</v>
      </c>
      <c r="K83" s="33" t="s">
        <v>1559</v>
      </c>
      <c r="L83" s="33" t="s">
        <v>13</v>
      </c>
      <c r="M83">
        <f t="shared" si="1"/>
        <v>134</v>
      </c>
      <c r="N83">
        <f t="shared" si="2"/>
        <v>32</v>
      </c>
      <c r="O83">
        <f t="shared" si="3"/>
        <v>43</v>
      </c>
      <c r="P83">
        <f t="shared" si="4"/>
        <v>21</v>
      </c>
    </row>
    <row r="84" spans="9:16" ht="15" customHeight="1" x14ac:dyDescent="0.25">
      <c r="I84" s="32" t="s">
        <v>23</v>
      </c>
      <c r="J84" s="32" t="s">
        <v>24</v>
      </c>
      <c r="K84" s="32" t="s">
        <v>1556</v>
      </c>
      <c r="L84" s="32" t="s">
        <v>19</v>
      </c>
      <c r="M84">
        <f t="shared" si="1"/>
        <v>136</v>
      </c>
      <c r="N84">
        <f t="shared" si="2"/>
        <v>9</v>
      </c>
      <c r="O84">
        <f t="shared" si="3"/>
        <v>42</v>
      </c>
      <c r="P84">
        <f t="shared" si="4"/>
        <v>23</v>
      </c>
    </row>
    <row r="85" spans="9:16" ht="15" customHeight="1" x14ac:dyDescent="0.25">
      <c r="I85" s="33" t="s">
        <v>17</v>
      </c>
      <c r="J85" s="33" t="s">
        <v>11</v>
      </c>
      <c r="K85" s="33" t="s">
        <v>1555</v>
      </c>
      <c r="L85" s="33" t="s">
        <v>43</v>
      </c>
      <c r="M85">
        <f t="shared" si="1"/>
        <v>141</v>
      </c>
      <c r="N85">
        <f t="shared" si="2"/>
        <v>32</v>
      </c>
      <c r="O85">
        <f t="shared" si="3"/>
        <v>41</v>
      </c>
      <c r="P85">
        <f t="shared" si="4"/>
        <v>25</v>
      </c>
    </row>
    <row r="86" spans="9:16" ht="15" customHeight="1" x14ac:dyDescent="0.25">
      <c r="I86" s="32" t="s">
        <v>10</v>
      </c>
      <c r="J86" s="32" t="s">
        <v>24</v>
      </c>
      <c r="K86" s="32" t="s">
        <v>1554</v>
      </c>
      <c r="L86" s="32" t="s">
        <v>339</v>
      </c>
      <c r="M86">
        <f t="shared" si="1"/>
        <v>143</v>
      </c>
      <c r="N86">
        <f t="shared" si="2"/>
        <v>9</v>
      </c>
      <c r="O86">
        <f t="shared" si="3"/>
        <v>38</v>
      </c>
      <c r="P86">
        <f t="shared" si="4"/>
        <v>0</v>
      </c>
    </row>
    <row r="87" spans="9:16" ht="15" customHeight="1" x14ac:dyDescent="0.25">
      <c r="I87" s="33" t="s">
        <v>344</v>
      </c>
      <c r="J87" s="33" t="s">
        <v>11</v>
      </c>
      <c r="K87" s="33" t="s">
        <v>1553</v>
      </c>
      <c r="L87" s="33" t="s">
        <v>345</v>
      </c>
      <c r="M87">
        <f t="shared" si="1"/>
        <v>131</v>
      </c>
      <c r="N87">
        <f t="shared" si="2"/>
        <v>32</v>
      </c>
      <c r="O87">
        <f t="shared" si="3"/>
        <v>39</v>
      </c>
      <c r="P87">
        <f t="shared" si="4"/>
        <v>2</v>
      </c>
    </row>
    <row r="88" spans="9:16" ht="15" customHeight="1" x14ac:dyDescent="0.25">
      <c r="I88" s="32" t="s">
        <v>344</v>
      </c>
      <c r="J88" s="32" t="s">
        <v>24</v>
      </c>
      <c r="K88" s="32" t="s">
        <v>1552</v>
      </c>
      <c r="L88" s="32" t="s">
        <v>33</v>
      </c>
      <c r="M88">
        <f t="shared" si="1"/>
        <v>131</v>
      </c>
      <c r="N88">
        <f t="shared" si="2"/>
        <v>9</v>
      </c>
      <c r="O88">
        <f t="shared" si="3"/>
        <v>37</v>
      </c>
      <c r="P88">
        <f t="shared" si="4"/>
        <v>30</v>
      </c>
    </row>
    <row r="89" spans="9:16" ht="15" customHeight="1" x14ac:dyDescent="0.25">
      <c r="I89" s="33" t="s">
        <v>10</v>
      </c>
      <c r="J89" s="33" t="s">
        <v>24</v>
      </c>
      <c r="K89" s="33" t="s">
        <v>12</v>
      </c>
      <c r="L89" s="33" t="s">
        <v>13</v>
      </c>
      <c r="M89">
        <f t="shared" ref="M89:M152" si="5">_xlfn.XLOOKUP(I89,$C$9:$C$37,$D$9:$D$37,2,0)</f>
        <v>143</v>
      </c>
      <c r="N89">
        <f t="shared" ref="N89:N152" si="6">_xlfn.XLOOKUP(J89,$C$9:$C$37,$D$9:$D$37,2,0)</f>
        <v>9</v>
      </c>
      <c r="O89">
        <f t="shared" ref="O89:O152" si="7">_xlfn.XLOOKUP(K89,$C$9:$C$37,$D$9:$D$37,2,0)</f>
        <v>0</v>
      </c>
      <c r="P89">
        <f t="shared" ref="P89:P152" si="8">_xlfn.XLOOKUP(L89,$C$9:$C$37,$D$9:$D$37,2,0)</f>
        <v>21</v>
      </c>
    </row>
    <row r="90" spans="9:16" ht="15" customHeight="1" x14ac:dyDescent="0.25">
      <c r="I90" s="32" t="s">
        <v>17</v>
      </c>
      <c r="J90" s="32" t="s">
        <v>24</v>
      </c>
      <c r="K90" s="32" t="s">
        <v>12</v>
      </c>
      <c r="L90" s="32" t="s">
        <v>19</v>
      </c>
      <c r="M90">
        <f t="shared" si="5"/>
        <v>141</v>
      </c>
      <c r="N90">
        <f t="shared" si="6"/>
        <v>9</v>
      </c>
      <c r="O90">
        <f t="shared" si="7"/>
        <v>0</v>
      </c>
      <c r="P90">
        <f t="shared" si="8"/>
        <v>23</v>
      </c>
    </row>
    <row r="91" spans="9:16" ht="15" customHeight="1" x14ac:dyDescent="0.25">
      <c r="I91" s="33" t="s">
        <v>23</v>
      </c>
      <c r="J91" s="33" t="s">
        <v>11</v>
      </c>
      <c r="K91" s="33" t="s">
        <v>1552</v>
      </c>
      <c r="L91" s="33" t="s">
        <v>43</v>
      </c>
      <c r="M91">
        <f t="shared" si="5"/>
        <v>136</v>
      </c>
      <c r="N91">
        <f t="shared" si="6"/>
        <v>32</v>
      </c>
      <c r="O91">
        <f t="shared" si="7"/>
        <v>37</v>
      </c>
      <c r="P91">
        <f t="shared" si="8"/>
        <v>25</v>
      </c>
    </row>
    <row r="92" spans="9:16" ht="15" customHeight="1" x14ac:dyDescent="0.25">
      <c r="I92" s="32" t="s">
        <v>342</v>
      </c>
      <c r="J92" s="32" t="s">
        <v>11</v>
      </c>
      <c r="K92" s="32" t="s">
        <v>1555</v>
      </c>
      <c r="L92" s="32" t="s">
        <v>339</v>
      </c>
      <c r="M92">
        <f t="shared" si="5"/>
        <v>134</v>
      </c>
      <c r="N92">
        <f t="shared" si="6"/>
        <v>32</v>
      </c>
      <c r="O92">
        <f t="shared" si="7"/>
        <v>41</v>
      </c>
      <c r="P92">
        <f t="shared" si="8"/>
        <v>0</v>
      </c>
    </row>
    <row r="93" spans="9:16" ht="15" customHeight="1" x14ac:dyDescent="0.25">
      <c r="I93" s="33" t="s">
        <v>340</v>
      </c>
      <c r="J93" s="33" t="s">
        <v>11</v>
      </c>
      <c r="K93" s="33" t="s">
        <v>1557</v>
      </c>
      <c r="L93" s="33" t="s">
        <v>345</v>
      </c>
      <c r="M93">
        <f t="shared" si="5"/>
        <v>129</v>
      </c>
      <c r="N93">
        <f t="shared" si="6"/>
        <v>32</v>
      </c>
      <c r="O93">
        <f t="shared" si="7"/>
        <v>47</v>
      </c>
      <c r="P93">
        <f t="shared" si="8"/>
        <v>2</v>
      </c>
    </row>
    <row r="94" spans="9:16" ht="15" customHeight="1" x14ac:dyDescent="0.25">
      <c r="I94" s="32" t="s">
        <v>343</v>
      </c>
      <c r="J94" s="32" t="s">
        <v>11</v>
      </c>
      <c r="K94" s="32" t="s">
        <v>1560</v>
      </c>
      <c r="L94" s="32" t="s">
        <v>33</v>
      </c>
      <c r="M94">
        <f t="shared" si="5"/>
        <v>132</v>
      </c>
      <c r="N94">
        <f t="shared" si="6"/>
        <v>32</v>
      </c>
      <c r="O94">
        <f t="shared" si="7"/>
        <v>49</v>
      </c>
      <c r="P94">
        <f t="shared" si="8"/>
        <v>30</v>
      </c>
    </row>
    <row r="95" spans="9:16" ht="15" customHeight="1" x14ac:dyDescent="0.25">
      <c r="I95" s="33" t="s">
        <v>335</v>
      </c>
      <c r="J95" s="33" t="s">
        <v>11</v>
      </c>
      <c r="K95" s="33" t="s">
        <v>1553</v>
      </c>
      <c r="L95" s="33" t="s">
        <v>13</v>
      </c>
      <c r="M95">
        <f t="shared" si="5"/>
        <v>139</v>
      </c>
      <c r="N95">
        <f t="shared" si="6"/>
        <v>32</v>
      </c>
      <c r="O95">
        <f t="shared" si="7"/>
        <v>39</v>
      </c>
      <c r="P95">
        <f t="shared" si="8"/>
        <v>21</v>
      </c>
    </row>
    <row r="96" spans="9:16" ht="15" customHeight="1" x14ac:dyDescent="0.25">
      <c r="I96" s="32" t="s">
        <v>338</v>
      </c>
      <c r="J96" s="32" t="s">
        <v>11</v>
      </c>
      <c r="K96" s="32" t="s">
        <v>1556</v>
      </c>
      <c r="L96" s="32" t="s">
        <v>19</v>
      </c>
      <c r="M96">
        <f t="shared" si="5"/>
        <v>135</v>
      </c>
      <c r="N96">
        <f t="shared" si="6"/>
        <v>32</v>
      </c>
      <c r="O96">
        <f t="shared" si="7"/>
        <v>42</v>
      </c>
      <c r="P96">
        <f t="shared" si="8"/>
        <v>23</v>
      </c>
    </row>
    <row r="97" spans="9:16" ht="15" customHeight="1" x14ac:dyDescent="0.25">
      <c r="I97" s="33" t="s">
        <v>337</v>
      </c>
      <c r="J97" s="33" t="s">
        <v>24</v>
      </c>
      <c r="K97" s="33" t="s">
        <v>1558</v>
      </c>
      <c r="L97" s="33" t="s">
        <v>43</v>
      </c>
      <c r="M97">
        <f t="shared" si="5"/>
        <v>137</v>
      </c>
      <c r="N97">
        <f t="shared" si="6"/>
        <v>9</v>
      </c>
      <c r="O97">
        <f t="shared" si="7"/>
        <v>48</v>
      </c>
      <c r="P97">
        <f t="shared" si="8"/>
        <v>25</v>
      </c>
    </row>
    <row r="98" spans="9:16" ht="15" customHeight="1" x14ac:dyDescent="0.25">
      <c r="I98" s="32" t="s">
        <v>343</v>
      </c>
      <c r="J98" s="32" t="s">
        <v>11</v>
      </c>
      <c r="K98" s="32" t="s">
        <v>1561</v>
      </c>
      <c r="L98" s="32" t="s">
        <v>339</v>
      </c>
      <c r="M98">
        <f t="shared" si="5"/>
        <v>132</v>
      </c>
      <c r="N98">
        <f t="shared" si="6"/>
        <v>32</v>
      </c>
      <c r="O98">
        <f t="shared" si="7"/>
        <v>51</v>
      </c>
      <c r="P98">
        <f t="shared" si="8"/>
        <v>0</v>
      </c>
    </row>
    <row r="99" spans="9:16" ht="15" customHeight="1" x14ac:dyDescent="0.25">
      <c r="I99" s="33" t="s">
        <v>340</v>
      </c>
      <c r="J99" s="33" t="s">
        <v>24</v>
      </c>
      <c r="K99" s="33" t="s">
        <v>1554</v>
      </c>
      <c r="L99" s="33" t="s">
        <v>345</v>
      </c>
      <c r="M99">
        <f t="shared" si="5"/>
        <v>129</v>
      </c>
      <c r="N99">
        <f t="shared" si="6"/>
        <v>9</v>
      </c>
      <c r="O99">
        <f t="shared" si="7"/>
        <v>38</v>
      </c>
      <c r="P99">
        <f t="shared" si="8"/>
        <v>2</v>
      </c>
    </row>
    <row r="100" spans="9:16" ht="15" customHeight="1" x14ac:dyDescent="0.25">
      <c r="I100" s="32" t="s">
        <v>10</v>
      </c>
      <c r="J100" s="32" t="s">
        <v>24</v>
      </c>
      <c r="K100" s="32" t="s">
        <v>1559</v>
      </c>
      <c r="L100" s="32" t="s">
        <v>33</v>
      </c>
      <c r="M100">
        <f t="shared" si="5"/>
        <v>143</v>
      </c>
      <c r="N100">
        <f t="shared" si="6"/>
        <v>9</v>
      </c>
      <c r="O100">
        <f t="shared" si="7"/>
        <v>43</v>
      </c>
      <c r="P100">
        <f t="shared" si="8"/>
        <v>30</v>
      </c>
    </row>
    <row r="101" spans="9:16" ht="15" customHeight="1" x14ac:dyDescent="0.25">
      <c r="I101" s="33" t="s">
        <v>344</v>
      </c>
      <c r="J101" s="33" t="s">
        <v>11</v>
      </c>
      <c r="K101" s="33" t="s">
        <v>1554</v>
      </c>
      <c r="L101" s="33" t="s">
        <v>13</v>
      </c>
      <c r="M101">
        <f t="shared" si="5"/>
        <v>131</v>
      </c>
      <c r="N101">
        <f t="shared" si="6"/>
        <v>32</v>
      </c>
      <c r="O101">
        <f t="shared" si="7"/>
        <v>38</v>
      </c>
      <c r="P101">
        <f t="shared" si="8"/>
        <v>21</v>
      </c>
    </row>
    <row r="102" spans="9:16" ht="15" customHeight="1" x14ac:dyDescent="0.25">
      <c r="I102" s="32" t="s">
        <v>338</v>
      </c>
      <c r="J102" s="32" t="s">
        <v>24</v>
      </c>
      <c r="K102" s="32" t="s">
        <v>1559</v>
      </c>
      <c r="L102" s="32" t="s">
        <v>19</v>
      </c>
      <c r="M102">
        <f t="shared" si="5"/>
        <v>135</v>
      </c>
      <c r="N102">
        <f t="shared" si="6"/>
        <v>9</v>
      </c>
      <c r="O102">
        <f t="shared" si="7"/>
        <v>43</v>
      </c>
      <c r="P102">
        <f t="shared" si="8"/>
        <v>23</v>
      </c>
    </row>
    <row r="103" spans="9:16" ht="15" customHeight="1" x14ac:dyDescent="0.25">
      <c r="I103" s="33" t="s">
        <v>23</v>
      </c>
      <c r="J103" s="33" t="s">
        <v>11</v>
      </c>
      <c r="K103" s="33" t="s">
        <v>1553</v>
      </c>
      <c r="L103" s="33" t="s">
        <v>43</v>
      </c>
      <c r="M103">
        <f t="shared" si="5"/>
        <v>136</v>
      </c>
      <c r="N103">
        <f t="shared" si="6"/>
        <v>32</v>
      </c>
      <c r="O103">
        <f t="shared" si="7"/>
        <v>39</v>
      </c>
      <c r="P103">
        <f t="shared" si="8"/>
        <v>25</v>
      </c>
    </row>
    <row r="104" spans="9:16" ht="15" customHeight="1" x14ac:dyDescent="0.25">
      <c r="I104" s="32" t="s">
        <v>17</v>
      </c>
      <c r="J104" s="32" t="s">
        <v>11</v>
      </c>
      <c r="K104" s="32" t="s">
        <v>1556</v>
      </c>
      <c r="L104" s="32" t="s">
        <v>339</v>
      </c>
      <c r="M104">
        <f t="shared" si="5"/>
        <v>141</v>
      </c>
      <c r="N104">
        <f t="shared" si="6"/>
        <v>32</v>
      </c>
      <c r="O104">
        <f t="shared" si="7"/>
        <v>42</v>
      </c>
      <c r="P104">
        <f t="shared" si="8"/>
        <v>0</v>
      </c>
    </row>
    <row r="105" spans="9:16" ht="15" customHeight="1" x14ac:dyDescent="0.25">
      <c r="I105" s="33" t="s">
        <v>10</v>
      </c>
      <c r="J105" s="33" t="s">
        <v>11</v>
      </c>
      <c r="K105" s="33" t="s">
        <v>1558</v>
      </c>
      <c r="L105" s="33" t="s">
        <v>345</v>
      </c>
      <c r="M105">
        <f t="shared" si="5"/>
        <v>143</v>
      </c>
      <c r="N105">
        <f t="shared" si="6"/>
        <v>32</v>
      </c>
      <c r="O105">
        <f t="shared" si="7"/>
        <v>48</v>
      </c>
      <c r="P105">
        <f t="shared" si="8"/>
        <v>2</v>
      </c>
    </row>
    <row r="106" spans="9:16" ht="15" customHeight="1" x14ac:dyDescent="0.25">
      <c r="I106" s="32" t="s">
        <v>337</v>
      </c>
      <c r="J106" s="32" t="s">
        <v>11</v>
      </c>
      <c r="K106" s="32" t="s">
        <v>1561</v>
      </c>
      <c r="L106" s="32" t="s">
        <v>33</v>
      </c>
      <c r="M106">
        <f t="shared" si="5"/>
        <v>137</v>
      </c>
      <c r="N106">
        <f t="shared" si="6"/>
        <v>32</v>
      </c>
      <c r="O106">
        <f t="shared" si="7"/>
        <v>51</v>
      </c>
      <c r="P106">
        <f t="shared" si="8"/>
        <v>30</v>
      </c>
    </row>
    <row r="107" spans="9:16" ht="15" customHeight="1" x14ac:dyDescent="0.25">
      <c r="I107" s="33" t="s">
        <v>338</v>
      </c>
      <c r="J107" s="33" t="s">
        <v>24</v>
      </c>
      <c r="K107" s="33" t="s">
        <v>1552</v>
      </c>
      <c r="L107" s="33" t="s">
        <v>13</v>
      </c>
      <c r="M107">
        <f t="shared" si="5"/>
        <v>135</v>
      </c>
      <c r="N107">
        <f t="shared" si="6"/>
        <v>9</v>
      </c>
      <c r="O107">
        <f t="shared" si="7"/>
        <v>37</v>
      </c>
      <c r="P107">
        <f t="shared" si="8"/>
        <v>21</v>
      </c>
    </row>
    <row r="108" spans="9:16" ht="15" customHeight="1" x14ac:dyDescent="0.25">
      <c r="I108" s="32" t="s">
        <v>338</v>
      </c>
      <c r="J108" s="32" t="s">
        <v>11</v>
      </c>
      <c r="K108" s="32" t="s">
        <v>1555</v>
      </c>
      <c r="L108" s="32" t="s">
        <v>19</v>
      </c>
      <c r="M108">
        <f t="shared" si="5"/>
        <v>135</v>
      </c>
      <c r="N108">
        <f t="shared" si="6"/>
        <v>32</v>
      </c>
      <c r="O108">
        <f t="shared" si="7"/>
        <v>41</v>
      </c>
      <c r="P108">
        <f t="shared" si="8"/>
        <v>23</v>
      </c>
    </row>
    <row r="109" spans="9:16" ht="15" customHeight="1" x14ac:dyDescent="0.25">
      <c r="I109" s="33" t="s">
        <v>335</v>
      </c>
      <c r="J109" s="33" t="s">
        <v>24</v>
      </c>
      <c r="K109" s="33" t="s">
        <v>1557</v>
      </c>
      <c r="L109" s="33" t="s">
        <v>43</v>
      </c>
      <c r="M109">
        <f t="shared" si="5"/>
        <v>139</v>
      </c>
      <c r="N109">
        <f t="shared" si="6"/>
        <v>9</v>
      </c>
      <c r="O109">
        <f t="shared" si="7"/>
        <v>47</v>
      </c>
      <c r="P109">
        <f t="shared" si="8"/>
        <v>25</v>
      </c>
    </row>
    <row r="110" spans="9:16" ht="15" customHeight="1" x14ac:dyDescent="0.25">
      <c r="I110" s="32" t="s">
        <v>335</v>
      </c>
      <c r="J110" s="32" t="s">
        <v>11</v>
      </c>
      <c r="K110" s="32" t="s">
        <v>1560</v>
      </c>
      <c r="L110" s="32" t="s">
        <v>339</v>
      </c>
      <c r="M110">
        <f t="shared" si="5"/>
        <v>139</v>
      </c>
      <c r="N110">
        <f t="shared" si="6"/>
        <v>32</v>
      </c>
      <c r="O110">
        <f t="shared" si="7"/>
        <v>49</v>
      </c>
      <c r="P110">
        <f t="shared" si="8"/>
        <v>0</v>
      </c>
    </row>
    <row r="111" spans="9:16" ht="15" customHeight="1" x14ac:dyDescent="0.25">
      <c r="I111" s="33" t="s">
        <v>342</v>
      </c>
      <c r="J111" s="33" t="s">
        <v>11</v>
      </c>
      <c r="K111" s="33" t="s">
        <v>12</v>
      </c>
      <c r="L111" s="33" t="s">
        <v>345</v>
      </c>
      <c r="M111">
        <f t="shared" si="5"/>
        <v>134</v>
      </c>
      <c r="N111">
        <f t="shared" si="6"/>
        <v>32</v>
      </c>
      <c r="O111">
        <f t="shared" si="7"/>
        <v>0</v>
      </c>
      <c r="P111">
        <f t="shared" si="8"/>
        <v>2</v>
      </c>
    </row>
    <row r="112" spans="9:16" ht="15" customHeight="1" x14ac:dyDescent="0.25">
      <c r="I112" s="32" t="s">
        <v>342</v>
      </c>
      <c r="J112" s="32" t="s">
        <v>11</v>
      </c>
      <c r="K112" s="32" t="s">
        <v>12</v>
      </c>
      <c r="L112" s="32" t="s">
        <v>33</v>
      </c>
      <c r="M112">
        <f t="shared" si="5"/>
        <v>134</v>
      </c>
      <c r="N112">
        <f t="shared" si="6"/>
        <v>32</v>
      </c>
      <c r="O112">
        <f t="shared" si="7"/>
        <v>0</v>
      </c>
      <c r="P112">
        <f t="shared" si="8"/>
        <v>30</v>
      </c>
    </row>
    <row r="113" spans="9:16" ht="15" customHeight="1" x14ac:dyDescent="0.25">
      <c r="I113" s="33" t="s">
        <v>10</v>
      </c>
      <c r="J113" s="33" t="s">
        <v>24</v>
      </c>
      <c r="K113" s="33" t="s">
        <v>1552</v>
      </c>
      <c r="L113" s="33" t="s">
        <v>13</v>
      </c>
      <c r="M113">
        <f t="shared" si="5"/>
        <v>143</v>
      </c>
      <c r="N113">
        <f t="shared" si="6"/>
        <v>9</v>
      </c>
      <c r="O113">
        <f t="shared" si="7"/>
        <v>37</v>
      </c>
      <c r="P113">
        <f t="shared" si="8"/>
        <v>21</v>
      </c>
    </row>
    <row r="114" spans="9:16" ht="15" customHeight="1" x14ac:dyDescent="0.25">
      <c r="I114" s="32" t="s">
        <v>17</v>
      </c>
      <c r="J114" s="32" t="s">
        <v>11</v>
      </c>
      <c r="K114" s="32" t="s">
        <v>1553</v>
      </c>
      <c r="L114" s="32" t="s">
        <v>19</v>
      </c>
      <c r="M114">
        <f t="shared" si="5"/>
        <v>141</v>
      </c>
      <c r="N114">
        <f t="shared" si="6"/>
        <v>32</v>
      </c>
      <c r="O114">
        <f t="shared" si="7"/>
        <v>39</v>
      </c>
      <c r="P114">
        <f t="shared" si="8"/>
        <v>23</v>
      </c>
    </row>
    <row r="115" spans="9:16" ht="15" customHeight="1" x14ac:dyDescent="0.25">
      <c r="I115" s="33" t="s">
        <v>10</v>
      </c>
      <c r="J115" s="33" t="s">
        <v>11</v>
      </c>
      <c r="K115" s="33" t="s">
        <v>1554</v>
      </c>
      <c r="L115" s="33" t="s">
        <v>43</v>
      </c>
      <c r="M115">
        <f t="shared" si="5"/>
        <v>143</v>
      </c>
      <c r="N115">
        <f t="shared" si="6"/>
        <v>32</v>
      </c>
      <c r="O115">
        <f t="shared" si="7"/>
        <v>38</v>
      </c>
      <c r="P115">
        <f t="shared" si="8"/>
        <v>25</v>
      </c>
    </row>
    <row r="116" spans="9:16" ht="15" customHeight="1" x14ac:dyDescent="0.25">
      <c r="I116" s="32" t="s">
        <v>23</v>
      </c>
      <c r="J116" s="32" t="s">
        <v>11</v>
      </c>
      <c r="K116" s="32" t="s">
        <v>1555</v>
      </c>
      <c r="L116" s="32" t="s">
        <v>339</v>
      </c>
      <c r="M116">
        <f t="shared" si="5"/>
        <v>136</v>
      </c>
      <c r="N116">
        <f t="shared" si="6"/>
        <v>32</v>
      </c>
      <c r="O116">
        <f t="shared" si="7"/>
        <v>41</v>
      </c>
      <c r="P116">
        <f t="shared" si="8"/>
        <v>0</v>
      </c>
    </row>
    <row r="117" spans="9:16" ht="15" customHeight="1" x14ac:dyDescent="0.25">
      <c r="I117" s="33" t="s">
        <v>17</v>
      </c>
      <c r="J117" s="33" t="s">
        <v>11</v>
      </c>
      <c r="K117" s="33" t="s">
        <v>1556</v>
      </c>
      <c r="L117" s="33" t="s">
        <v>345</v>
      </c>
      <c r="M117">
        <f t="shared" si="5"/>
        <v>141</v>
      </c>
      <c r="N117">
        <f t="shared" si="6"/>
        <v>32</v>
      </c>
      <c r="O117">
        <f t="shared" si="7"/>
        <v>42</v>
      </c>
      <c r="P117">
        <f t="shared" si="8"/>
        <v>2</v>
      </c>
    </row>
    <row r="118" spans="9:16" ht="15" customHeight="1" x14ac:dyDescent="0.25">
      <c r="I118" s="32" t="s">
        <v>337</v>
      </c>
      <c r="J118" s="32" t="s">
        <v>24</v>
      </c>
      <c r="K118" s="32" t="s">
        <v>1559</v>
      </c>
      <c r="L118" s="32" t="s">
        <v>33</v>
      </c>
      <c r="M118">
        <f t="shared" si="5"/>
        <v>137</v>
      </c>
      <c r="N118">
        <f t="shared" si="6"/>
        <v>9</v>
      </c>
      <c r="O118">
        <f t="shared" si="7"/>
        <v>43</v>
      </c>
      <c r="P118">
        <f t="shared" si="8"/>
        <v>30</v>
      </c>
    </row>
    <row r="119" spans="9:16" ht="15" customHeight="1" x14ac:dyDescent="0.25">
      <c r="I119" s="33" t="s">
        <v>338</v>
      </c>
      <c r="J119" s="33" t="s">
        <v>11</v>
      </c>
      <c r="K119" s="33" t="s">
        <v>1557</v>
      </c>
      <c r="L119" s="33" t="s">
        <v>13</v>
      </c>
      <c r="M119">
        <f t="shared" si="5"/>
        <v>135</v>
      </c>
      <c r="N119">
        <f t="shared" si="6"/>
        <v>32</v>
      </c>
      <c r="O119">
        <f t="shared" si="7"/>
        <v>47</v>
      </c>
      <c r="P119">
        <f t="shared" si="8"/>
        <v>21</v>
      </c>
    </row>
    <row r="120" spans="9:16" ht="15" customHeight="1" x14ac:dyDescent="0.25">
      <c r="I120" s="32" t="s">
        <v>335</v>
      </c>
      <c r="J120" s="32" t="s">
        <v>24</v>
      </c>
      <c r="K120" s="32" t="s">
        <v>1558</v>
      </c>
      <c r="L120" s="32" t="s">
        <v>19</v>
      </c>
      <c r="M120">
        <f t="shared" si="5"/>
        <v>139</v>
      </c>
      <c r="N120">
        <f t="shared" si="6"/>
        <v>9</v>
      </c>
      <c r="O120">
        <f t="shared" si="7"/>
        <v>48</v>
      </c>
      <c r="P120">
        <f t="shared" si="8"/>
        <v>23</v>
      </c>
    </row>
    <row r="121" spans="9:16" ht="15" customHeight="1" x14ac:dyDescent="0.25">
      <c r="I121" s="33" t="s">
        <v>342</v>
      </c>
      <c r="J121" s="33" t="s">
        <v>11</v>
      </c>
      <c r="K121" s="33" t="s">
        <v>1560</v>
      </c>
      <c r="L121" s="33" t="s">
        <v>43</v>
      </c>
      <c r="M121">
        <f t="shared" si="5"/>
        <v>134</v>
      </c>
      <c r="N121">
        <f t="shared" si="6"/>
        <v>32</v>
      </c>
      <c r="O121">
        <f t="shared" si="7"/>
        <v>49</v>
      </c>
      <c r="P121">
        <f t="shared" si="8"/>
        <v>25</v>
      </c>
    </row>
    <row r="122" spans="9:16" ht="15" customHeight="1" x14ac:dyDescent="0.25">
      <c r="I122" s="32" t="s">
        <v>23</v>
      </c>
      <c r="J122" s="32" t="s">
        <v>11</v>
      </c>
      <c r="K122" s="32" t="s">
        <v>1561</v>
      </c>
      <c r="L122" s="32" t="s">
        <v>339</v>
      </c>
      <c r="M122">
        <f t="shared" si="5"/>
        <v>136</v>
      </c>
      <c r="N122">
        <f t="shared" si="6"/>
        <v>32</v>
      </c>
      <c r="O122">
        <f t="shared" si="7"/>
        <v>51</v>
      </c>
      <c r="P122">
        <f t="shared" si="8"/>
        <v>0</v>
      </c>
    </row>
    <row r="123" spans="9:16" ht="15" customHeight="1" x14ac:dyDescent="0.25">
      <c r="I123" s="33" t="s">
        <v>17</v>
      </c>
      <c r="J123" s="33" t="s">
        <v>11</v>
      </c>
      <c r="K123" s="33" t="s">
        <v>1561</v>
      </c>
      <c r="L123" s="33" t="s">
        <v>345</v>
      </c>
      <c r="M123">
        <f t="shared" si="5"/>
        <v>141</v>
      </c>
      <c r="N123">
        <f t="shared" si="6"/>
        <v>32</v>
      </c>
      <c r="O123">
        <f t="shared" si="7"/>
        <v>51</v>
      </c>
      <c r="P123">
        <f t="shared" si="8"/>
        <v>2</v>
      </c>
    </row>
    <row r="124" spans="9:16" ht="15" customHeight="1" x14ac:dyDescent="0.25">
      <c r="I124" s="32" t="s">
        <v>10</v>
      </c>
      <c r="J124" s="32" t="s">
        <v>24</v>
      </c>
      <c r="K124" s="32" t="s">
        <v>1560</v>
      </c>
      <c r="L124" s="32" t="s">
        <v>33</v>
      </c>
      <c r="M124">
        <f t="shared" si="5"/>
        <v>143</v>
      </c>
      <c r="N124">
        <f t="shared" si="6"/>
        <v>9</v>
      </c>
      <c r="O124">
        <f t="shared" si="7"/>
        <v>49</v>
      </c>
      <c r="P124">
        <f t="shared" si="8"/>
        <v>30</v>
      </c>
    </row>
    <row r="125" spans="9:16" ht="15" customHeight="1" x14ac:dyDescent="0.25">
      <c r="I125" s="33" t="s">
        <v>343</v>
      </c>
      <c r="J125" s="33" t="s">
        <v>11</v>
      </c>
      <c r="K125" s="33" t="s">
        <v>1558</v>
      </c>
      <c r="L125" s="33" t="s">
        <v>13</v>
      </c>
      <c r="M125">
        <f t="shared" si="5"/>
        <v>132</v>
      </c>
      <c r="N125">
        <f t="shared" si="6"/>
        <v>32</v>
      </c>
      <c r="O125">
        <f t="shared" si="7"/>
        <v>48</v>
      </c>
      <c r="P125">
        <f t="shared" si="8"/>
        <v>21</v>
      </c>
    </row>
    <row r="126" spans="9:16" ht="15" customHeight="1" x14ac:dyDescent="0.25">
      <c r="I126" s="32" t="s">
        <v>340</v>
      </c>
      <c r="J126" s="32" t="s">
        <v>24</v>
      </c>
      <c r="K126" s="32" t="s">
        <v>1557</v>
      </c>
      <c r="L126" s="32" t="s">
        <v>19</v>
      </c>
      <c r="M126">
        <f t="shared" si="5"/>
        <v>129</v>
      </c>
      <c r="N126">
        <f t="shared" si="6"/>
        <v>9</v>
      </c>
      <c r="O126">
        <f t="shared" si="7"/>
        <v>47</v>
      </c>
      <c r="P126">
        <f t="shared" si="8"/>
        <v>23</v>
      </c>
    </row>
    <row r="127" spans="9:16" ht="15" customHeight="1" x14ac:dyDescent="0.25">
      <c r="I127" s="33" t="s">
        <v>344</v>
      </c>
      <c r="J127" s="33" t="s">
        <v>11</v>
      </c>
      <c r="K127" s="33" t="s">
        <v>1559</v>
      </c>
      <c r="L127" s="33" t="s">
        <v>43</v>
      </c>
      <c r="M127">
        <f t="shared" si="5"/>
        <v>131</v>
      </c>
      <c r="N127">
        <f t="shared" si="6"/>
        <v>32</v>
      </c>
      <c r="O127">
        <f t="shared" si="7"/>
        <v>43</v>
      </c>
      <c r="P127">
        <f t="shared" si="8"/>
        <v>25</v>
      </c>
    </row>
    <row r="128" spans="9:16" ht="15" customHeight="1" x14ac:dyDescent="0.25">
      <c r="I128" s="32" t="s">
        <v>335</v>
      </c>
      <c r="J128" s="32" t="s">
        <v>24</v>
      </c>
      <c r="K128" s="32" t="s">
        <v>1556</v>
      </c>
      <c r="L128" s="32" t="s">
        <v>339</v>
      </c>
      <c r="M128">
        <f t="shared" si="5"/>
        <v>139</v>
      </c>
      <c r="N128">
        <f t="shared" si="6"/>
        <v>9</v>
      </c>
      <c r="O128">
        <f t="shared" si="7"/>
        <v>42</v>
      </c>
      <c r="P128">
        <f t="shared" si="8"/>
        <v>0</v>
      </c>
    </row>
    <row r="129" spans="9:16" ht="15" customHeight="1" x14ac:dyDescent="0.25">
      <c r="I129" s="33" t="s">
        <v>343</v>
      </c>
      <c r="J129" s="33" t="s">
        <v>11</v>
      </c>
      <c r="K129" s="33" t="s">
        <v>1555</v>
      </c>
      <c r="L129" s="33" t="s">
        <v>345</v>
      </c>
      <c r="M129">
        <f t="shared" si="5"/>
        <v>132</v>
      </c>
      <c r="N129">
        <f t="shared" si="6"/>
        <v>32</v>
      </c>
      <c r="O129">
        <f t="shared" si="7"/>
        <v>41</v>
      </c>
      <c r="P129">
        <f t="shared" si="8"/>
        <v>2</v>
      </c>
    </row>
    <row r="130" spans="9:16" ht="15" customHeight="1" x14ac:dyDescent="0.25">
      <c r="I130" s="32" t="s">
        <v>340</v>
      </c>
      <c r="J130" s="32" t="s">
        <v>24</v>
      </c>
      <c r="K130" s="32" t="s">
        <v>1554</v>
      </c>
      <c r="L130" s="32" t="s">
        <v>33</v>
      </c>
      <c r="M130">
        <f t="shared" si="5"/>
        <v>129</v>
      </c>
      <c r="N130">
        <f t="shared" si="6"/>
        <v>9</v>
      </c>
      <c r="O130">
        <f t="shared" si="7"/>
        <v>38</v>
      </c>
      <c r="P130">
        <f t="shared" si="8"/>
        <v>30</v>
      </c>
    </row>
    <row r="131" spans="9:16" ht="15" customHeight="1" x14ac:dyDescent="0.25">
      <c r="I131" s="33" t="s">
        <v>344</v>
      </c>
      <c r="J131" s="33" t="s">
        <v>11</v>
      </c>
      <c r="K131" s="33" t="s">
        <v>1553</v>
      </c>
      <c r="L131" s="33" t="s">
        <v>13</v>
      </c>
      <c r="M131">
        <f t="shared" si="5"/>
        <v>131</v>
      </c>
      <c r="N131">
        <f t="shared" si="6"/>
        <v>32</v>
      </c>
      <c r="O131">
        <f t="shared" si="7"/>
        <v>39</v>
      </c>
      <c r="P131">
        <f t="shared" si="8"/>
        <v>21</v>
      </c>
    </row>
    <row r="132" spans="9:16" ht="15" customHeight="1" x14ac:dyDescent="0.25">
      <c r="I132" s="32" t="s">
        <v>337</v>
      </c>
      <c r="J132" s="32" t="s">
        <v>24</v>
      </c>
      <c r="K132" s="32" t="s">
        <v>1552</v>
      </c>
      <c r="L132" s="32" t="s">
        <v>19</v>
      </c>
      <c r="M132">
        <f t="shared" si="5"/>
        <v>137</v>
      </c>
      <c r="N132">
        <f t="shared" si="6"/>
        <v>9</v>
      </c>
      <c r="O132">
        <f t="shared" si="7"/>
        <v>37</v>
      </c>
      <c r="P132">
        <f t="shared" si="8"/>
        <v>23</v>
      </c>
    </row>
    <row r="133" spans="9:16" ht="15" customHeight="1" x14ac:dyDescent="0.25">
      <c r="I133" s="33" t="s">
        <v>338</v>
      </c>
      <c r="J133" s="33" t="s">
        <v>11</v>
      </c>
      <c r="K133" s="33" t="s">
        <v>12</v>
      </c>
      <c r="L133" s="33" t="s">
        <v>43</v>
      </c>
      <c r="M133">
        <f t="shared" si="5"/>
        <v>135</v>
      </c>
      <c r="N133">
        <f t="shared" si="6"/>
        <v>32</v>
      </c>
      <c r="O133">
        <f t="shared" si="7"/>
        <v>0</v>
      </c>
      <c r="P133">
        <f t="shared" si="8"/>
        <v>25</v>
      </c>
    </row>
    <row r="134" spans="9:16" ht="15" customHeight="1" x14ac:dyDescent="0.25">
      <c r="I134" s="32" t="s">
        <v>335</v>
      </c>
      <c r="J134" s="32" t="s">
        <v>24</v>
      </c>
      <c r="K134" s="32" t="s">
        <v>12</v>
      </c>
      <c r="L134" s="32" t="s">
        <v>339</v>
      </c>
      <c r="M134">
        <f t="shared" si="5"/>
        <v>139</v>
      </c>
      <c r="N134">
        <f t="shared" si="6"/>
        <v>9</v>
      </c>
      <c r="O134">
        <f t="shared" si="7"/>
        <v>0</v>
      </c>
      <c r="P134">
        <f t="shared" si="8"/>
        <v>0</v>
      </c>
    </row>
    <row r="135" spans="9:16" ht="15" customHeight="1" x14ac:dyDescent="0.25">
      <c r="I135" s="33" t="s">
        <v>343</v>
      </c>
      <c r="J135" s="33" t="s">
        <v>11</v>
      </c>
      <c r="K135" s="33" t="s">
        <v>1552</v>
      </c>
      <c r="L135" s="33" t="s">
        <v>345</v>
      </c>
      <c r="M135">
        <f t="shared" si="5"/>
        <v>132</v>
      </c>
      <c r="N135">
        <f t="shared" si="6"/>
        <v>32</v>
      </c>
      <c r="O135">
        <f t="shared" si="7"/>
        <v>37</v>
      </c>
      <c r="P135">
        <f t="shared" si="8"/>
        <v>2</v>
      </c>
    </row>
    <row r="136" spans="9:16" ht="15" customHeight="1" x14ac:dyDescent="0.25">
      <c r="I136" s="32" t="s">
        <v>340</v>
      </c>
      <c r="J136" s="32" t="s">
        <v>24</v>
      </c>
      <c r="K136" s="32" t="s">
        <v>1555</v>
      </c>
      <c r="L136" s="32" t="s">
        <v>33</v>
      </c>
      <c r="M136">
        <f t="shared" si="5"/>
        <v>129</v>
      </c>
      <c r="N136">
        <f t="shared" si="6"/>
        <v>9</v>
      </c>
      <c r="O136">
        <f t="shared" si="7"/>
        <v>41</v>
      </c>
      <c r="P136">
        <f t="shared" si="8"/>
        <v>30</v>
      </c>
    </row>
    <row r="137" spans="9:16" ht="15" customHeight="1" x14ac:dyDescent="0.25">
      <c r="I137" s="33" t="s">
        <v>342</v>
      </c>
      <c r="J137" s="33" t="s">
        <v>11</v>
      </c>
      <c r="K137" s="33" t="s">
        <v>1557</v>
      </c>
      <c r="L137" s="33" t="s">
        <v>13</v>
      </c>
      <c r="M137">
        <f t="shared" si="5"/>
        <v>134</v>
      </c>
      <c r="N137">
        <f t="shared" si="6"/>
        <v>32</v>
      </c>
      <c r="O137">
        <f t="shared" si="7"/>
        <v>47</v>
      </c>
      <c r="P137">
        <f t="shared" si="8"/>
        <v>21</v>
      </c>
    </row>
    <row r="138" spans="9:16" ht="15" customHeight="1" x14ac:dyDescent="0.25">
      <c r="I138" s="32" t="s">
        <v>23</v>
      </c>
      <c r="J138" s="32" t="s">
        <v>24</v>
      </c>
      <c r="K138" s="32" t="s">
        <v>1560</v>
      </c>
      <c r="L138" s="32" t="s">
        <v>19</v>
      </c>
      <c r="M138">
        <f t="shared" si="5"/>
        <v>136</v>
      </c>
      <c r="N138">
        <f t="shared" si="6"/>
        <v>9</v>
      </c>
      <c r="O138">
        <f t="shared" si="7"/>
        <v>49</v>
      </c>
      <c r="P138">
        <f t="shared" si="8"/>
        <v>23</v>
      </c>
    </row>
    <row r="139" spans="9:16" ht="15" customHeight="1" x14ac:dyDescent="0.25">
      <c r="I139" s="33" t="s">
        <v>17</v>
      </c>
      <c r="J139" s="33" t="s">
        <v>11</v>
      </c>
      <c r="K139" s="33" t="s">
        <v>1553</v>
      </c>
      <c r="L139" s="33" t="s">
        <v>43</v>
      </c>
      <c r="M139">
        <f t="shared" si="5"/>
        <v>141</v>
      </c>
      <c r="N139">
        <f t="shared" si="6"/>
        <v>32</v>
      </c>
      <c r="O139">
        <f t="shared" si="7"/>
        <v>39</v>
      </c>
      <c r="P139">
        <f t="shared" si="8"/>
        <v>25</v>
      </c>
    </row>
    <row r="140" spans="9:16" ht="15" customHeight="1" x14ac:dyDescent="0.25">
      <c r="I140" s="32" t="s">
        <v>10</v>
      </c>
      <c r="J140" s="32" t="s">
        <v>24</v>
      </c>
      <c r="K140" s="32" t="s">
        <v>1556</v>
      </c>
      <c r="L140" s="32" t="s">
        <v>339</v>
      </c>
      <c r="M140">
        <f t="shared" si="5"/>
        <v>143</v>
      </c>
      <c r="N140">
        <f t="shared" si="6"/>
        <v>9</v>
      </c>
      <c r="O140">
        <f t="shared" si="7"/>
        <v>42</v>
      </c>
      <c r="P140">
        <f t="shared" si="8"/>
        <v>0</v>
      </c>
    </row>
    <row r="141" spans="9:16" ht="15" customHeight="1" x14ac:dyDescent="0.25">
      <c r="I141" s="33" t="s">
        <v>344</v>
      </c>
      <c r="J141" s="33" t="s">
        <v>11</v>
      </c>
      <c r="K141" s="33" t="s">
        <v>1558</v>
      </c>
      <c r="L141" s="33" t="s">
        <v>345</v>
      </c>
      <c r="M141">
        <f t="shared" si="5"/>
        <v>131</v>
      </c>
      <c r="N141">
        <f t="shared" si="6"/>
        <v>32</v>
      </c>
      <c r="O141">
        <f t="shared" si="7"/>
        <v>48</v>
      </c>
      <c r="P141">
        <f t="shared" si="8"/>
        <v>2</v>
      </c>
    </row>
    <row r="142" spans="9:16" ht="15" customHeight="1" x14ac:dyDescent="0.25">
      <c r="I142" s="32" t="s">
        <v>344</v>
      </c>
      <c r="J142" s="32" t="s">
        <v>24</v>
      </c>
      <c r="K142" s="32" t="s">
        <v>1561</v>
      </c>
      <c r="L142" s="32" t="s">
        <v>33</v>
      </c>
      <c r="M142">
        <f t="shared" si="5"/>
        <v>131</v>
      </c>
      <c r="N142">
        <f t="shared" si="6"/>
        <v>9</v>
      </c>
      <c r="O142">
        <f t="shared" si="7"/>
        <v>51</v>
      </c>
      <c r="P142">
        <f t="shared" si="8"/>
        <v>30</v>
      </c>
    </row>
    <row r="143" spans="9:16" ht="15" customHeight="1" x14ac:dyDescent="0.25">
      <c r="I143" s="33" t="s">
        <v>10</v>
      </c>
      <c r="J143" s="33" t="s">
        <v>11</v>
      </c>
      <c r="K143" s="33" t="s">
        <v>1554</v>
      </c>
      <c r="L143" s="33" t="s">
        <v>13</v>
      </c>
      <c r="M143">
        <f t="shared" si="5"/>
        <v>143</v>
      </c>
      <c r="N143">
        <f t="shared" si="6"/>
        <v>32</v>
      </c>
      <c r="O143">
        <f t="shared" si="7"/>
        <v>38</v>
      </c>
      <c r="P143">
        <f t="shared" si="8"/>
        <v>21</v>
      </c>
    </row>
    <row r="144" spans="9:16" ht="15" customHeight="1" x14ac:dyDescent="0.25">
      <c r="I144" s="32" t="s">
        <v>17</v>
      </c>
      <c r="J144" s="32" t="s">
        <v>24</v>
      </c>
      <c r="K144" s="32" t="s">
        <v>1559</v>
      </c>
      <c r="L144" s="32" t="s">
        <v>19</v>
      </c>
      <c r="M144">
        <f t="shared" si="5"/>
        <v>141</v>
      </c>
      <c r="N144">
        <f t="shared" si="6"/>
        <v>9</v>
      </c>
      <c r="O144">
        <f t="shared" si="7"/>
        <v>43</v>
      </c>
      <c r="P144">
        <f t="shared" si="8"/>
        <v>23</v>
      </c>
    </row>
    <row r="145" spans="9:16" ht="15" customHeight="1" x14ac:dyDescent="0.25">
      <c r="I145" s="33" t="s">
        <v>23</v>
      </c>
      <c r="J145" s="33" t="s">
        <v>11</v>
      </c>
      <c r="K145" s="33" t="s">
        <v>1554</v>
      </c>
      <c r="L145" s="33" t="s">
        <v>43</v>
      </c>
      <c r="M145">
        <f t="shared" si="5"/>
        <v>136</v>
      </c>
      <c r="N145">
        <f t="shared" si="6"/>
        <v>32</v>
      </c>
      <c r="O145">
        <f t="shared" si="7"/>
        <v>38</v>
      </c>
      <c r="P145">
        <f t="shared" si="8"/>
        <v>25</v>
      </c>
    </row>
    <row r="146" spans="9:16" ht="15" customHeight="1" x14ac:dyDescent="0.25">
      <c r="I146" s="32" t="s">
        <v>342</v>
      </c>
      <c r="J146" s="32" t="s">
        <v>24</v>
      </c>
      <c r="K146" s="32" t="s">
        <v>1559</v>
      </c>
      <c r="L146" s="32" t="s">
        <v>339</v>
      </c>
      <c r="M146">
        <f t="shared" si="5"/>
        <v>134</v>
      </c>
      <c r="N146">
        <f t="shared" si="6"/>
        <v>9</v>
      </c>
      <c r="O146">
        <f t="shared" si="7"/>
        <v>43</v>
      </c>
      <c r="P146">
        <f t="shared" si="8"/>
        <v>0</v>
      </c>
    </row>
    <row r="147" spans="9:16" ht="15" customHeight="1" x14ac:dyDescent="0.25">
      <c r="I147" s="33" t="s">
        <v>340</v>
      </c>
      <c r="J147" s="33" t="s">
        <v>11</v>
      </c>
      <c r="K147" s="33" t="s">
        <v>1553</v>
      </c>
      <c r="L147" s="33" t="s">
        <v>345</v>
      </c>
      <c r="M147">
        <f t="shared" si="5"/>
        <v>129</v>
      </c>
      <c r="N147">
        <f t="shared" si="6"/>
        <v>32</v>
      </c>
      <c r="O147">
        <f t="shared" si="7"/>
        <v>39</v>
      </c>
      <c r="P147">
        <f t="shared" si="8"/>
        <v>2</v>
      </c>
    </row>
    <row r="148" spans="9:16" ht="15" customHeight="1" x14ac:dyDescent="0.25">
      <c r="I148" s="32" t="s">
        <v>343</v>
      </c>
      <c r="J148" s="32" t="s">
        <v>24</v>
      </c>
      <c r="K148" s="32" t="s">
        <v>1556</v>
      </c>
      <c r="L148" s="32" t="s">
        <v>33</v>
      </c>
      <c r="M148">
        <f t="shared" si="5"/>
        <v>132</v>
      </c>
      <c r="N148">
        <f t="shared" si="6"/>
        <v>9</v>
      </c>
      <c r="O148">
        <f t="shared" si="7"/>
        <v>42</v>
      </c>
      <c r="P148">
        <f t="shared" si="8"/>
        <v>30</v>
      </c>
    </row>
    <row r="149" spans="9:16" ht="15" customHeight="1" x14ac:dyDescent="0.25">
      <c r="I149" s="33" t="s">
        <v>335</v>
      </c>
      <c r="J149" s="33" t="s">
        <v>11</v>
      </c>
      <c r="K149" s="33" t="s">
        <v>1558</v>
      </c>
      <c r="L149" s="33" t="s">
        <v>13</v>
      </c>
      <c r="M149">
        <f t="shared" si="5"/>
        <v>139</v>
      </c>
      <c r="N149">
        <f t="shared" si="6"/>
        <v>32</v>
      </c>
      <c r="O149">
        <f t="shared" si="7"/>
        <v>48</v>
      </c>
      <c r="P149">
        <f t="shared" si="8"/>
        <v>21</v>
      </c>
    </row>
    <row r="150" spans="9:16" ht="15" customHeight="1" x14ac:dyDescent="0.25">
      <c r="I150" s="32" t="s">
        <v>338</v>
      </c>
      <c r="J150" s="32" t="s">
        <v>24</v>
      </c>
      <c r="K150" s="32" t="s">
        <v>1561</v>
      </c>
      <c r="L150" s="32" t="s">
        <v>19</v>
      </c>
      <c r="M150">
        <f t="shared" si="5"/>
        <v>135</v>
      </c>
      <c r="N150">
        <f t="shared" si="6"/>
        <v>9</v>
      </c>
      <c r="O150">
        <f t="shared" si="7"/>
        <v>51</v>
      </c>
      <c r="P150">
        <f t="shared" si="8"/>
        <v>23</v>
      </c>
    </row>
    <row r="151" spans="9:16" ht="15" customHeight="1" x14ac:dyDescent="0.25">
      <c r="I151" s="33" t="s">
        <v>337</v>
      </c>
      <c r="J151" s="33" t="s">
        <v>11</v>
      </c>
      <c r="K151" s="33" t="s">
        <v>1552</v>
      </c>
      <c r="L151" s="33" t="s">
        <v>43</v>
      </c>
      <c r="M151">
        <f t="shared" si="5"/>
        <v>137</v>
      </c>
      <c r="N151">
        <f t="shared" si="6"/>
        <v>32</v>
      </c>
      <c r="O151">
        <f t="shared" si="7"/>
        <v>37</v>
      </c>
      <c r="P151">
        <f t="shared" si="8"/>
        <v>25</v>
      </c>
    </row>
    <row r="152" spans="9:16" ht="15" customHeight="1" x14ac:dyDescent="0.25">
      <c r="I152" s="32" t="s">
        <v>343</v>
      </c>
      <c r="J152" s="32" t="s">
        <v>11</v>
      </c>
      <c r="K152" s="32" t="s">
        <v>1555</v>
      </c>
      <c r="L152" s="32" t="s">
        <v>339</v>
      </c>
      <c r="M152">
        <f t="shared" si="5"/>
        <v>132</v>
      </c>
      <c r="N152">
        <f t="shared" si="6"/>
        <v>32</v>
      </c>
      <c r="O152">
        <f t="shared" si="7"/>
        <v>41</v>
      </c>
      <c r="P152">
        <f t="shared" si="8"/>
        <v>0</v>
      </c>
    </row>
    <row r="153" spans="9:16" ht="15" customHeight="1" x14ac:dyDescent="0.25">
      <c r="I153" s="33" t="s">
        <v>340</v>
      </c>
      <c r="J153" s="33" t="s">
        <v>11</v>
      </c>
      <c r="K153" s="33" t="s">
        <v>1557</v>
      </c>
      <c r="L153" s="33" t="s">
        <v>345</v>
      </c>
      <c r="M153">
        <f t="shared" ref="M153:M216" si="9">_xlfn.XLOOKUP(I153,$C$9:$C$37,$D$9:$D$37,2,0)</f>
        <v>129</v>
      </c>
      <c r="N153">
        <f t="shared" ref="N153:N216" si="10">_xlfn.XLOOKUP(J153,$C$9:$C$37,$D$9:$D$37,2,0)</f>
        <v>32</v>
      </c>
      <c r="O153">
        <f t="shared" ref="O153:O216" si="11">_xlfn.XLOOKUP(K153,$C$9:$C$37,$D$9:$D$37,2,0)</f>
        <v>47</v>
      </c>
      <c r="P153">
        <f t="shared" ref="P153:P216" si="12">_xlfn.XLOOKUP(L153,$C$9:$C$37,$D$9:$D$37,2,0)</f>
        <v>2</v>
      </c>
    </row>
    <row r="154" spans="9:16" ht="15" customHeight="1" x14ac:dyDescent="0.25">
      <c r="I154" s="32" t="s">
        <v>10</v>
      </c>
      <c r="J154" s="32" t="s">
        <v>11</v>
      </c>
      <c r="K154" s="32" t="s">
        <v>1560</v>
      </c>
      <c r="L154" s="32" t="s">
        <v>33</v>
      </c>
      <c r="M154">
        <f t="shared" si="9"/>
        <v>143</v>
      </c>
      <c r="N154">
        <f t="shared" si="10"/>
        <v>32</v>
      </c>
      <c r="O154">
        <f t="shared" si="11"/>
        <v>49</v>
      </c>
      <c r="P154">
        <f t="shared" si="12"/>
        <v>30</v>
      </c>
    </row>
    <row r="155" spans="9:16" ht="15" customHeight="1" x14ac:dyDescent="0.25">
      <c r="I155" s="33" t="s">
        <v>344</v>
      </c>
      <c r="J155" s="33" t="s">
        <v>11</v>
      </c>
      <c r="K155" s="33" t="s">
        <v>12</v>
      </c>
      <c r="L155" s="33" t="s">
        <v>13</v>
      </c>
      <c r="M155">
        <f t="shared" si="9"/>
        <v>131</v>
      </c>
      <c r="N155">
        <f t="shared" si="10"/>
        <v>32</v>
      </c>
      <c r="O155">
        <f t="shared" si="11"/>
        <v>0</v>
      </c>
      <c r="P155">
        <f t="shared" si="12"/>
        <v>21</v>
      </c>
    </row>
    <row r="156" spans="9:16" ht="15" customHeight="1" x14ac:dyDescent="0.25">
      <c r="I156" s="32" t="s">
        <v>338</v>
      </c>
      <c r="J156" s="32" t="s">
        <v>11</v>
      </c>
      <c r="K156" s="32" t="s">
        <v>12</v>
      </c>
      <c r="L156" s="32" t="s">
        <v>19</v>
      </c>
      <c r="M156">
        <f t="shared" si="9"/>
        <v>135</v>
      </c>
      <c r="N156">
        <f t="shared" si="10"/>
        <v>32</v>
      </c>
      <c r="O156">
        <f t="shared" si="11"/>
        <v>0</v>
      </c>
      <c r="P156">
        <f t="shared" si="12"/>
        <v>23</v>
      </c>
    </row>
    <row r="157" spans="9:16" ht="15" customHeight="1" x14ac:dyDescent="0.25">
      <c r="I157" s="33" t="s">
        <v>23</v>
      </c>
      <c r="J157" s="33" t="s">
        <v>11</v>
      </c>
      <c r="K157" s="33" t="s">
        <v>1552</v>
      </c>
      <c r="L157" s="33" t="s">
        <v>43</v>
      </c>
      <c r="M157">
        <f t="shared" si="9"/>
        <v>136</v>
      </c>
      <c r="N157">
        <f t="shared" si="10"/>
        <v>32</v>
      </c>
      <c r="O157">
        <f t="shared" si="11"/>
        <v>37</v>
      </c>
      <c r="P157">
        <f t="shared" si="12"/>
        <v>25</v>
      </c>
    </row>
    <row r="158" spans="9:16" ht="15" customHeight="1" x14ac:dyDescent="0.25">
      <c r="I158" s="32" t="s">
        <v>17</v>
      </c>
      <c r="J158" s="32" t="s">
        <v>11</v>
      </c>
      <c r="K158" s="32" t="s">
        <v>1553</v>
      </c>
      <c r="L158" s="32" t="s">
        <v>339</v>
      </c>
      <c r="M158">
        <f t="shared" si="9"/>
        <v>141</v>
      </c>
      <c r="N158">
        <f t="shared" si="10"/>
        <v>32</v>
      </c>
      <c r="O158">
        <f t="shared" si="11"/>
        <v>39</v>
      </c>
      <c r="P158">
        <f t="shared" si="12"/>
        <v>0</v>
      </c>
    </row>
    <row r="159" spans="9:16" ht="15" customHeight="1" x14ac:dyDescent="0.25">
      <c r="I159" s="33" t="s">
        <v>10</v>
      </c>
      <c r="J159" s="33" t="s">
        <v>11</v>
      </c>
      <c r="K159" s="33" t="s">
        <v>1554</v>
      </c>
      <c r="L159" s="33" t="s">
        <v>345</v>
      </c>
      <c r="M159">
        <f t="shared" si="9"/>
        <v>143</v>
      </c>
      <c r="N159">
        <f t="shared" si="10"/>
        <v>32</v>
      </c>
      <c r="O159">
        <f t="shared" si="11"/>
        <v>38</v>
      </c>
      <c r="P159">
        <f t="shared" si="12"/>
        <v>2</v>
      </c>
    </row>
    <row r="160" spans="9:16" ht="15" customHeight="1" x14ac:dyDescent="0.25">
      <c r="I160" s="32" t="s">
        <v>337</v>
      </c>
      <c r="J160" s="32" t="s">
        <v>11</v>
      </c>
      <c r="K160" s="32" t="s">
        <v>1555</v>
      </c>
      <c r="L160" s="32" t="s">
        <v>33</v>
      </c>
      <c r="M160">
        <f t="shared" si="9"/>
        <v>137</v>
      </c>
      <c r="N160">
        <f t="shared" si="10"/>
        <v>32</v>
      </c>
      <c r="O160">
        <f t="shared" si="11"/>
        <v>41</v>
      </c>
      <c r="P160">
        <f t="shared" si="12"/>
        <v>30</v>
      </c>
    </row>
    <row r="161" spans="9:16" ht="15" customHeight="1" x14ac:dyDescent="0.25">
      <c r="I161" s="33" t="s">
        <v>338</v>
      </c>
      <c r="J161" s="33" t="s">
        <v>11</v>
      </c>
      <c r="K161" s="33" t="s">
        <v>1556</v>
      </c>
      <c r="L161" s="33" t="s">
        <v>13</v>
      </c>
      <c r="M161">
        <f t="shared" si="9"/>
        <v>135</v>
      </c>
      <c r="N161">
        <f t="shared" si="10"/>
        <v>32</v>
      </c>
      <c r="O161">
        <f t="shared" si="11"/>
        <v>42</v>
      </c>
      <c r="P161">
        <f t="shared" si="12"/>
        <v>21</v>
      </c>
    </row>
    <row r="162" spans="9:16" ht="15" customHeight="1" x14ac:dyDescent="0.25">
      <c r="I162" s="32" t="s">
        <v>338</v>
      </c>
      <c r="J162" s="32" t="s">
        <v>11</v>
      </c>
      <c r="K162" s="32" t="s">
        <v>1559</v>
      </c>
      <c r="L162" s="32" t="s">
        <v>19</v>
      </c>
      <c r="M162">
        <f t="shared" si="9"/>
        <v>135</v>
      </c>
      <c r="N162">
        <f t="shared" si="10"/>
        <v>32</v>
      </c>
      <c r="O162">
        <f t="shared" si="11"/>
        <v>43</v>
      </c>
      <c r="P162">
        <f t="shared" si="12"/>
        <v>23</v>
      </c>
    </row>
    <row r="163" spans="9:16" ht="15" customHeight="1" x14ac:dyDescent="0.25">
      <c r="I163" s="33" t="s">
        <v>335</v>
      </c>
      <c r="J163" s="33" t="s">
        <v>11</v>
      </c>
      <c r="K163" s="33" t="s">
        <v>1557</v>
      </c>
      <c r="L163" s="33" t="s">
        <v>43</v>
      </c>
      <c r="M163">
        <f t="shared" si="9"/>
        <v>139</v>
      </c>
      <c r="N163">
        <f t="shared" si="10"/>
        <v>32</v>
      </c>
      <c r="O163">
        <f t="shared" si="11"/>
        <v>47</v>
      </c>
      <c r="P163">
        <f t="shared" si="12"/>
        <v>25</v>
      </c>
    </row>
    <row r="164" spans="9:16" ht="15" customHeight="1" x14ac:dyDescent="0.25">
      <c r="I164" s="32" t="s">
        <v>335</v>
      </c>
      <c r="J164" s="32" t="s">
        <v>11</v>
      </c>
      <c r="K164" s="32" t="s">
        <v>1558</v>
      </c>
      <c r="L164" s="32" t="s">
        <v>339</v>
      </c>
      <c r="M164">
        <f t="shared" si="9"/>
        <v>139</v>
      </c>
      <c r="N164">
        <f t="shared" si="10"/>
        <v>32</v>
      </c>
      <c r="O164">
        <f t="shared" si="11"/>
        <v>48</v>
      </c>
      <c r="P164">
        <f t="shared" si="12"/>
        <v>0</v>
      </c>
    </row>
    <row r="165" spans="9:16" ht="15" customHeight="1" x14ac:dyDescent="0.25">
      <c r="I165" s="33" t="s">
        <v>342</v>
      </c>
      <c r="J165" s="33" t="s">
        <v>11</v>
      </c>
      <c r="K165" s="33" t="s">
        <v>1560</v>
      </c>
      <c r="L165" s="33" t="s">
        <v>345</v>
      </c>
      <c r="M165">
        <f t="shared" si="9"/>
        <v>134</v>
      </c>
      <c r="N165">
        <f t="shared" si="10"/>
        <v>32</v>
      </c>
      <c r="O165">
        <f t="shared" si="11"/>
        <v>49</v>
      </c>
      <c r="P165">
        <f t="shared" si="12"/>
        <v>2</v>
      </c>
    </row>
    <row r="166" spans="9:16" ht="15" customHeight="1" x14ac:dyDescent="0.25">
      <c r="I166" s="32" t="s">
        <v>342</v>
      </c>
      <c r="J166" s="32" t="s">
        <v>11</v>
      </c>
      <c r="K166" s="32" t="s">
        <v>1561</v>
      </c>
      <c r="L166" s="32" t="s">
        <v>33</v>
      </c>
      <c r="M166">
        <f t="shared" si="9"/>
        <v>134</v>
      </c>
      <c r="N166">
        <f t="shared" si="10"/>
        <v>32</v>
      </c>
      <c r="O166">
        <f t="shared" si="11"/>
        <v>51</v>
      </c>
      <c r="P166">
        <f t="shared" si="12"/>
        <v>30</v>
      </c>
    </row>
    <row r="167" spans="9:16" ht="15" customHeight="1" x14ac:dyDescent="0.25">
      <c r="I167" s="33" t="s">
        <v>10</v>
      </c>
      <c r="J167" s="33" t="s">
        <v>11</v>
      </c>
      <c r="K167" s="33" t="s">
        <v>1561</v>
      </c>
      <c r="L167" s="33" t="s">
        <v>13</v>
      </c>
      <c r="M167">
        <f t="shared" si="9"/>
        <v>143</v>
      </c>
      <c r="N167">
        <f t="shared" si="10"/>
        <v>32</v>
      </c>
      <c r="O167">
        <f t="shared" si="11"/>
        <v>51</v>
      </c>
      <c r="P167">
        <f t="shared" si="12"/>
        <v>21</v>
      </c>
    </row>
    <row r="168" spans="9:16" ht="15" customHeight="1" x14ac:dyDescent="0.25">
      <c r="I168" s="32" t="s">
        <v>17</v>
      </c>
      <c r="J168" s="32" t="s">
        <v>11</v>
      </c>
      <c r="K168" s="32" t="s">
        <v>1560</v>
      </c>
      <c r="L168" s="32" t="s">
        <v>19</v>
      </c>
      <c r="M168">
        <f t="shared" si="9"/>
        <v>141</v>
      </c>
      <c r="N168">
        <f t="shared" si="10"/>
        <v>32</v>
      </c>
      <c r="O168">
        <f t="shared" si="11"/>
        <v>49</v>
      </c>
      <c r="P168">
        <f t="shared" si="12"/>
        <v>23</v>
      </c>
    </row>
    <row r="169" spans="9:16" ht="15" customHeight="1" x14ac:dyDescent="0.25">
      <c r="I169" s="33" t="s">
        <v>10</v>
      </c>
      <c r="J169" s="33" t="s">
        <v>11</v>
      </c>
      <c r="K169" s="33" t="s">
        <v>1558</v>
      </c>
      <c r="L169" s="33" t="s">
        <v>43</v>
      </c>
      <c r="M169">
        <f t="shared" si="9"/>
        <v>143</v>
      </c>
      <c r="N169">
        <f t="shared" si="10"/>
        <v>32</v>
      </c>
      <c r="O169">
        <f t="shared" si="11"/>
        <v>48</v>
      </c>
      <c r="P169">
        <f t="shared" si="12"/>
        <v>25</v>
      </c>
    </row>
    <row r="170" spans="9:16" ht="15" customHeight="1" x14ac:dyDescent="0.25">
      <c r="I170" s="32" t="s">
        <v>23</v>
      </c>
      <c r="J170" s="32" t="s">
        <v>24</v>
      </c>
      <c r="K170" s="32" t="s">
        <v>1557</v>
      </c>
      <c r="L170" s="32" t="s">
        <v>339</v>
      </c>
      <c r="M170">
        <f t="shared" si="9"/>
        <v>136</v>
      </c>
      <c r="N170">
        <f t="shared" si="10"/>
        <v>9</v>
      </c>
      <c r="O170">
        <f t="shared" si="11"/>
        <v>47</v>
      </c>
      <c r="P170">
        <f t="shared" si="12"/>
        <v>0</v>
      </c>
    </row>
    <row r="171" spans="9:16" ht="15" customHeight="1" x14ac:dyDescent="0.25">
      <c r="I171" s="33" t="s">
        <v>17</v>
      </c>
      <c r="J171" s="33" t="s">
        <v>24</v>
      </c>
      <c r="K171" s="33" t="s">
        <v>1559</v>
      </c>
      <c r="L171" s="33" t="s">
        <v>345</v>
      </c>
      <c r="M171">
        <f t="shared" si="9"/>
        <v>141</v>
      </c>
      <c r="N171">
        <f t="shared" si="10"/>
        <v>9</v>
      </c>
      <c r="O171">
        <f t="shared" si="11"/>
        <v>43</v>
      </c>
      <c r="P171">
        <f t="shared" si="12"/>
        <v>2</v>
      </c>
    </row>
    <row r="172" spans="9:16" ht="15" customHeight="1" x14ac:dyDescent="0.25">
      <c r="I172" s="32" t="s">
        <v>337</v>
      </c>
      <c r="J172" s="32" t="s">
        <v>24</v>
      </c>
      <c r="K172" s="32" t="s">
        <v>1556</v>
      </c>
      <c r="L172" s="32" t="s">
        <v>33</v>
      </c>
      <c r="M172">
        <f t="shared" si="9"/>
        <v>137</v>
      </c>
      <c r="N172">
        <f t="shared" si="10"/>
        <v>9</v>
      </c>
      <c r="O172">
        <f t="shared" si="11"/>
        <v>42</v>
      </c>
      <c r="P172">
        <f t="shared" si="12"/>
        <v>30</v>
      </c>
    </row>
    <row r="173" spans="9:16" ht="15" customHeight="1" x14ac:dyDescent="0.25">
      <c r="I173" s="33" t="s">
        <v>338</v>
      </c>
      <c r="J173" s="33" t="s">
        <v>24</v>
      </c>
      <c r="K173" s="33" t="s">
        <v>1555</v>
      </c>
      <c r="L173" s="33" t="s">
        <v>13</v>
      </c>
      <c r="M173">
        <f t="shared" si="9"/>
        <v>135</v>
      </c>
      <c r="N173">
        <f t="shared" si="10"/>
        <v>9</v>
      </c>
      <c r="O173">
        <f t="shared" si="11"/>
        <v>41</v>
      </c>
      <c r="P173">
        <f t="shared" si="12"/>
        <v>21</v>
      </c>
    </row>
    <row r="174" spans="9:16" ht="15" customHeight="1" x14ac:dyDescent="0.25">
      <c r="I174" s="32" t="s">
        <v>335</v>
      </c>
      <c r="J174" s="32" t="s">
        <v>24</v>
      </c>
      <c r="K174" s="32" t="s">
        <v>1554</v>
      </c>
      <c r="L174" s="32" t="s">
        <v>19</v>
      </c>
      <c r="M174">
        <f t="shared" si="9"/>
        <v>139</v>
      </c>
      <c r="N174">
        <f t="shared" si="10"/>
        <v>9</v>
      </c>
      <c r="O174">
        <f t="shared" si="11"/>
        <v>38</v>
      </c>
      <c r="P174">
        <f t="shared" si="12"/>
        <v>23</v>
      </c>
    </row>
    <row r="175" spans="9:16" ht="15" customHeight="1" x14ac:dyDescent="0.25">
      <c r="I175" s="33" t="s">
        <v>342</v>
      </c>
      <c r="J175" s="33" t="s">
        <v>24</v>
      </c>
      <c r="K175" s="33" t="s">
        <v>1553</v>
      </c>
      <c r="L175" s="33" t="s">
        <v>43</v>
      </c>
      <c r="M175">
        <f t="shared" si="9"/>
        <v>134</v>
      </c>
      <c r="N175">
        <f t="shared" si="10"/>
        <v>9</v>
      </c>
      <c r="O175">
        <f t="shared" si="11"/>
        <v>39</v>
      </c>
      <c r="P175">
        <f t="shared" si="12"/>
        <v>25</v>
      </c>
    </row>
    <row r="176" spans="9:16" ht="15" customHeight="1" x14ac:dyDescent="0.25">
      <c r="I176" s="32" t="s">
        <v>23</v>
      </c>
      <c r="J176" s="32" t="s">
        <v>24</v>
      </c>
      <c r="K176" s="32" t="s">
        <v>1552</v>
      </c>
      <c r="L176" s="32" t="s">
        <v>339</v>
      </c>
      <c r="M176">
        <f t="shared" si="9"/>
        <v>136</v>
      </c>
      <c r="N176">
        <f t="shared" si="10"/>
        <v>9</v>
      </c>
      <c r="O176">
        <f t="shared" si="11"/>
        <v>37</v>
      </c>
      <c r="P176">
        <f t="shared" si="12"/>
        <v>0</v>
      </c>
    </row>
    <row r="177" spans="9:16" ht="15" customHeight="1" x14ac:dyDescent="0.25">
      <c r="I177" s="33" t="s">
        <v>17</v>
      </c>
      <c r="J177" s="33" t="s">
        <v>24</v>
      </c>
      <c r="K177" s="33" t="s">
        <v>12</v>
      </c>
      <c r="L177" s="33" t="s">
        <v>345</v>
      </c>
      <c r="M177">
        <f t="shared" si="9"/>
        <v>141</v>
      </c>
      <c r="N177">
        <f t="shared" si="10"/>
        <v>9</v>
      </c>
      <c r="O177">
        <f t="shared" si="11"/>
        <v>0</v>
      </c>
      <c r="P177">
        <f t="shared" si="12"/>
        <v>2</v>
      </c>
    </row>
    <row r="178" spans="9:16" ht="15" customHeight="1" x14ac:dyDescent="0.25">
      <c r="I178" s="32" t="s">
        <v>10</v>
      </c>
      <c r="J178" s="32" t="s">
        <v>24</v>
      </c>
      <c r="K178" s="32" t="s">
        <v>12</v>
      </c>
      <c r="L178" s="32" t="s">
        <v>33</v>
      </c>
      <c r="M178">
        <f t="shared" si="9"/>
        <v>143</v>
      </c>
      <c r="N178">
        <f t="shared" si="10"/>
        <v>9</v>
      </c>
      <c r="O178">
        <f t="shared" si="11"/>
        <v>0</v>
      </c>
      <c r="P178">
        <f t="shared" si="12"/>
        <v>30</v>
      </c>
    </row>
    <row r="179" spans="9:16" ht="15" customHeight="1" x14ac:dyDescent="0.25">
      <c r="I179" s="33" t="s">
        <v>343</v>
      </c>
      <c r="J179" s="33" t="s">
        <v>24</v>
      </c>
      <c r="K179" s="33" t="s">
        <v>1552</v>
      </c>
      <c r="L179" s="33" t="s">
        <v>13</v>
      </c>
      <c r="M179">
        <f t="shared" si="9"/>
        <v>132</v>
      </c>
      <c r="N179">
        <f t="shared" si="10"/>
        <v>9</v>
      </c>
      <c r="O179">
        <f t="shared" si="11"/>
        <v>37</v>
      </c>
      <c r="P179">
        <f t="shared" si="12"/>
        <v>21</v>
      </c>
    </row>
    <row r="180" spans="9:16" ht="15" customHeight="1" x14ac:dyDescent="0.25">
      <c r="I180" s="32" t="s">
        <v>340</v>
      </c>
      <c r="J180" s="32" t="s">
        <v>24</v>
      </c>
      <c r="K180" s="32" t="s">
        <v>1555</v>
      </c>
      <c r="L180" s="32" t="s">
        <v>19</v>
      </c>
      <c r="M180">
        <f t="shared" si="9"/>
        <v>129</v>
      </c>
      <c r="N180">
        <f t="shared" si="10"/>
        <v>9</v>
      </c>
      <c r="O180">
        <f t="shared" si="11"/>
        <v>41</v>
      </c>
      <c r="P180">
        <f t="shared" si="12"/>
        <v>23</v>
      </c>
    </row>
    <row r="181" spans="9:16" ht="15" customHeight="1" x14ac:dyDescent="0.25">
      <c r="I181" s="33" t="s">
        <v>344</v>
      </c>
      <c r="J181" s="33" t="s">
        <v>24</v>
      </c>
      <c r="K181" s="33" t="s">
        <v>1557</v>
      </c>
      <c r="L181" s="33" t="s">
        <v>43</v>
      </c>
      <c r="M181">
        <f t="shared" si="9"/>
        <v>131</v>
      </c>
      <c r="N181">
        <f t="shared" si="10"/>
        <v>9</v>
      </c>
      <c r="O181">
        <f t="shared" si="11"/>
        <v>47</v>
      </c>
      <c r="P181">
        <f t="shared" si="12"/>
        <v>25</v>
      </c>
    </row>
    <row r="182" spans="9:16" ht="15" customHeight="1" x14ac:dyDescent="0.25">
      <c r="I182" s="32" t="s">
        <v>335</v>
      </c>
      <c r="J182" s="32" t="s">
        <v>24</v>
      </c>
      <c r="K182" s="32" t="s">
        <v>1560</v>
      </c>
      <c r="L182" s="32" t="s">
        <v>339</v>
      </c>
      <c r="M182">
        <f t="shared" si="9"/>
        <v>139</v>
      </c>
      <c r="N182">
        <f t="shared" si="10"/>
        <v>9</v>
      </c>
      <c r="O182">
        <f t="shared" si="11"/>
        <v>49</v>
      </c>
      <c r="P182">
        <f t="shared" si="12"/>
        <v>0</v>
      </c>
    </row>
    <row r="183" spans="9:16" ht="15" customHeight="1" x14ac:dyDescent="0.25">
      <c r="I183" s="33" t="s">
        <v>343</v>
      </c>
      <c r="J183" s="33" t="s">
        <v>24</v>
      </c>
      <c r="K183" s="33" t="s">
        <v>1553</v>
      </c>
      <c r="L183" s="33" t="s">
        <v>345</v>
      </c>
      <c r="M183">
        <f t="shared" si="9"/>
        <v>132</v>
      </c>
      <c r="N183">
        <f t="shared" si="10"/>
        <v>9</v>
      </c>
      <c r="O183">
        <f t="shared" si="11"/>
        <v>39</v>
      </c>
      <c r="P183">
        <f t="shared" si="12"/>
        <v>2</v>
      </c>
    </row>
    <row r="184" spans="9:16" ht="15" customHeight="1" x14ac:dyDescent="0.25">
      <c r="I184" s="32" t="s">
        <v>340</v>
      </c>
      <c r="J184" s="32" t="s">
        <v>24</v>
      </c>
      <c r="K184" s="32" t="s">
        <v>1556</v>
      </c>
      <c r="L184" s="32" t="s">
        <v>33</v>
      </c>
      <c r="M184">
        <f t="shared" si="9"/>
        <v>129</v>
      </c>
      <c r="N184">
        <f t="shared" si="10"/>
        <v>9</v>
      </c>
      <c r="O184">
        <f t="shared" si="11"/>
        <v>42</v>
      </c>
      <c r="P184">
        <f t="shared" si="12"/>
        <v>30</v>
      </c>
    </row>
    <row r="185" spans="9:16" ht="15" customHeight="1" x14ac:dyDescent="0.25">
      <c r="I185" s="33" t="s">
        <v>344</v>
      </c>
      <c r="J185" s="33" t="s">
        <v>24</v>
      </c>
      <c r="K185" s="33" t="s">
        <v>1558</v>
      </c>
      <c r="L185" s="33" t="s">
        <v>13</v>
      </c>
      <c r="M185">
        <f t="shared" si="9"/>
        <v>131</v>
      </c>
      <c r="N185">
        <f t="shared" si="10"/>
        <v>9</v>
      </c>
      <c r="O185">
        <f t="shared" si="11"/>
        <v>48</v>
      </c>
      <c r="P185">
        <f t="shared" si="12"/>
        <v>21</v>
      </c>
    </row>
    <row r="186" spans="9:16" ht="15" customHeight="1" x14ac:dyDescent="0.25">
      <c r="I186" s="32" t="s">
        <v>337</v>
      </c>
      <c r="J186" s="32" t="s">
        <v>24</v>
      </c>
      <c r="K186" s="32" t="s">
        <v>1561</v>
      </c>
      <c r="L186" s="32" t="s">
        <v>19</v>
      </c>
      <c r="M186">
        <f t="shared" si="9"/>
        <v>137</v>
      </c>
      <c r="N186">
        <f t="shared" si="10"/>
        <v>9</v>
      </c>
      <c r="O186">
        <f t="shared" si="11"/>
        <v>51</v>
      </c>
      <c r="P186">
        <f t="shared" si="12"/>
        <v>23</v>
      </c>
    </row>
    <row r="187" spans="9:16" ht="15" customHeight="1" x14ac:dyDescent="0.25">
      <c r="I187" s="33" t="s">
        <v>338</v>
      </c>
      <c r="J187" s="33" t="s">
        <v>24</v>
      </c>
      <c r="K187" s="33" t="s">
        <v>1554</v>
      </c>
      <c r="L187" s="33" t="s">
        <v>43</v>
      </c>
      <c r="M187">
        <f t="shared" si="9"/>
        <v>135</v>
      </c>
      <c r="N187">
        <f t="shared" si="10"/>
        <v>9</v>
      </c>
      <c r="O187">
        <f t="shared" si="11"/>
        <v>38</v>
      </c>
      <c r="P187">
        <f t="shared" si="12"/>
        <v>25</v>
      </c>
    </row>
    <row r="188" spans="9:16" ht="15" customHeight="1" x14ac:dyDescent="0.25">
      <c r="I188" s="32" t="s">
        <v>335</v>
      </c>
      <c r="J188" s="32" t="s">
        <v>24</v>
      </c>
      <c r="K188" s="32" t="s">
        <v>1559</v>
      </c>
      <c r="L188" s="32" t="s">
        <v>339</v>
      </c>
      <c r="M188">
        <f t="shared" si="9"/>
        <v>139</v>
      </c>
      <c r="N188">
        <f t="shared" si="10"/>
        <v>9</v>
      </c>
      <c r="O188">
        <f t="shared" si="11"/>
        <v>43</v>
      </c>
      <c r="P188">
        <f t="shared" si="12"/>
        <v>0</v>
      </c>
    </row>
    <row r="189" spans="9:16" ht="15" customHeight="1" x14ac:dyDescent="0.25">
      <c r="I189" s="33" t="s">
        <v>343</v>
      </c>
      <c r="J189" s="33" t="s">
        <v>24</v>
      </c>
      <c r="K189" s="33" t="s">
        <v>1554</v>
      </c>
      <c r="L189" s="33" t="s">
        <v>345</v>
      </c>
      <c r="M189">
        <f t="shared" si="9"/>
        <v>132</v>
      </c>
      <c r="N189">
        <f t="shared" si="10"/>
        <v>9</v>
      </c>
      <c r="O189">
        <f t="shared" si="11"/>
        <v>38</v>
      </c>
      <c r="P189">
        <f t="shared" si="12"/>
        <v>2</v>
      </c>
    </row>
    <row r="190" spans="9:16" ht="15" customHeight="1" x14ac:dyDescent="0.25">
      <c r="I190" s="32" t="s">
        <v>340</v>
      </c>
      <c r="J190" s="32" t="s">
        <v>24</v>
      </c>
      <c r="K190" s="32" t="s">
        <v>1559</v>
      </c>
      <c r="L190" s="32" t="s">
        <v>33</v>
      </c>
      <c r="M190">
        <f t="shared" si="9"/>
        <v>129</v>
      </c>
      <c r="N190">
        <f t="shared" si="10"/>
        <v>9</v>
      </c>
      <c r="O190">
        <f t="shared" si="11"/>
        <v>43</v>
      </c>
      <c r="P190">
        <f t="shared" si="12"/>
        <v>30</v>
      </c>
    </row>
    <row r="191" spans="9:16" ht="15" customHeight="1" x14ac:dyDescent="0.25">
      <c r="I191" s="33" t="s">
        <v>342</v>
      </c>
      <c r="J191" s="33" t="s">
        <v>24</v>
      </c>
      <c r="K191" s="33" t="s">
        <v>1553</v>
      </c>
      <c r="L191" s="33" t="s">
        <v>13</v>
      </c>
      <c r="M191">
        <f t="shared" si="9"/>
        <v>134</v>
      </c>
      <c r="N191">
        <f t="shared" si="10"/>
        <v>9</v>
      </c>
      <c r="O191">
        <f t="shared" si="11"/>
        <v>39</v>
      </c>
      <c r="P191">
        <f t="shared" si="12"/>
        <v>21</v>
      </c>
    </row>
    <row r="192" spans="9:16" ht="15" customHeight="1" x14ac:dyDescent="0.25">
      <c r="I192" s="32" t="s">
        <v>23</v>
      </c>
      <c r="J192" s="32" t="s">
        <v>24</v>
      </c>
      <c r="K192" s="32" t="s">
        <v>1556</v>
      </c>
      <c r="L192" s="32" t="s">
        <v>19</v>
      </c>
      <c r="M192">
        <f t="shared" si="9"/>
        <v>136</v>
      </c>
      <c r="N192">
        <f t="shared" si="10"/>
        <v>9</v>
      </c>
      <c r="O192">
        <f t="shared" si="11"/>
        <v>42</v>
      </c>
      <c r="P192">
        <f t="shared" si="12"/>
        <v>23</v>
      </c>
    </row>
    <row r="193" spans="9:16" ht="15" customHeight="1" x14ac:dyDescent="0.25">
      <c r="I193" s="33" t="s">
        <v>17</v>
      </c>
      <c r="J193" s="33" t="s">
        <v>24</v>
      </c>
      <c r="K193" s="33" t="s">
        <v>1558</v>
      </c>
      <c r="L193" s="33" t="s">
        <v>43</v>
      </c>
      <c r="M193">
        <f t="shared" si="9"/>
        <v>141</v>
      </c>
      <c r="N193">
        <f t="shared" si="10"/>
        <v>9</v>
      </c>
      <c r="O193">
        <f t="shared" si="11"/>
        <v>48</v>
      </c>
      <c r="P193">
        <f t="shared" si="12"/>
        <v>25</v>
      </c>
    </row>
    <row r="194" spans="9:16" ht="15" customHeight="1" x14ac:dyDescent="0.25">
      <c r="I194" s="32" t="s">
        <v>10</v>
      </c>
      <c r="J194" s="32" t="s">
        <v>24</v>
      </c>
      <c r="K194" s="32" t="s">
        <v>1561</v>
      </c>
      <c r="L194" s="32" t="s">
        <v>339</v>
      </c>
      <c r="M194">
        <f t="shared" si="9"/>
        <v>143</v>
      </c>
      <c r="N194">
        <f t="shared" si="10"/>
        <v>9</v>
      </c>
      <c r="O194">
        <f t="shared" si="11"/>
        <v>51</v>
      </c>
      <c r="P194">
        <f t="shared" si="12"/>
        <v>0</v>
      </c>
    </row>
    <row r="195" spans="9:16" ht="15" customHeight="1" x14ac:dyDescent="0.25">
      <c r="I195" s="33" t="s">
        <v>344</v>
      </c>
      <c r="J195" s="33" t="s">
        <v>24</v>
      </c>
      <c r="K195" s="33" t="s">
        <v>1552</v>
      </c>
      <c r="L195" s="33" t="s">
        <v>345</v>
      </c>
      <c r="M195">
        <f t="shared" si="9"/>
        <v>131</v>
      </c>
      <c r="N195">
        <f t="shared" si="10"/>
        <v>9</v>
      </c>
      <c r="O195">
        <f t="shared" si="11"/>
        <v>37</v>
      </c>
      <c r="P195">
        <f t="shared" si="12"/>
        <v>2</v>
      </c>
    </row>
    <row r="196" spans="9:16" ht="15" customHeight="1" x14ac:dyDescent="0.25">
      <c r="I196" s="32" t="s">
        <v>344</v>
      </c>
      <c r="J196" s="32" t="s">
        <v>24</v>
      </c>
      <c r="K196" s="32" t="s">
        <v>1555</v>
      </c>
      <c r="L196" s="32" t="s">
        <v>33</v>
      </c>
      <c r="M196">
        <f t="shared" si="9"/>
        <v>131</v>
      </c>
      <c r="N196">
        <f t="shared" si="10"/>
        <v>9</v>
      </c>
      <c r="O196">
        <f t="shared" si="11"/>
        <v>41</v>
      </c>
      <c r="P196">
        <f t="shared" si="12"/>
        <v>30</v>
      </c>
    </row>
    <row r="197" spans="9:16" ht="15" customHeight="1" x14ac:dyDescent="0.25">
      <c r="I197" s="33" t="s">
        <v>10</v>
      </c>
      <c r="J197" s="33" t="s">
        <v>24</v>
      </c>
      <c r="K197" s="33" t="s">
        <v>1557</v>
      </c>
      <c r="L197" s="33" t="s">
        <v>13</v>
      </c>
      <c r="M197">
        <f t="shared" si="9"/>
        <v>143</v>
      </c>
      <c r="N197">
        <f t="shared" si="10"/>
        <v>9</v>
      </c>
      <c r="O197">
        <f t="shared" si="11"/>
        <v>47</v>
      </c>
      <c r="P197">
        <f t="shared" si="12"/>
        <v>21</v>
      </c>
    </row>
    <row r="198" spans="9:16" ht="15" customHeight="1" x14ac:dyDescent="0.25">
      <c r="I198" s="32" t="s">
        <v>17</v>
      </c>
      <c r="J198" s="32" t="s">
        <v>24</v>
      </c>
      <c r="K198" s="32" t="s">
        <v>1560</v>
      </c>
      <c r="L198" s="32" t="s">
        <v>19</v>
      </c>
      <c r="M198">
        <f t="shared" si="9"/>
        <v>141</v>
      </c>
      <c r="N198">
        <f t="shared" si="10"/>
        <v>9</v>
      </c>
      <c r="O198">
        <f t="shared" si="11"/>
        <v>49</v>
      </c>
      <c r="P198">
        <f t="shared" si="12"/>
        <v>23</v>
      </c>
    </row>
    <row r="199" spans="9:16" ht="15" customHeight="1" x14ac:dyDescent="0.25">
      <c r="I199" s="33" t="s">
        <v>23</v>
      </c>
      <c r="J199" s="33" t="s">
        <v>24</v>
      </c>
      <c r="K199" s="33" t="s">
        <v>12</v>
      </c>
      <c r="L199" s="33" t="s">
        <v>43</v>
      </c>
      <c r="M199">
        <f t="shared" si="9"/>
        <v>136</v>
      </c>
      <c r="N199">
        <f t="shared" si="10"/>
        <v>9</v>
      </c>
      <c r="O199">
        <f t="shared" si="11"/>
        <v>0</v>
      </c>
      <c r="P199">
        <f t="shared" si="12"/>
        <v>25</v>
      </c>
    </row>
    <row r="200" spans="9:16" ht="15" customHeight="1" x14ac:dyDescent="0.25">
      <c r="I200" s="32" t="s">
        <v>342</v>
      </c>
      <c r="J200" s="32" t="s">
        <v>24</v>
      </c>
      <c r="K200" s="32" t="s">
        <v>12</v>
      </c>
      <c r="L200" s="32" t="s">
        <v>339</v>
      </c>
      <c r="M200">
        <f t="shared" si="9"/>
        <v>134</v>
      </c>
      <c r="N200">
        <f t="shared" si="10"/>
        <v>9</v>
      </c>
      <c r="O200">
        <f t="shared" si="11"/>
        <v>0</v>
      </c>
      <c r="P200">
        <f t="shared" si="12"/>
        <v>0</v>
      </c>
    </row>
    <row r="201" spans="9:16" ht="15" customHeight="1" x14ac:dyDescent="0.25">
      <c r="I201" s="33" t="s">
        <v>340</v>
      </c>
      <c r="J201" s="33" t="s">
        <v>24</v>
      </c>
      <c r="K201" s="33" t="s">
        <v>1552</v>
      </c>
      <c r="L201" s="33" t="s">
        <v>345</v>
      </c>
      <c r="M201">
        <f t="shared" si="9"/>
        <v>129</v>
      </c>
      <c r="N201">
        <f t="shared" si="10"/>
        <v>9</v>
      </c>
      <c r="O201">
        <f t="shared" si="11"/>
        <v>37</v>
      </c>
      <c r="P201">
        <f t="shared" si="12"/>
        <v>2</v>
      </c>
    </row>
    <row r="202" spans="9:16" ht="15" customHeight="1" x14ac:dyDescent="0.25">
      <c r="I202" s="32" t="s">
        <v>343</v>
      </c>
      <c r="J202" s="32" t="s">
        <v>11</v>
      </c>
      <c r="K202" s="32" t="s">
        <v>1553</v>
      </c>
      <c r="L202" s="32" t="s">
        <v>33</v>
      </c>
      <c r="M202">
        <f t="shared" si="9"/>
        <v>132</v>
      </c>
      <c r="N202">
        <f t="shared" si="10"/>
        <v>32</v>
      </c>
      <c r="O202">
        <f t="shared" si="11"/>
        <v>39</v>
      </c>
      <c r="P202">
        <f t="shared" si="12"/>
        <v>30</v>
      </c>
    </row>
    <row r="203" spans="9:16" ht="15" customHeight="1" x14ac:dyDescent="0.25">
      <c r="I203" s="33" t="s">
        <v>335</v>
      </c>
      <c r="J203" s="33" t="s">
        <v>11</v>
      </c>
      <c r="K203" s="33" t="s">
        <v>1554</v>
      </c>
      <c r="L203" s="33" t="s">
        <v>13</v>
      </c>
      <c r="M203">
        <f t="shared" si="9"/>
        <v>139</v>
      </c>
      <c r="N203">
        <f t="shared" si="10"/>
        <v>32</v>
      </c>
      <c r="O203">
        <f t="shared" si="11"/>
        <v>38</v>
      </c>
      <c r="P203">
        <f t="shared" si="12"/>
        <v>21</v>
      </c>
    </row>
    <row r="204" spans="9:16" ht="15" customHeight="1" x14ac:dyDescent="0.25">
      <c r="I204" s="32" t="s">
        <v>338</v>
      </c>
      <c r="J204" s="32" t="s">
        <v>24</v>
      </c>
      <c r="K204" s="32" t="s">
        <v>1555</v>
      </c>
      <c r="L204" s="32" t="s">
        <v>19</v>
      </c>
      <c r="M204">
        <f t="shared" si="9"/>
        <v>135</v>
      </c>
      <c r="N204">
        <f t="shared" si="10"/>
        <v>9</v>
      </c>
      <c r="O204">
        <f t="shared" si="11"/>
        <v>41</v>
      </c>
      <c r="P204">
        <f t="shared" si="12"/>
        <v>23</v>
      </c>
    </row>
    <row r="205" spans="9:16" ht="15" customHeight="1" x14ac:dyDescent="0.25">
      <c r="I205" s="33" t="s">
        <v>337</v>
      </c>
      <c r="J205" s="33" t="s">
        <v>24</v>
      </c>
      <c r="K205" s="33" t="s">
        <v>1556</v>
      </c>
      <c r="L205" s="33" t="s">
        <v>43</v>
      </c>
      <c r="M205">
        <f t="shared" si="9"/>
        <v>137</v>
      </c>
      <c r="N205">
        <f t="shared" si="10"/>
        <v>9</v>
      </c>
      <c r="O205">
        <f t="shared" si="11"/>
        <v>42</v>
      </c>
      <c r="P205">
        <f t="shared" si="12"/>
        <v>25</v>
      </c>
    </row>
    <row r="206" spans="9:16" ht="15" customHeight="1" x14ac:dyDescent="0.25">
      <c r="I206" s="32" t="s">
        <v>343</v>
      </c>
      <c r="J206" s="32" t="s">
        <v>24</v>
      </c>
      <c r="K206" s="32" t="s">
        <v>1559</v>
      </c>
      <c r="L206" s="32" t="s">
        <v>339</v>
      </c>
      <c r="M206">
        <f t="shared" si="9"/>
        <v>132</v>
      </c>
      <c r="N206">
        <f t="shared" si="10"/>
        <v>9</v>
      </c>
      <c r="O206">
        <f t="shared" si="11"/>
        <v>43</v>
      </c>
      <c r="P206">
        <f t="shared" si="12"/>
        <v>0</v>
      </c>
    </row>
    <row r="207" spans="9:16" ht="15" customHeight="1" x14ac:dyDescent="0.25">
      <c r="I207" s="33" t="s">
        <v>340</v>
      </c>
      <c r="J207" s="33" t="s">
        <v>11</v>
      </c>
      <c r="K207" s="33" t="s">
        <v>1557</v>
      </c>
      <c r="L207" s="33" t="s">
        <v>345</v>
      </c>
      <c r="M207">
        <f t="shared" si="9"/>
        <v>129</v>
      </c>
      <c r="N207">
        <f t="shared" si="10"/>
        <v>32</v>
      </c>
      <c r="O207">
        <f t="shared" si="11"/>
        <v>47</v>
      </c>
      <c r="P207">
        <f t="shared" si="12"/>
        <v>2</v>
      </c>
    </row>
    <row r="208" spans="9:16" ht="15" customHeight="1" x14ac:dyDescent="0.25">
      <c r="I208" s="32" t="s">
        <v>10</v>
      </c>
      <c r="J208" s="32" t="s">
        <v>24</v>
      </c>
      <c r="K208" s="32" t="s">
        <v>1558</v>
      </c>
      <c r="L208" s="32" t="s">
        <v>33</v>
      </c>
      <c r="M208">
        <f t="shared" si="9"/>
        <v>143</v>
      </c>
      <c r="N208">
        <f t="shared" si="10"/>
        <v>9</v>
      </c>
      <c r="O208">
        <f t="shared" si="11"/>
        <v>48</v>
      </c>
      <c r="P208">
        <f t="shared" si="12"/>
        <v>30</v>
      </c>
    </row>
    <row r="209" spans="9:16" ht="15" customHeight="1" x14ac:dyDescent="0.25">
      <c r="I209" s="33" t="s">
        <v>344</v>
      </c>
      <c r="J209" s="33" t="s">
        <v>11</v>
      </c>
      <c r="K209" s="33" t="s">
        <v>1560</v>
      </c>
      <c r="L209" s="33" t="s">
        <v>13</v>
      </c>
      <c r="M209">
        <f t="shared" si="9"/>
        <v>131</v>
      </c>
      <c r="N209">
        <f t="shared" si="10"/>
        <v>32</v>
      </c>
      <c r="O209">
        <f t="shared" si="11"/>
        <v>49</v>
      </c>
      <c r="P209">
        <f t="shared" si="12"/>
        <v>21</v>
      </c>
    </row>
    <row r="210" spans="9:16" ht="15" customHeight="1" x14ac:dyDescent="0.25">
      <c r="I210" s="32" t="s">
        <v>338</v>
      </c>
      <c r="J210" s="32" t="s">
        <v>11</v>
      </c>
      <c r="K210" s="32" t="s">
        <v>1561</v>
      </c>
      <c r="L210" s="32" t="s">
        <v>19</v>
      </c>
      <c r="M210">
        <f t="shared" si="9"/>
        <v>135</v>
      </c>
      <c r="N210">
        <f t="shared" si="10"/>
        <v>32</v>
      </c>
      <c r="O210">
        <f t="shared" si="11"/>
        <v>51</v>
      </c>
      <c r="P210">
        <f t="shared" si="12"/>
        <v>23</v>
      </c>
    </row>
    <row r="211" spans="9:16" ht="15" customHeight="1" x14ac:dyDescent="0.25">
      <c r="I211" s="33" t="s">
        <v>23</v>
      </c>
      <c r="J211" s="33" t="s">
        <v>11</v>
      </c>
      <c r="K211" s="33" t="s">
        <v>1561</v>
      </c>
      <c r="L211" s="33" t="s">
        <v>43</v>
      </c>
      <c r="M211">
        <f t="shared" si="9"/>
        <v>136</v>
      </c>
      <c r="N211">
        <f t="shared" si="10"/>
        <v>32</v>
      </c>
      <c r="O211">
        <f t="shared" si="11"/>
        <v>51</v>
      </c>
      <c r="P211">
        <f t="shared" si="12"/>
        <v>25</v>
      </c>
    </row>
    <row r="212" spans="9:16" ht="15" customHeight="1" x14ac:dyDescent="0.25">
      <c r="I212" s="32" t="s">
        <v>17</v>
      </c>
      <c r="J212" s="32" t="s">
        <v>24</v>
      </c>
      <c r="K212" s="32" t="s">
        <v>1560</v>
      </c>
      <c r="L212" s="32" t="s">
        <v>339</v>
      </c>
      <c r="M212">
        <f t="shared" si="9"/>
        <v>141</v>
      </c>
      <c r="N212">
        <f t="shared" si="10"/>
        <v>9</v>
      </c>
      <c r="O212">
        <f t="shared" si="11"/>
        <v>49</v>
      </c>
      <c r="P212">
        <f t="shared" si="12"/>
        <v>0</v>
      </c>
    </row>
    <row r="213" spans="9:16" ht="15" customHeight="1" x14ac:dyDescent="0.25">
      <c r="I213" s="33" t="s">
        <v>10</v>
      </c>
      <c r="J213" s="33" t="s">
        <v>24</v>
      </c>
      <c r="K213" s="33" t="s">
        <v>1558</v>
      </c>
      <c r="L213" s="33" t="s">
        <v>345</v>
      </c>
      <c r="M213">
        <f t="shared" si="9"/>
        <v>143</v>
      </c>
      <c r="N213">
        <f t="shared" si="10"/>
        <v>9</v>
      </c>
      <c r="O213">
        <f t="shared" si="11"/>
        <v>48</v>
      </c>
      <c r="P213">
        <f t="shared" si="12"/>
        <v>2</v>
      </c>
    </row>
    <row r="214" spans="9:16" ht="15" customHeight="1" x14ac:dyDescent="0.25">
      <c r="I214" s="32" t="s">
        <v>337</v>
      </c>
      <c r="J214" s="32" t="s">
        <v>24</v>
      </c>
      <c r="K214" s="32" t="s">
        <v>1557</v>
      </c>
      <c r="L214" s="32" t="s">
        <v>33</v>
      </c>
      <c r="M214">
        <f t="shared" si="9"/>
        <v>137</v>
      </c>
      <c r="N214">
        <f t="shared" si="10"/>
        <v>9</v>
      </c>
      <c r="O214">
        <f t="shared" si="11"/>
        <v>47</v>
      </c>
      <c r="P214">
        <f t="shared" si="12"/>
        <v>30</v>
      </c>
    </row>
    <row r="215" spans="9:16" ht="15" customHeight="1" x14ac:dyDescent="0.25">
      <c r="I215" s="33" t="s">
        <v>338</v>
      </c>
      <c r="J215" s="33" t="s">
        <v>24</v>
      </c>
      <c r="K215" s="33" t="s">
        <v>1559</v>
      </c>
      <c r="L215" s="33" t="s">
        <v>13</v>
      </c>
      <c r="M215">
        <f t="shared" si="9"/>
        <v>135</v>
      </c>
      <c r="N215">
        <f t="shared" si="10"/>
        <v>9</v>
      </c>
      <c r="O215">
        <f t="shared" si="11"/>
        <v>43</v>
      </c>
      <c r="P215">
        <f t="shared" si="12"/>
        <v>21</v>
      </c>
    </row>
    <row r="216" spans="9:16" ht="15" customHeight="1" x14ac:dyDescent="0.25">
      <c r="I216" s="32" t="s">
        <v>338</v>
      </c>
      <c r="J216" s="32" t="s">
        <v>24</v>
      </c>
      <c r="K216" s="32" t="s">
        <v>1556</v>
      </c>
      <c r="L216" s="32" t="s">
        <v>19</v>
      </c>
      <c r="M216">
        <f t="shared" si="9"/>
        <v>135</v>
      </c>
      <c r="N216">
        <f t="shared" si="10"/>
        <v>9</v>
      </c>
      <c r="O216">
        <f t="shared" si="11"/>
        <v>42</v>
      </c>
      <c r="P216">
        <f t="shared" si="12"/>
        <v>23</v>
      </c>
    </row>
    <row r="217" spans="9:16" ht="15" customHeight="1" x14ac:dyDescent="0.25">
      <c r="I217" s="33" t="s">
        <v>335</v>
      </c>
      <c r="J217" s="33" t="s">
        <v>24</v>
      </c>
      <c r="K217" s="33" t="s">
        <v>1555</v>
      </c>
      <c r="L217" s="33" t="s">
        <v>43</v>
      </c>
      <c r="M217">
        <f t="shared" ref="M217:M280" si="13">_xlfn.XLOOKUP(I217,$C$9:$C$37,$D$9:$D$37,2,0)</f>
        <v>139</v>
      </c>
      <c r="N217">
        <f t="shared" ref="N217:N280" si="14">_xlfn.XLOOKUP(J217,$C$9:$C$37,$D$9:$D$37,2,0)</f>
        <v>9</v>
      </c>
      <c r="O217">
        <f t="shared" ref="O217:O280" si="15">_xlfn.XLOOKUP(K217,$C$9:$C$37,$D$9:$D$37,2,0)</f>
        <v>41</v>
      </c>
      <c r="P217">
        <f t="shared" ref="P217:P280" si="16">_xlfn.XLOOKUP(L217,$C$9:$C$37,$D$9:$D$37,2,0)</f>
        <v>25</v>
      </c>
    </row>
    <row r="218" spans="9:16" ht="15" customHeight="1" x14ac:dyDescent="0.25">
      <c r="I218" s="32" t="s">
        <v>335</v>
      </c>
      <c r="J218" s="32" t="s">
        <v>11</v>
      </c>
      <c r="K218" s="32" t="s">
        <v>1554</v>
      </c>
      <c r="L218" s="32" t="s">
        <v>339</v>
      </c>
      <c r="M218">
        <f t="shared" si="13"/>
        <v>139</v>
      </c>
      <c r="N218">
        <f t="shared" si="14"/>
        <v>32</v>
      </c>
      <c r="O218">
        <f t="shared" si="15"/>
        <v>38</v>
      </c>
      <c r="P218">
        <f t="shared" si="16"/>
        <v>0</v>
      </c>
    </row>
    <row r="219" spans="9:16" ht="15" customHeight="1" x14ac:dyDescent="0.25">
      <c r="I219" s="33" t="s">
        <v>342</v>
      </c>
      <c r="J219" s="33" t="s">
        <v>11</v>
      </c>
      <c r="K219" s="33" t="s">
        <v>1553</v>
      </c>
      <c r="L219" s="33" t="s">
        <v>345</v>
      </c>
      <c r="M219">
        <f t="shared" si="13"/>
        <v>134</v>
      </c>
      <c r="N219">
        <f t="shared" si="14"/>
        <v>32</v>
      </c>
      <c r="O219">
        <f t="shared" si="15"/>
        <v>39</v>
      </c>
      <c r="P219">
        <f t="shared" si="16"/>
        <v>2</v>
      </c>
    </row>
    <row r="220" spans="9:16" ht="15" customHeight="1" x14ac:dyDescent="0.25">
      <c r="I220" s="32" t="s">
        <v>342</v>
      </c>
      <c r="J220" s="32" t="s">
        <v>24</v>
      </c>
      <c r="K220" s="32" t="s">
        <v>1552</v>
      </c>
      <c r="L220" s="32" t="s">
        <v>33</v>
      </c>
      <c r="M220">
        <f t="shared" si="13"/>
        <v>134</v>
      </c>
      <c r="N220">
        <f t="shared" si="14"/>
        <v>9</v>
      </c>
      <c r="O220">
        <f t="shared" si="15"/>
        <v>37</v>
      </c>
      <c r="P220">
        <f t="shared" si="16"/>
        <v>30</v>
      </c>
    </row>
    <row r="221" spans="9:16" ht="15" customHeight="1" x14ac:dyDescent="0.25">
      <c r="I221" s="33" t="s">
        <v>10</v>
      </c>
      <c r="J221" s="33" t="s">
        <v>24</v>
      </c>
      <c r="K221" s="33" t="s">
        <v>12</v>
      </c>
      <c r="L221" s="33" t="s">
        <v>13</v>
      </c>
      <c r="M221">
        <f t="shared" si="13"/>
        <v>143</v>
      </c>
      <c r="N221">
        <f t="shared" si="14"/>
        <v>9</v>
      </c>
      <c r="O221">
        <f t="shared" si="15"/>
        <v>0</v>
      </c>
      <c r="P221">
        <f t="shared" si="16"/>
        <v>21</v>
      </c>
    </row>
    <row r="222" spans="9:16" ht="15" customHeight="1" x14ac:dyDescent="0.25">
      <c r="I222" s="32" t="s">
        <v>17</v>
      </c>
      <c r="J222" s="32" t="s">
        <v>11</v>
      </c>
      <c r="K222" s="32" t="s">
        <v>12</v>
      </c>
      <c r="L222" s="32" t="s">
        <v>19</v>
      </c>
      <c r="M222">
        <f t="shared" si="13"/>
        <v>141</v>
      </c>
      <c r="N222">
        <f t="shared" si="14"/>
        <v>32</v>
      </c>
      <c r="O222">
        <f t="shared" si="15"/>
        <v>0</v>
      </c>
      <c r="P222">
        <f t="shared" si="16"/>
        <v>23</v>
      </c>
    </row>
    <row r="223" spans="9:16" ht="15" customHeight="1" x14ac:dyDescent="0.25">
      <c r="I223" s="33" t="s">
        <v>10</v>
      </c>
      <c r="J223" s="33" t="s">
        <v>11</v>
      </c>
      <c r="K223" s="33" t="s">
        <v>1552</v>
      </c>
      <c r="L223" s="33" t="s">
        <v>43</v>
      </c>
      <c r="M223">
        <f t="shared" si="13"/>
        <v>143</v>
      </c>
      <c r="N223">
        <f t="shared" si="14"/>
        <v>32</v>
      </c>
      <c r="O223">
        <f t="shared" si="15"/>
        <v>37</v>
      </c>
      <c r="P223">
        <f t="shared" si="16"/>
        <v>25</v>
      </c>
    </row>
    <row r="224" spans="9:16" ht="15" customHeight="1" x14ac:dyDescent="0.25">
      <c r="I224" s="32" t="s">
        <v>23</v>
      </c>
      <c r="J224" s="32" t="s">
        <v>11</v>
      </c>
      <c r="K224" s="32" t="s">
        <v>1555</v>
      </c>
      <c r="L224" s="32" t="s">
        <v>339</v>
      </c>
      <c r="M224">
        <f t="shared" si="13"/>
        <v>136</v>
      </c>
      <c r="N224">
        <f t="shared" si="14"/>
        <v>32</v>
      </c>
      <c r="O224">
        <f t="shared" si="15"/>
        <v>41</v>
      </c>
      <c r="P224">
        <f t="shared" si="16"/>
        <v>0</v>
      </c>
    </row>
    <row r="225" spans="9:16" ht="15" customHeight="1" x14ac:dyDescent="0.25">
      <c r="I225" s="33" t="s">
        <v>17</v>
      </c>
      <c r="J225" s="33" t="s">
        <v>24</v>
      </c>
      <c r="K225" s="33" t="s">
        <v>1557</v>
      </c>
      <c r="L225" s="33" t="s">
        <v>345</v>
      </c>
      <c r="M225">
        <f t="shared" si="13"/>
        <v>141</v>
      </c>
      <c r="N225">
        <f t="shared" si="14"/>
        <v>9</v>
      </c>
      <c r="O225">
        <f t="shared" si="15"/>
        <v>47</v>
      </c>
      <c r="P225">
        <f t="shared" si="16"/>
        <v>2</v>
      </c>
    </row>
    <row r="226" spans="9:16" ht="15" customHeight="1" x14ac:dyDescent="0.25">
      <c r="I226" s="32" t="s">
        <v>337</v>
      </c>
      <c r="J226" s="32" t="s">
        <v>11</v>
      </c>
      <c r="K226" s="32" t="s">
        <v>1560</v>
      </c>
      <c r="L226" s="32" t="s">
        <v>33</v>
      </c>
      <c r="M226">
        <f t="shared" si="13"/>
        <v>137</v>
      </c>
      <c r="N226">
        <f t="shared" si="14"/>
        <v>32</v>
      </c>
      <c r="O226">
        <f t="shared" si="15"/>
        <v>49</v>
      </c>
      <c r="P226">
        <f t="shared" si="16"/>
        <v>30</v>
      </c>
    </row>
    <row r="227" spans="9:16" ht="15" customHeight="1" x14ac:dyDescent="0.25">
      <c r="I227" s="33" t="s">
        <v>338</v>
      </c>
      <c r="J227" s="33" t="s">
        <v>11</v>
      </c>
      <c r="K227" s="33" t="s">
        <v>1553</v>
      </c>
      <c r="L227" s="33" t="s">
        <v>13</v>
      </c>
      <c r="M227">
        <f t="shared" si="13"/>
        <v>135</v>
      </c>
      <c r="N227">
        <f t="shared" si="14"/>
        <v>32</v>
      </c>
      <c r="O227">
        <f t="shared" si="15"/>
        <v>39</v>
      </c>
      <c r="P227">
        <f t="shared" si="16"/>
        <v>21</v>
      </c>
    </row>
    <row r="228" spans="9:16" ht="15" customHeight="1" x14ac:dyDescent="0.25">
      <c r="I228" s="32" t="s">
        <v>335</v>
      </c>
      <c r="J228" s="32" t="s">
        <v>24</v>
      </c>
      <c r="K228" s="32" t="s">
        <v>1556</v>
      </c>
      <c r="L228" s="32" t="s">
        <v>19</v>
      </c>
      <c r="M228">
        <f t="shared" si="13"/>
        <v>139</v>
      </c>
      <c r="N228">
        <f t="shared" si="14"/>
        <v>9</v>
      </c>
      <c r="O228">
        <f t="shared" si="15"/>
        <v>42</v>
      </c>
      <c r="P228">
        <f t="shared" si="16"/>
        <v>23</v>
      </c>
    </row>
    <row r="229" spans="9:16" ht="15" customHeight="1" x14ac:dyDescent="0.25">
      <c r="I229" s="33" t="s">
        <v>342</v>
      </c>
      <c r="J229" s="33" t="s">
        <v>11</v>
      </c>
      <c r="K229" s="33" t="s">
        <v>1558</v>
      </c>
      <c r="L229" s="33" t="s">
        <v>43</v>
      </c>
      <c r="M229">
        <f t="shared" si="13"/>
        <v>134</v>
      </c>
      <c r="N229">
        <f t="shared" si="14"/>
        <v>32</v>
      </c>
      <c r="O229">
        <f t="shared" si="15"/>
        <v>48</v>
      </c>
      <c r="P229">
        <f t="shared" si="16"/>
        <v>25</v>
      </c>
    </row>
    <row r="230" spans="9:16" ht="15" customHeight="1" x14ac:dyDescent="0.25">
      <c r="I230" s="32" t="s">
        <v>23</v>
      </c>
      <c r="J230" s="32" t="s">
        <v>24</v>
      </c>
      <c r="K230" s="32" t="s">
        <v>1561</v>
      </c>
      <c r="L230" s="32" t="s">
        <v>339</v>
      </c>
      <c r="M230">
        <f t="shared" si="13"/>
        <v>136</v>
      </c>
      <c r="N230">
        <f t="shared" si="14"/>
        <v>9</v>
      </c>
      <c r="O230">
        <f t="shared" si="15"/>
        <v>51</v>
      </c>
      <c r="P230">
        <f t="shared" si="16"/>
        <v>0</v>
      </c>
    </row>
    <row r="231" spans="9:16" ht="15" customHeight="1" x14ac:dyDescent="0.25">
      <c r="I231" s="33" t="s">
        <v>17</v>
      </c>
      <c r="J231" s="33" t="s">
        <v>11</v>
      </c>
      <c r="K231" s="33" t="s">
        <v>1554</v>
      </c>
      <c r="L231" s="33" t="s">
        <v>345</v>
      </c>
      <c r="M231">
        <f t="shared" si="13"/>
        <v>141</v>
      </c>
      <c r="N231">
        <f t="shared" si="14"/>
        <v>32</v>
      </c>
      <c r="O231">
        <f t="shared" si="15"/>
        <v>38</v>
      </c>
      <c r="P231">
        <f t="shared" si="16"/>
        <v>2</v>
      </c>
    </row>
    <row r="232" spans="9:16" ht="15" customHeight="1" x14ac:dyDescent="0.25">
      <c r="I232" s="32" t="s">
        <v>10</v>
      </c>
      <c r="J232" s="32" t="s">
        <v>24</v>
      </c>
      <c r="K232" s="32" t="s">
        <v>1559</v>
      </c>
      <c r="L232" s="32" t="s">
        <v>33</v>
      </c>
      <c r="M232">
        <f t="shared" si="13"/>
        <v>143</v>
      </c>
      <c r="N232">
        <f t="shared" si="14"/>
        <v>9</v>
      </c>
      <c r="O232">
        <f t="shared" si="15"/>
        <v>43</v>
      </c>
      <c r="P232">
        <f t="shared" si="16"/>
        <v>30</v>
      </c>
    </row>
    <row r="233" spans="9:16" ht="15" customHeight="1" x14ac:dyDescent="0.25">
      <c r="I233" s="33" t="s">
        <v>343</v>
      </c>
      <c r="J233" s="33" t="s">
        <v>11</v>
      </c>
      <c r="K233" s="33" t="s">
        <v>1554</v>
      </c>
      <c r="L233" s="33" t="s">
        <v>13</v>
      </c>
      <c r="M233">
        <f t="shared" si="13"/>
        <v>132</v>
      </c>
      <c r="N233">
        <f t="shared" si="14"/>
        <v>32</v>
      </c>
      <c r="O233">
        <f t="shared" si="15"/>
        <v>38</v>
      </c>
      <c r="P233">
        <f t="shared" si="16"/>
        <v>21</v>
      </c>
    </row>
    <row r="234" spans="9:16" ht="15" customHeight="1" x14ac:dyDescent="0.25">
      <c r="I234" s="32" t="s">
        <v>340</v>
      </c>
      <c r="J234" s="32" t="s">
        <v>24</v>
      </c>
      <c r="K234" s="32" t="s">
        <v>1559</v>
      </c>
      <c r="L234" s="32" t="s">
        <v>19</v>
      </c>
      <c r="M234">
        <f t="shared" si="13"/>
        <v>129</v>
      </c>
      <c r="N234">
        <f t="shared" si="14"/>
        <v>9</v>
      </c>
      <c r="O234">
        <f t="shared" si="15"/>
        <v>43</v>
      </c>
      <c r="P234">
        <f t="shared" si="16"/>
        <v>23</v>
      </c>
    </row>
    <row r="235" spans="9:16" ht="15" customHeight="1" x14ac:dyDescent="0.25">
      <c r="I235" s="33" t="s">
        <v>344</v>
      </c>
      <c r="J235" s="33" t="s">
        <v>24</v>
      </c>
      <c r="K235" s="33" t="s">
        <v>1553</v>
      </c>
      <c r="L235" s="33" t="s">
        <v>43</v>
      </c>
      <c r="M235">
        <f t="shared" si="13"/>
        <v>131</v>
      </c>
      <c r="N235">
        <f t="shared" si="14"/>
        <v>9</v>
      </c>
      <c r="O235">
        <f t="shared" si="15"/>
        <v>39</v>
      </c>
      <c r="P235">
        <f t="shared" si="16"/>
        <v>25</v>
      </c>
    </row>
    <row r="236" spans="9:16" ht="15" customHeight="1" x14ac:dyDescent="0.25">
      <c r="I236" s="32" t="s">
        <v>335</v>
      </c>
      <c r="J236" s="32" t="s">
        <v>24</v>
      </c>
      <c r="K236" s="32" t="s">
        <v>1556</v>
      </c>
      <c r="L236" s="32" t="s">
        <v>339</v>
      </c>
      <c r="M236">
        <f t="shared" si="13"/>
        <v>139</v>
      </c>
      <c r="N236">
        <f t="shared" si="14"/>
        <v>9</v>
      </c>
      <c r="O236">
        <f t="shared" si="15"/>
        <v>42</v>
      </c>
      <c r="P236">
        <f t="shared" si="16"/>
        <v>0</v>
      </c>
    </row>
    <row r="237" spans="9:16" ht="15" customHeight="1" x14ac:dyDescent="0.25">
      <c r="I237" s="33" t="s">
        <v>343</v>
      </c>
      <c r="J237" s="33" t="s">
        <v>11</v>
      </c>
      <c r="K237" s="33" t="s">
        <v>1558</v>
      </c>
      <c r="L237" s="33" t="s">
        <v>345</v>
      </c>
      <c r="M237">
        <f t="shared" si="13"/>
        <v>132</v>
      </c>
      <c r="N237">
        <f t="shared" si="14"/>
        <v>32</v>
      </c>
      <c r="O237">
        <f t="shared" si="15"/>
        <v>48</v>
      </c>
      <c r="P237">
        <f t="shared" si="16"/>
        <v>2</v>
      </c>
    </row>
    <row r="238" spans="9:16" ht="15" customHeight="1" x14ac:dyDescent="0.25">
      <c r="I238" s="32" t="s">
        <v>340</v>
      </c>
      <c r="J238" s="32" t="s">
        <v>24</v>
      </c>
      <c r="K238" s="32" t="s">
        <v>1561</v>
      </c>
      <c r="L238" s="32" t="s">
        <v>33</v>
      </c>
      <c r="M238">
        <f t="shared" si="13"/>
        <v>129</v>
      </c>
      <c r="N238">
        <f t="shared" si="14"/>
        <v>9</v>
      </c>
      <c r="O238">
        <f t="shared" si="15"/>
        <v>51</v>
      </c>
      <c r="P238">
        <f t="shared" si="16"/>
        <v>30</v>
      </c>
    </row>
    <row r="239" spans="9:16" ht="15" customHeight="1" x14ac:dyDescent="0.25">
      <c r="I239" s="33" t="s">
        <v>344</v>
      </c>
      <c r="J239" s="33" t="s">
        <v>11</v>
      </c>
      <c r="K239" s="33" t="s">
        <v>1552</v>
      </c>
      <c r="L239" s="33" t="s">
        <v>13</v>
      </c>
      <c r="M239">
        <f t="shared" si="13"/>
        <v>131</v>
      </c>
      <c r="N239">
        <f t="shared" si="14"/>
        <v>32</v>
      </c>
      <c r="O239">
        <f t="shared" si="15"/>
        <v>37</v>
      </c>
      <c r="P239">
        <f t="shared" si="16"/>
        <v>21</v>
      </c>
    </row>
    <row r="240" spans="9:16" ht="15" customHeight="1" x14ac:dyDescent="0.25">
      <c r="I240" s="32" t="s">
        <v>337</v>
      </c>
      <c r="J240" s="32" t="s">
        <v>24</v>
      </c>
      <c r="K240" s="32" t="s">
        <v>1555</v>
      </c>
      <c r="L240" s="32" t="s">
        <v>19</v>
      </c>
      <c r="M240">
        <f t="shared" si="13"/>
        <v>137</v>
      </c>
      <c r="N240">
        <f t="shared" si="14"/>
        <v>9</v>
      </c>
      <c r="O240">
        <f t="shared" si="15"/>
        <v>41</v>
      </c>
      <c r="P240">
        <f t="shared" si="16"/>
        <v>23</v>
      </c>
    </row>
    <row r="241" spans="9:16" ht="15" customHeight="1" x14ac:dyDescent="0.25">
      <c r="I241" s="33" t="s">
        <v>338</v>
      </c>
      <c r="J241" s="33" t="s">
        <v>11</v>
      </c>
      <c r="K241" s="33" t="s">
        <v>1557</v>
      </c>
      <c r="L241" s="33" t="s">
        <v>43</v>
      </c>
      <c r="M241">
        <f t="shared" si="13"/>
        <v>135</v>
      </c>
      <c r="N241">
        <f t="shared" si="14"/>
        <v>32</v>
      </c>
      <c r="O241">
        <f t="shared" si="15"/>
        <v>47</v>
      </c>
      <c r="P241">
        <f t="shared" si="16"/>
        <v>25</v>
      </c>
    </row>
    <row r="242" spans="9:16" ht="15" customHeight="1" x14ac:dyDescent="0.25">
      <c r="I242" s="32" t="s">
        <v>335</v>
      </c>
      <c r="J242" s="32" t="s">
        <v>24</v>
      </c>
      <c r="K242" s="32" t="s">
        <v>1560</v>
      </c>
      <c r="L242" s="32" t="s">
        <v>339</v>
      </c>
      <c r="M242">
        <f t="shared" si="13"/>
        <v>139</v>
      </c>
      <c r="N242">
        <f t="shared" si="14"/>
        <v>9</v>
      </c>
      <c r="O242">
        <f t="shared" si="15"/>
        <v>49</v>
      </c>
      <c r="P242">
        <f t="shared" si="16"/>
        <v>0</v>
      </c>
    </row>
    <row r="243" spans="9:16" ht="15" customHeight="1" x14ac:dyDescent="0.25">
      <c r="I243" s="33" t="s">
        <v>343</v>
      </c>
      <c r="J243" s="33" t="s">
        <v>11</v>
      </c>
      <c r="K243" s="33" t="s">
        <v>12</v>
      </c>
      <c r="L243" s="33" t="s">
        <v>345</v>
      </c>
      <c r="M243">
        <f t="shared" si="13"/>
        <v>132</v>
      </c>
      <c r="N243">
        <f t="shared" si="14"/>
        <v>32</v>
      </c>
      <c r="O243">
        <f t="shared" si="15"/>
        <v>0</v>
      </c>
      <c r="P243">
        <f t="shared" si="16"/>
        <v>2</v>
      </c>
    </row>
    <row r="244" spans="9:16" ht="15" customHeight="1" x14ac:dyDescent="0.25">
      <c r="I244" s="32" t="s">
        <v>340</v>
      </c>
      <c r="J244" s="32" t="s">
        <v>11</v>
      </c>
      <c r="K244" s="32" t="s">
        <v>12</v>
      </c>
      <c r="L244" s="32" t="s">
        <v>33</v>
      </c>
      <c r="M244">
        <f t="shared" si="13"/>
        <v>129</v>
      </c>
      <c r="N244">
        <f t="shared" si="14"/>
        <v>32</v>
      </c>
      <c r="O244">
        <f t="shared" si="15"/>
        <v>0</v>
      </c>
      <c r="P244">
        <f t="shared" si="16"/>
        <v>30</v>
      </c>
    </row>
    <row r="245" spans="9:16" ht="15" customHeight="1" x14ac:dyDescent="0.25">
      <c r="I245" s="33" t="s">
        <v>342</v>
      </c>
      <c r="J245" s="33" t="s">
        <v>24</v>
      </c>
      <c r="K245" s="33" t="s">
        <v>1552</v>
      </c>
      <c r="L245" s="33" t="s">
        <v>13</v>
      </c>
      <c r="M245">
        <f t="shared" si="13"/>
        <v>134</v>
      </c>
      <c r="N245">
        <f t="shared" si="14"/>
        <v>9</v>
      </c>
      <c r="O245">
        <f t="shared" si="15"/>
        <v>37</v>
      </c>
      <c r="P245">
        <f t="shared" si="16"/>
        <v>21</v>
      </c>
    </row>
    <row r="246" spans="9:16" ht="15" customHeight="1" x14ac:dyDescent="0.25">
      <c r="I246" s="32" t="s">
        <v>23</v>
      </c>
      <c r="J246" s="32" t="s">
        <v>11</v>
      </c>
      <c r="K246" s="32" t="s">
        <v>1553</v>
      </c>
      <c r="L246" s="32" t="s">
        <v>19</v>
      </c>
      <c r="M246">
        <f t="shared" si="13"/>
        <v>136</v>
      </c>
      <c r="N246">
        <f t="shared" si="14"/>
        <v>32</v>
      </c>
      <c r="O246">
        <f t="shared" si="15"/>
        <v>39</v>
      </c>
      <c r="P246">
        <f t="shared" si="16"/>
        <v>23</v>
      </c>
    </row>
    <row r="247" spans="9:16" ht="15" customHeight="1" x14ac:dyDescent="0.25">
      <c r="I247" s="33" t="s">
        <v>17</v>
      </c>
      <c r="J247" s="33" t="s">
        <v>24</v>
      </c>
      <c r="K247" s="33" t="s">
        <v>1554</v>
      </c>
      <c r="L247" s="33" t="s">
        <v>43</v>
      </c>
      <c r="M247">
        <f t="shared" si="13"/>
        <v>141</v>
      </c>
      <c r="N247">
        <f t="shared" si="14"/>
        <v>9</v>
      </c>
      <c r="O247">
        <f t="shared" si="15"/>
        <v>38</v>
      </c>
      <c r="P247">
        <f t="shared" si="16"/>
        <v>25</v>
      </c>
    </row>
    <row r="248" spans="9:16" ht="15" customHeight="1" x14ac:dyDescent="0.25">
      <c r="I248" s="32" t="s">
        <v>10</v>
      </c>
      <c r="J248" s="32" t="s">
        <v>24</v>
      </c>
      <c r="K248" s="32" t="s">
        <v>1555</v>
      </c>
      <c r="L248" s="32" t="s">
        <v>339</v>
      </c>
      <c r="M248">
        <f t="shared" si="13"/>
        <v>143</v>
      </c>
      <c r="N248">
        <f t="shared" si="14"/>
        <v>9</v>
      </c>
      <c r="O248">
        <f t="shared" si="15"/>
        <v>41</v>
      </c>
      <c r="P248">
        <f t="shared" si="16"/>
        <v>0</v>
      </c>
    </row>
    <row r="249" spans="9:16" ht="15" customHeight="1" x14ac:dyDescent="0.25">
      <c r="I249" s="33" t="s">
        <v>344</v>
      </c>
      <c r="J249" s="33" t="s">
        <v>11</v>
      </c>
      <c r="K249" s="33" t="s">
        <v>1556</v>
      </c>
      <c r="L249" s="33" t="s">
        <v>345</v>
      </c>
      <c r="M249">
        <f t="shared" si="13"/>
        <v>131</v>
      </c>
      <c r="N249">
        <f t="shared" si="14"/>
        <v>32</v>
      </c>
      <c r="O249">
        <f t="shared" si="15"/>
        <v>42</v>
      </c>
      <c r="P249">
        <f t="shared" si="16"/>
        <v>2</v>
      </c>
    </row>
    <row r="250" spans="9:16" ht="15" customHeight="1" x14ac:dyDescent="0.25">
      <c r="I250" s="32" t="s">
        <v>344</v>
      </c>
      <c r="J250" s="32" t="s">
        <v>11</v>
      </c>
      <c r="K250" s="32" t="s">
        <v>1559</v>
      </c>
      <c r="L250" s="32" t="s">
        <v>33</v>
      </c>
      <c r="M250">
        <f t="shared" si="13"/>
        <v>131</v>
      </c>
      <c r="N250">
        <f t="shared" si="14"/>
        <v>32</v>
      </c>
      <c r="O250">
        <f t="shared" si="15"/>
        <v>43</v>
      </c>
      <c r="P250">
        <f t="shared" si="16"/>
        <v>30</v>
      </c>
    </row>
    <row r="251" spans="9:16" ht="15" customHeight="1" x14ac:dyDescent="0.25">
      <c r="I251" s="33" t="s">
        <v>10</v>
      </c>
      <c r="J251" s="33" t="s">
        <v>11</v>
      </c>
      <c r="K251" s="33" t="s">
        <v>1557</v>
      </c>
      <c r="L251" s="33" t="s">
        <v>13</v>
      </c>
      <c r="M251">
        <f t="shared" si="13"/>
        <v>143</v>
      </c>
      <c r="N251">
        <f t="shared" si="14"/>
        <v>32</v>
      </c>
      <c r="O251">
        <f t="shared" si="15"/>
        <v>47</v>
      </c>
      <c r="P251">
        <f t="shared" si="16"/>
        <v>21</v>
      </c>
    </row>
    <row r="252" spans="9:16" ht="15" customHeight="1" x14ac:dyDescent="0.25">
      <c r="I252" s="32" t="s">
        <v>17</v>
      </c>
      <c r="J252" s="32" t="s">
        <v>11</v>
      </c>
      <c r="K252" s="32" t="s">
        <v>1558</v>
      </c>
      <c r="L252" s="32" t="s">
        <v>19</v>
      </c>
      <c r="M252">
        <f t="shared" si="13"/>
        <v>141</v>
      </c>
      <c r="N252">
        <f t="shared" si="14"/>
        <v>32</v>
      </c>
      <c r="O252">
        <f t="shared" si="15"/>
        <v>48</v>
      </c>
      <c r="P252">
        <f t="shared" si="16"/>
        <v>23</v>
      </c>
    </row>
    <row r="253" spans="9:16" ht="15" customHeight="1" x14ac:dyDescent="0.25">
      <c r="I253" s="33" t="s">
        <v>23</v>
      </c>
      <c r="J253" s="33" t="s">
        <v>11</v>
      </c>
      <c r="K253" s="33" t="s">
        <v>1560</v>
      </c>
      <c r="L253" s="33" t="s">
        <v>43</v>
      </c>
      <c r="M253">
        <f t="shared" si="13"/>
        <v>136</v>
      </c>
      <c r="N253">
        <f t="shared" si="14"/>
        <v>32</v>
      </c>
      <c r="O253">
        <f t="shared" si="15"/>
        <v>49</v>
      </c>
      <c r="P253">
        <f t="shared" si="16"/>
        <v>25</v>
      </c>
    </row>
    <row r="254" spans="9:16" ht="15" customHeight="1" x14ac:dyDescent="0.25">
      <c r="I254" s="32" t="s">
        <v>342</v>
      </c>
      <c r="J254" s="32" t="s">
        <v>11</v>
      </c>
      <c r="K254" s="32" t="s">
        <v>1561</v>
      </c>
      <c r="L254" s="32" t="s">
        <v>339</v>
      </c>
      <c r="M254">
        <f t="shared" si="13"/>
        <v>134</v>
      </c>
      <c r="N254">
        <f t="shared" si="14"/>
        <v>32</v>
      </c>
      <c r="O254">
        <f t="shared" si="15"/>
        <v>51</v>
      </c>
      <c r="P254">
        <f t="shared" si="16"/>
        <v>0</v>
      </c>
    </row>
    <row r="255" spans="9:16" ht="15" customHeight="1" x14ac:dyDescent="0.25">
      <c r="I255" s="33" t="s">
        <v>340</v>
      </c>
      <c r="J255" s="33" t="s">
        <v>24</v>
      </c>
      <c r="K255" s="33" t="s">
        <v>1561</v>
      </c>
      <c r="L255" s="33" t="s">
        <v>345</v>
      </c>
      <c r="M255">
        <f t="shared" si="13"/>
        <v>129</v>
      </c>
      <c r="N255">
        <f t="shared" si="14"/>
        <v>9</v>
      </c>
      <c r="O255">
        <f t="shared" si="15"/>
        <v>51</v>
      </c>
      <c r="P255">
        <f t="shared" si="16"/>
        <v>2</v>
      </c>
    </row>
    <row r="256" spans="9:16" ht="15" customHeight="1" x14ac:dyDescent="0.25">
      <c r="I256" s="32" t="s">
        <v>343</v>
      </c>
      <c r="J256" s="32" t="s">
        <v>11</v>
      </c>
      <c r="K256" s="32" t="s">
        <v>1560</v>
      </c>
      <c r="L256" s="32" t="s">
        <v>33</v>
      </c>
      <c r="M256">
        <f t="shared" si="13"/>
        <v>132</v>
      </c>
      <c r="N256">
        <f t="shared" si="14"/>
        <v>32</v>
      </c>
      <c r="O256">
        <f t="shared" si="15"/>
        <v>49</v>
      </c>
      <c r="P256">
        <f t="shared" si="16"/>
        <v>30</v>
      </c>
    </row>
    <row r="257" spans="9:16" ht="15" customHeight="1" x14ac:dyDescent="0.25">
      <c r="I257" s="33" t="s">
        <v>335</v>
      </c>
      <c r="J257" s="33" t="s">
        <v>11</v>
      </c>
      <c r="K257" s="33" t="s">
        <v>1558</v>
      </c>
      <c r="L257" s="33" t="s">
        <v>13</v>
      </c>
      <c r="M257">
        <f t="shared" si="13"/>
        <v>139</v>
      </c>
      <c r="N257">
        <f t="shared" si="14"/>
        <v>32</v>
      </c>
      <c r="O257">
        <f t="shared" si="15"/>
        <v>48</v>
      </c>
      <c r="P257">
        <f t="shared" si="16"/>
        <v>21</v>
      </c>
    </row>
    <row r="258" spans="9:16" ht="15" customHeight="1" x14ac:dyDescent="0.25">
      <c r="I258" s="32" t="s">
        <v>338</v>
      </c>
      <c r="J258" s="32" t="s">
        <v>11</v>
      </c>
      <c r="K258" s="32" t="s">
        <v>1557</v>
      </c>
      <c r="L258" s="32" t="s">
        <v>19</v>
      </c>
      <c r="M258">
        <f t="shared" si="13"/>
        <v>135</v>
      </c>
      <c r="N258">
        <f t="shared" si="14"/>
        <v>32</v>
      </c>
      <c r="O258">
        <f t="shared" si="15"/>
        <v>47</v>
      </c>
      <c r="P258">
        <f t="shared" si="16"/>
        <v>23</v>
      </c>
    </row>
    <row r="259" spans="9:16" ht="15" customHeight="1" x14ac:dyDescent="0.25">
      <c r="I259" s="33" t="s">
        <v>337</v>
      </c>
      <c r="J259" s="33" t="s">
        <v>11</v>
      </c>
      <c r="K259" s="33" t="s">
        <v>1559</v>
      </c>
      <c r="L259" s="33" t="s">
        <v>43</v>
      </c>
      <c r="M259">
        <f t="shared" si="13"/>
        <v>137</v>
      </c>
      <c r="N259">
        <f t="shared" si="14"/>
        <v>32</v>
      </c>
      <c r="O259">
        <f t="shared" si="15"/>
        <v>43</v>
      </c>
      <c r="P259">
        <f t="shared" si="16"/>
        <v>25</v>
      </c>
    </row>
    <row r="260" spans="9:16" ht="15" customHeight="1" x14ac:dyDescent="0.25">
      <c r="I260" s="32" t="s">
        <v>343</v>
      </c>
      <c r="J260" s="32" t="s">
        <v>24</v>
      </c>
      <c r="K260" s="32" t="s">
        <v>1556</v>
      </c>
      <c r="L260" s="32" t="s">
        <v>339</v>
      </c>
      <c r="M260">
        <f t="shared" si="13"/>
        <v>132</v>
      </c>
      <c r="N260">
        <f t="shared" si="14"/>
        <v>9</v>
      </c>
      <c r="O260">
        <f t="shared" si="15"/>
        <v>42</v>
      </c>
      <c r="P260">
        <f t="shared" si="16"/>
        <v>0</v>
      </c>
    </row>
    <row r="261" spans="9:16" ht="15" customHeight="1" x14ac:dyDescent="0.25">
      <c r="I261" s="33" t="s">
        <v>340</v>
      </c>
      <c r="J261" s="33" t="s">
        <v>11</v>
      </c>
      <c r="K261" s="33" t="s">
        <v>1555</v>
      </c>
      <c r="L261" s="33" t="s">
        <v>345</v>
      </c>
      <c r="M261">
        <f t="shared" si="13"/>
        <v>129</v>
      </c>
      <c r="N261">
        <f t="shared" si="14"/>
        <v>32</v>
      </c>
      <c r="O261">
        <f t="shared" si="15"/>
        <v>41</v>
      </c>
      <c r="P261">
        <f t="shared" si="16"/>
        <v>2</v>
      </c>
    </row>
    <row r="262" spans="9:16" ht="15" customHeight="1" x14ac:dyDescent="0.25">
      <c r="I262" s="32" t="s">
        <v>10</v>
      </c>
      <c r="J262" s="32" t="s">
        <v>24</v>
      </c>
      <c r="K262" s="32" t="s">
        <v>1554</v>
      </c>
      <c r="L262" s="32" t="s">
        <v>33</v>
      </c>
      <c r="M262">
        <f t="shared" si="13"/>
        <v>143</v>
      </c>
      <c r="N262">
        <f t="shared" si="14"/>
        <v>9</v>
      </c>
      <c r="O262">
        <f t="shared" si="15"/>
        <v>38</v>
      </c>
      <c r="P262">
        <f t="shared" si="16"/>
        <v>30</v>
      </c>
    </row>
    <row r="263" spans="9:16" ht="15" customHeight="1" x14ac:dyDescent="0.25">
      <c r="I263" s="33" t="s">
        <v>344</v>
      </c>
      <c r="J263" s="33" t="s">
        <v>11</v>
      </c>
      <c r="K263" s="33" t="s">
        <v>1553</v>
      </c>
      <c r="L263" s="33" t="s">
        <v>13</v>
      </c>
      <c r="M263">
        <f t="shared" si="13"/>
        <v>131</v>
      </c>
      <c r="N263">
        <f t="shared" si="14"/>
        <v>32</v>
      </c>
      <c r="O263">
        <f t="shared" si="15"/>
        <v>39</v>
      </c>
      <c r="P263">
        <f t="shared" si="16"/>
        <v>21</v>
      </c>
    </row>
    <row r="264" spans="9:16" ht="15" customHeight="1" x14ac:dyDescent="0.25">
      <c r="I264" s="32" t="s">
        <v>338</v>
      </c>
      <c r="J264" s="32" t="s">
        <v>24</v>
      </c>
      <c r="K264" s="32" t="s">
        <v>1552</v>
      </c>
      <c r="L264" s="32" t="s">
        <v>19</v>
      </c>
      <c r="M264">
        <f t="shared" si="13"/>
        <v>135</v>
      </c>
      <c r="N264">
        <f t="shared" si="14"/>
        <v>9</v>
      </c>
      <c r="O264">
        <f t="shared" si="15"/>
        <v>37</v>
      </c>
      <c r="P264">
        <f t="shared" si="16"/>
        <v>23</v>
      </c>
    </row>
    <row r="265" spans="9:16" ht="15" customHeight="1" x14ac:dyDescent="0.25">
      <c r="I265" s="33" t="s">
        <v>23</v>
      </c>
      <c r="J265" s="33" t="s">
        <v>11</v>
      </c>
      <c r="K265" s="33" t="s">
        <v>12</v>
      </c>
      <c r="L265" s="33" t="s">
        <v>43</v>
      </c>
      <c r="M265">
        <f t="shared" si="13"/>
        <v>136</v>
      </c>
      <c r="N265">
        <f t="shared" si="14"/>
        <v>32</v>
      </c>
      <c r="O265">
        <f t="shared" si="15"/>
        <v>0</v>
      </c>
      <c r="P265">
        <f t="shared" si="16"/>
        <v>25</v>
      </c>
    </row>
    <row r="266" spans="9:16" ht="15" customHeight="1" x14ac:dyDescent="0.25">
      <c r="I266" s="32" t="s">
        <v>17</v>
      </c>
      <c r="J266" s="32" t="s">
        <v>24</v>
      </c>
      <c r="K266" s="32" t="s">
        <v>12</v>
      </c>
      <c r="L266" s="32" t="s">
        <v>339</v>
      </c>
      <c r="M266">
        <f t="shared" si="13"/>
        <v>141</v>
      </c>
      <c r="N266">
        <f t="shared" si="14"/>
        <v>9</v>
      </c>
      <c r="O266">
        <f t="shared" si="15"/>
        <v>0</v>
      </c>
      <c r="P266">
        <f t="shared" si="16"/>
        <v>0</v>
      </c>
    </row>
    <row r="267" spans="9:16" ht="15" customHeight="1" x14ac:dyDescent="0.25">
      <c r="I267" s="33" t="s">
        <v>10</v>
      </c>
      <c r="J267" s="33" t="s">
        <v>24</v>
      </c>
      <c r="K267" s="33" t="s">
        <v>1552</v>
      </c>
      <c r="L267" s="33" t="s">
        <v>345</v>
      </c>
      <c r="M267">
        <f t="shared" si="13"/>
        <v>143</v>
      </c>
      <c r="N267">
        <f t="shared" si="14"/>
        <v>9</v>
      </c>
      <c r="O267">
        <f t="shared" si="15"/>
        <v>37</v>
      </c>
      <c r="P267">
        <f t="shared" si="16"/>
        <v>2</v>
      </c>
    </row>
    <row r="268" spans="9:16" ht="15" customHeight="1" x14ac:dyDescent="0.25">
      <c r="I268" s="32" t="s">
        <v>337</v>
      </c>
      <c r="J268" s="32" t="s">
        <v>24</v>
      </c>
      <c r="K268" s="32" t="s">
        <v>1555</v>
      </c>
      <c r="L268" s="32" t="s">
        <v>33</v>
      </c>
      <c r="M268">
        <f t="shared" si="13"/>
        <v>137</v>
      </c>
      <c r="N268">
        <f t="shared" si="14"/>
        <v>9</v>
      </c>
      <c r="O268">
        <f t="shared" si="15"/>
        <v>41</v>
      </c>
      <c r="P268">
        <f t="shared" si="16"/>
        <v>30</v>
      </c>
    </row>
    <row r="269" spans="9:16" ht="15" customHeight="1" x14ac:dyDescent="0.25">
      <c r="I269" s="33" t="s">
        <v>338</v>
      </c>
      <c r="J269" s="33" t="s">
        <v>11</v>
      </c>
      <c r="K269" s="33" t="s">
        <v>1557</v>
      </c>
      <c r="L269" s="33" t="s">
        <v>13</v>
      </c>
      <c r="M269">
        <f t="shared" si="13"/>
        <v>135</v>
      </c>
      <c r="N269">
        <f t="shared" si="14"/>
        <v>32</v>
      </c>
      <c r="O269">
        <f t="shared" si="15"/>
        <v>47</v>
      </c>
      <c r="P269">
        <f t="shared" si="16"/>
        <v>21</v>
      </c>
    </row>
    <row r="270" spans="9:16" ht="15" customHeight="1" x14ac:dyDescent="0.25">
      <c r="I270" s="32" t="s">
        <v>338</v>
      </c>
      <c r="J270" s="32" t="s">
        <v>11</v>
      </c>
      <c r="K270" s="32" t="s">
        <v>1560</v>
      </c>
      <c r="L270" s="32" t="s">
        <v>19</v>
      </c>
      <c r="M270">
        <f t="shared" si="13"/>
        <v>135</v>
      </c>
      <c r="N270">
        <f t="shared" si="14"/>
        <v>32</v>
      </c>
      <c r="O270">
        <f t="shared" si="15"/>
        <v>49</v>
      </c>
      <c r="P270">
        <f t="shared" si="16"/>
        <v>23</v>
      </c>
    </row>
    <row r="271" spans="9:16" ht="15" customHeight="1" x14ac:dyDescent="0.25">
      <c r="I271" s="33" t="s">
        <v>335</v>
      </c>
      <c r="J271" s="33" t="s">
        <v>11</v>
      </c>
      <c r="K271" s="33" t="s">
        <v>1553</v>
      </c>
      <c r="L271" s="33" t="s">
        <v>43</v>
      </c>
      <c r="M271">
        <f t="shared" si="13"/>
        <v>139</v>
      </c>
      <c r="N271">
        <f t="shared" si="14"/>
        <v>32</v>
      </c>
      <c r="O271">
        <f t="shared" si="15"/>
        <v>39</v>
      </c>
      <c r="P271">
        <f t="shared" si="16"/>
        <v>25</v>
      </c>
    </row>
    <row r="272" spans="9:16" ht="15" customHeight="1" x14ac:dyDescent="0.25">
      <c r="I272" s="32" t="s">
        <v>335</v>
      </c>
      <c r="J272" s="32" t="s">
        <v>11</v>
      </c>
      <c r="K272" s="32" t="s">
        <v>1556</v>
      </c>
      <c r="L272" s="32" t="s">
        <v>339</v>
      </c>
      <c r="M272">
        <f t="shared" si="13"/>
        <v>139</v>
      </c>
      <c r="N272">
        <f t="shared" si="14"/>
        <v>32</v>
      </c>
      <c r="O272">
        <f t="shared" si="15"/>
        <v>42</v>
      </c>
      <c r="P272">
        <f t="shared" si="16"/>
        <v>0</v>
      </c>
    </row>
    <row r="273" spans="9:16" ht="15" customHeight="1" x14ac:dyDescent="0.25">
      <c r="I273" s="33" t="s">
        <v>342</v>
      </c>
      <c r="J273" s="33" t="s">
        <v>11</v>
      </c>
      <c r="K273" s="33" t="s">
        <v>1558</v>
      </c>
      <c r="L273" s="33" t="s">
        <v>345</v>
      </c>
      <c r="M273">
        <f t="shared" si="13"/>
        <v>134</v>
      </c>
      <c r="N273">
        <f t="shared" si="14"/>
        <v>32</v>
      </c>
      <c r="O273">
        <f t="shared" si="15"/>
        <v>48</v>
      </c>
      <c r="P273">
        <f t="shared" si="16"/>
        <v>2</v>
      </c>
    </row>
    <row r="274" spans="9:16" ht="15" customHeight="1" x14ac:dyDescent="0.25">
      <c r="I274" s="32" t="s">
        <v>342</v>
      </c>
      <c r="J274" s="32" t="s">
        <v>11</v>
      </c>
      <c r="K274" s="32" t="s">
        <v>1561</v>
      </c>
      <c r="L274" s="32" t="s">
        <v>33</v>
      </c>
      <c r="M274">
        <f t="shared" si="13"/>
        <v>134</v>
      </c>
      <c r="N274">
        <f t="shared" si="14"/>
        <v>32</v>
      </c>
      <c r="O274">
        <f t="shared" si="15"/>
        <v>51</v>
      </c>
      <c r="P274">
        <f t="shared" si="16"/>
        <v>30</v>
      </c>
    </row>
    <row r="275" spans="9:16" ht="15" customHeight="1" x14ac:dyDescent="0.25">
      <c r="I275" s="33" t="s">
        <v>10</v>
      </c>
      <c r="J275" s="33" t="s">
        <v>24</v>
      </c>
      <c r="K275" s="33" t="s">
        <v>1554</v>
      </c>
      <c r="L275" s="33" t="s">
        <v>13</v>
      </c>
      <c r="M275">
        <f t="shared" si="13"/>
        <v>143</v>
      </c>
      <c r="N275">
        <f t="shared" si="14"/>
        <v>9</v>
      </c>
      <c r="O275">
        <f t="shared" si="15"/>
        <v>38</v>
      </c>
      <c r="P275">
        <f t="shared" si="16"/>
        <v>21</v>
      </c>
    </row>
    <row r="276" spans="9:16" ht="15" customHeight="1" x14ac:dyDescent="0.25">
      <c r="I276" s="32" t="s">
        <v>17</v>
      </c>
      <c r="J276" s="32" t="s">
        <v>11</v>
      </c>
      <c r="K276" s="32" t="s">
        <v>1559</v>
      </c>
      <c r="L276" s="32" t="s">
        <v>19</v>
      </c>
      <c r="M276">
        <f t="shared" si="13"/>
        <v>141</v>
      </c>
      <c r="N276">
        <f t="shared" si="14"/>
        <v>32</v>
      </c>
      <c r="O276">
        <f t="shared" si="15"/>
        <v>43</v>
      </c>
      <c r="P276">
        <f t="shared" si="16"/>
        <v>23</v>
      </c>
    </row>
    <row r="277" spans="9:16" ht="15" customHeight="1" x14ac:dyDescent="0.25">
      <c r="I277" s="33" t="s">
        <v>10</v>
      </c>
      <c r="J277" s="33" t="s">
        <v>24</v>
      </c>
      <c r="K277" s="33" t="s">
        <v>1554</v>
      </c>
      <c r="L277" s="33" t="s">
        <v>43</v>
      </c>
      <c r="M277">
        <f t="shared" si="13"/>
        <v>143</v>
      </c>
      <c r="N277">
        <f t="shared" si="14"/>
        <v>9</v>
      </c>
      <c r="O277">
        <f t="shared" si="15"/>
        <v>38</v>
      </c>
      <c r="P277">
        <f t="shared" si="16"/>
        <v>25</v>
      </c>
    </row>
    <row r="278" spans="9:16" ht="15" customHeight="1" x14ac:dyDescent="0.25">
      <c r="I278" s="32" t="s">
        <v>23</v>
      </c>
      <c r="J278" s="32" t="s">
        <v>24</v>
      </c>
      <c r="K278" s="32" t="s">
        <v>1559</v>
      </c>
      <c r="L278" s="32" t="s">
        <v>339</v>
      </c>
      <c r="M278">
        <f t="shared" si="13"/>
        <v>136</v>
      </c>
      <c r="N278">
        <f t="shared" si="14"/>
        <v>9</v>
      </c>
      <c r="O278">
        <f t="shared" si="15"/>
        <v>43</v>
      </c>
      <c r="P278">
        <f t="shared" si="16"/>
        <v>0</v>
      </c>
    </row>
    <row r="279" spans="9:16" ht="15" customHeight="1" x14ac:dyDescent="0.25">
      <c r="I279" s="33" t="s">
        <v>17</v>
      </c>
      <c r="J279" s="33" t="s">
        <v>11</v>
      </c>
      <c r="K279" s="33" t="s">
        <v>1553</v>
      </c>
      <c r="L279" s="33" t="s">
        <v>345</v>
      </c>
      <c r="M279">
        <f t="shared" si="13"/>
        <v>141</v>
      </c>
      <c r="N279">
        <f t="shared" si="14"/>
        <v>32</v>
      </c>
      <c r="O279">
        <f t="shared" si="15"/>
        <v>39</v>
      </c>
      <c r="P279">
        <f t="shared" si="16"/>
        <v>2</v>
      </c>
    </row>
    <row r="280" spans="9:16" ht="15" customHeight="1" x14ac:dyDescent="0.25">
      <c r="I280" s="32" t="s">
        <v>337</v>
      </c>
      <c r="J280" s="32" t="s">
        <v>24</v>
      </c>
      <c r="K280" s="32" t="s">
        <v>1556</v>
      </c>
      <c r="L280" s="32" t="s">
        <v>33</v>
      </c>
      <c r="M280">
        <f t="shared" si="13"/>
        <v>137</v>
      </c>
      <c r="N280">
        <f t="shared" si="14"/>
        <v>9</v>
      </c>
      <c r="O280">
        <f t="shared" si="15"/>
        <v>42</v>
      </c>
      <c r="P280">
        <f t="shared" si="16"/>
        <v>30</v>
      </c>
    </row>
    <row r="281" spans="9:16" ht="15" customHeight="1" x14ac:dyDescent="0.25">
      <c r="I281" s="33" t="s">
        <v>338</v>
      </c>
      <c r="J281" s="33" t="s">
        <v>11</v>
      </c>
      <c r="K281" s="33" t="s">
        <v>1558</v>
      </c>
      <c r="L281" s="33" t="s">
        <v>13</v>
      </c>
      <c r="M281">
        <f t="shared" ref="M281:M344" si="17">_xlfn.XLOOKUP(I281,$C$9:$C$37,$D$9:$D$37,2,0)</f>
        <v>135</v>
      </c>
      <c r="N281">
        <f t="shared" ref="N281:N344" si="18">_xlfn.XLOOKUP(J281,$C$9:$C$37,$D$9:$D$37,2,0)</f>
        <v>32</v>
      </c>
      <c r="O281">
        <f t="shared" ref="O281:O344" si="19">_xlfn.XLOOKUP(K281,$C$9:$C$37,$D$9:$D$37,2,0)</f>
        <v>48</v>
      </c>
      <c r="P281">
        <f t="shared" ref="P281:P344" si="20">_xlfn.XLOOKUP(L281,$C$9:$C$37,$D$9:$D$37,2,0)</f>
        <v>21</v>
      </c>
    </row>
    <row r="282" spans="9:16" ht="15" customHeight="1" x14ac:dyDescent="0.25">
      <c r="I282" s="32" t="s">
        <v>335</v>
      </c>
      <c r="J282" s="32" t="s">
        <v>11</v>
      </c>
      <c r="K282" s="32" t="s">
        <v>1561</v>
      </c>
      <c r="L282" s="32" t="s">
        <v>19</v>
      </c>
      <c r="M282">
        <f t="shared" si="17"/>
        <v>139</v>
      </c>
      <c r="N282">
        <f t="shared" si="18"/>
        <v>32</v>
      </c>
      <c r="O282">
        <f t="shared" si="19"/>
        <v>51</v>
      </c>
      <c r="P282">
        <f t="shared" si="20"/>
        <v>23</v>
      </c>
    </row>
    <row r="283" spans="9:16" ht="15" customHeight="1" x14ac:dyDescent="0.25">
      <c r="I283" s="33" t="s">
        <v>342</v>
      </c>
      <c r="J283" s="33" t="s">
        <v>11</v>
      </c>
      <c r="K283" s="33" t="s">
        <v>1552</v>
      </c>
      <c r="L283" s="33" t="s">
        <v>43</v>
      </c>
      <c r="M283">
        <f t="shared" si="17"/>
        <v>134</v>
      </c>
      <c r="N283">
        <f t="shared" si="18"/>
        <v>32</v>
      </c>
      <c r="O283">
        <f t="shared" si="19"/>
        <v>37</v>
      </c>
      <c r="P283">
        <f t="shared" si="20"/>
        <v>25</v>
      </c>
    </row>
    <row r="284" spans="9:16" ht="15" customHeight="1" x14ac:dyDescent="0.25">
      <c r="I284" s="32" t="s">
        <v>23</v>
      </c>
      <c r="J284" s="32" t="s">
        <v>11</v>
      </c>
      <c r="K284" s="32" t="s">
        <v>1555</v>
      </c>
      <c r="L284" s="32" t="s">
        <v>339</v>
      </c>
      <c r="M284">
        <f t="shared" si="17"/>
        <v>136</v>
      </c>
      <c r="N284">
        <f t="shared" si="18"/>
        <v>32</v>
      </c>
      <c r="O284">
        <f t="shared" si="19"/>
        <v>41</v>
      </c>
      <c r="P284">
        <f t="shared" si="20"/>
        <v>0</v>
      </c>
    </row>
    <row r="285" spans="9:16" ht="15" customHeight="1" x14ac:dyDescent="0.25">
      <c r="I285" s="33" t="s">
        <v>17</v>
      </c>
      <c r="J285" s="33" t="s">
        <v>24</v>
      </c>
      <c r="K285" s="33" t="s">
        <v>1557</v>
      </c>
      <c r="L285" s="33" t="s">
        <v>345</v>
      </c>
      <c r="M285">
        <f t="shared" si="17"/>
        <v>141</v>
      </c>
      <c r="N285">
        <f t="shared" si="18"/>
        <v>9</v>
      </c>
      <c r="O285">
        <f t="shared" si="19"/>
        <v>47</v>
      </c>
      <c r="P285">
        <f t="shared" si="20"/>
        <v>2</v>
      </c>
    </row>
    <row r="286" spans="9:16" ht="15" customHeight="1" x14ac:dyDescent="0.25">
      <c r="I286" s="32" t="s">
        <v>10</v>
      </c>
      <c r="J286" s="32" t="s">
        <v>11</v>
      </c>
      <c r="K286" s="32" t="s">
        <v>1560</v>
      </c>
      <c r="L286" s="32" t="s">
        <v>33</v>
      </c>
      <c r="M286">
        <f t="shared" si="17"/>
        <v>143</v>
      </c>
      <c r="N286">
        <f t="shared" si="18"/>
        <v>32</v>
      </c>
      <c r="O286">
        <f t="shared" si="19"/>
        <v>49</v>
      </c>
      <c r="P286">
        <f t="shared" si="20"/>
        <v>30</v>
      </c>
    </row>
    <row r="287" spans="9:16" ht="15" customHeight="1" x14ac:dyDescent="0.25">
      <c r="I287" s="33" t="s">
        <v>343</v>
      </c>
      <c r="J287" s="33" t="s">
        <v>24</v>
      </c>
      <c r="K287" s="33" t="s">
        <v>12</v>
      </c>
      <c r="L287" s="33" t="s">
        <v>13</v>
      </c>
      <c r="M287">
        <f t="shared" si="17"/>
        <v>132</v>
      </c>
      <c r="N287">
        <f t="shared" si="18"/>
        <v>9</v>
      </c>
      <c r="O287">
        <f t="shared" si="19"/>
        <v>0</v>
      </c>
      <c r="P287">
        <f t="shared" si="20"/>
        <v>21</v>
      </c>
    </row>
    <row r="288" spans="9:16" ht="15" customHeight="1" x14ac:dyDescent="0.25">
      <c r="I288" s="32" t="s">
        <v>340</v>
      </c>
      <c r="J288" s="32" t="s">
        <v>11</v>
      </c>
      <c r="K288" s="32" t="s">
        <v>12</v>
      </c>
      <c r="L288" s="32" t="s">
        <v>19</v>
      </c>
      <c r="M288">
        <f t="shared" si="17"/>
        <v>129</v>
      </c>
      <c r="N288">
        <f t="shared" si="18"/>
        <v>32</v>
      </c>
      <c r="O288">
        <f t="shared" si="19"/>
        <v>0</v>
      </c>
      <c r="P288">
        <f t="shared" si="20"/>
        <v>23</v>
      </c>
    </row>
    <row r="289" spans="9:16" ht="15" customHeight="1" x14ac:dyDescent="0.25">
      <c r="I289" s="33" t="s">
        <v>344</v>
      </c>
      <c r="J289" s="33" t="s">
        <v>11</v>
      </c>
      <c r="K289" s="33" t="s">
        <v>1552</v>
      </c>
      <c r="L289" s="33" t="s">
        <v>43</v>
      </c>
      <c r="M289">
        <f t="shared" si="17"/>
        <v>131</v>
      </c>
      <c r="N289">
        <f t="shared" si="18"/>
        <v>32</v>
      </c>
      <c r="O289">
        <f t="shared" si="19"/>
        <v>37</v>
      </c>
      <c r="P289">
        <f t="shared" si="20"/>
        <v>25</v>
      </c>
    </row>
    <row r="290" spans="9:16" ht="15" customHeight="1" x14ac:dyDescent="0.25">
      <c r="I290" s="32" t="s">
        <v>335</v>
      </c>
      <c r="J290" s="32" t="s">
        <v>11</v>
      </c>
      <c r="K290" s="32" t="s">
        <v>1553</v>
      </c>
      <c r="L290" s="32" t="s">
        <v>339</v>
      </c>
      <c r="M290">
        <f t="shared" si="17"/>
        <v>139</v>
      </c>
      <c r="N290">
        <f t="shared" si="18"/>
        <v>32</v>
      </c>
      <c r="O290">
        <f t="shared" si="19"/>
        <v>39</v>
      </c>
      <c r="P290">
        <f t="shared" si="20"/>
        <v>0</v>
      </c>
    </row>
    <row r="291" spans="9:16" ht="15" customHeight="1" x14ac:dyDescent="0.25">
      <c r="I291" s="33" t="s">
        <v>343</v>
      </c>
      <c r="J291" s="33" t="s">
        <v>24</v>
      </c>
      <c r="K291" s="33" t="s">
        <v>1554</v>
      </c>
      <c r="L291" s="33" t="s">
        <v>345</v>
      </c>
      <c r="M291">
        <f t="shared" si="17"/>
        <v>132</v>
      </c>
      <c r="N291">
        <f t="shared" si="18"/>
        <v>9</v>
      </c>
      <c r="O291">
        <f t="shared" si="19"/>
        <v>38</v>
      </c>
      <c r="P291">
        <f t="shared" si="20"/>
        <v>2</v>
      </c>
    </row>
    <row r="292" spans="9:16" ht="15" customHeight="1" x14ac:dyDescent="0.25">
      <c r="I292" s="32" t="s">
        <v>340</v>
      </c>
      <c r="J292" s="32" t="s">
        <v>11</v>
      </c>
      <c r="K292" s="32" t="s">
        <v>1555</v>
      </c>
      <c r="L292" s="32" t="s">
        <v>33</v>
      </c>
      <c r="M292">
        <f t="shared" si="17"/>
        <v>129</v>
      </c>
      <c r="N292">
        <f t="shared" si="18"/>
        <v>32</v>
      </c>
      <c r="O292">
        <f t="shared" si="19"/>
        <v>41</v>
      </c>
      <c r="P292">
        <f t="shared" si="20"/>
        <v>30</v>
      </c>
    </row>
    <row r="293" spans="9:16" ht="15" customHeight="1" x14ac:dyDescent="0.25">
      <c r="I293" s="33" t="s">
        <v>344</v>
      </c>
      <c r="J293" s="33" t="s">
        <v>11</v>
      </c>
      <c r="K293" s="33" t="s">
        <v>1556</v>
      </c>
      <c r="L293" s="33" t="s">
        <v>13</v>
      </c>
      <c r="M293">
        <f t="shared" si="17"/>
        <v>131</v>
      </c>
      <c r="N293">
        <f t="shared" si="18"/>
        <v>32</v>
      </c>
      <c r="O293">
        <f t="shared" si="19"/>
        <v>42</v>
      </c>
      <c r="P293">
        <f t="shared" si="20"/>
        <v>21</v>
      </c>
    </row>
    <row r="294" spans="9:16" ht="15" customHeight="1" x14ac:dyDescent="0.25">
      <c r="I294" s="32" t="s">
        <v>337</v>
      </c>
      <c r="J294" s="32" t="s">
        <v>11</v>
      </c>
      <c r="K294" s="32" t="s">
        <v>1559</v>
      </c>
      <c r="L294" s="32" t="s">
        <v>19</v>
      </c>
      <c r="M294">
        <f t="shared" si="17"/>
        <v>137</v>
      </c>
      <c r="N294">
        <f t="shared" si="18"/>
        <v>32</v>
      </c>
      <c r="O294">
        <f t="shared" si="19"/>
        <v>43</v>
      </c>
      <c r="P294">
        <f t="shared" si="20"/>
        <v>23</v>
      </c>
    </row>
    <row r="295" spans="9:16" ht="15" customHeight="1" x14ac:dyDescent="0.25">
      <c r="I295" s="33" t="s">
        <v>338</v>
      </c>
      <c r="J295" s="33" t="s">
        <v>11</v>
      </c>
      <c r="K295" s="33" t="s">
        <v>1557</v>
      </c>
      <c r="L295" s="33" t="s">
        <v>43</v>
      </c>
      <c r="M295">
        <f t="shared" si="17"/>
        <v>135</v>
      </c>
      <c r="N295">
        <f t="shared" si="18"/>
        <v>32</v>
      </c>
      <c r="O295">
        <f t="shared" si="19"/>
        <v>47</v>
      </c>
      <c r="P295">
        <f t="shared" si="20"/>
        <v>25</v>
      </c>
    </row>
    <row r="296" spans="9:16" ht="15" customHeight="1" x14ac:dyDescent="0.25">
      <c r="I296" s="32" t="s">
        <v>335</v>
      </c>
      <c r="J296" s="32" t="s">
        <v>24</v>
      </c>
      <c r="K296" s="32" t="s">
        <v>1558</v>
      </c>
      <c r="L296" s="32" t="s">
        <v>339</v>
      </c>
      <c r="M296">
        <f t="shared" si="17"/>
        <v>139</v>
      </c>
      <c r="N296">
        <f t="shared" si="18"/>
        <v>9</v>
      </c>
      <c r="O296">
        <f t="shared" si="19"/>
        <v>48</v>
      </c>
      <c r="P296">
        <f t="shared" si="20"/>
        <v>0</v>
      </c>
    </row>
    <row r="297" spans="9:16" ht="15" customHeight="1" x14ac:dyDescent="0.25">
      <c r="I297" s="33" t="s">
        <v>343</v>
      </c>
      <c r="J297" s="33" t="s">
        <v>11</v>
      </c>
      <c r="K297" s="33" t="s">
        <v>1560</v>
      </c>
      <c r="L297" s="33" t="s">
        <v>345</v>
      </c>
      <c r="M297">
        <f t="shared" si="17"/>
        <v>132</v>
      </c>
      <c r="N297">
        <f t="shared" si="18"/>
        <v>32</v>
      </c>
      <c r="O297">
        <f t="shared" si="19"/>
        <v>49</v>
      </c>
      <c r="P297">
        <f t="shared" si="20"/>
        <v>2</v>
      </c>
    </row>
    <row r="298" spans="9:16" ht="15" customHeight="1" x14ac:dyDescent="0.25">
      <c r="I298" s="32" t="s">
        <v>340</v>
      </c>
      <c r="J298" s="32" t="s">
        <v>24</v>
      </c>
      <c r="K298" s="32" t="s">
        <v>1561</v>
      </c>
      <c r="L298" s="32" t="s">
        <v>33</v>
      </c>
      <c r="M298">
        <f t="shared" si="17"/>
        <v>129</v>
      </c>
      <c r="N298">
        <f t="shared" si="18"/>
        <v>9</v>
      </c>
      <c r="O298">
        <f t="shared" si="19"/>
        <v>51</v>
      </c>
      <c r="P298">
        <f t="shared" si="20"/>
        <v>30</v>
      </c>
    </row>
    <row r="299" spans="9:16" ht="15" customHeight="1" x14ac:dyDescent="0.25">
      <c r="I299" s="33" t="s">
        <v>342</v>
      </c>
      <c r="J299" s="33" t="s">
        <v>11</v>
      </c>
      <c r="K299" s="33" t="s">
        <v>1561</v>
      </c>
      <c r="L299" s="33" t="s">
        <v>13</v>
      </c>
      <c r="M299">
        <f t="shared" si="17"/>
        <v>134</v>
      </c>
      <c r="N299">
        <f t="shared" si="18"/>
        <v>32</v>
      </c>
      <c r="O299">
        <f t="shared" si="19"/>
        <v>51</v>
      </c>
      <c r="P299">
        <f t="shared" si="20"/>
        <v>21</v>
      </c>
    </row>
    <row r="300" spans="9:16" ht="15" customHeight="1" x14ac:dyDescent="0.25">
      <c r="I300" s="32" t="s">
        <v>23</v>
      </c>
      <c r="J300" s="32" t="s">
        <v>11</v>
      </c>
      <c r="K300" s="32" t="s">
        <v>1560</v>
      </c>
      <c r="L300" s="32" t="s">
        <v>19</v>
      </c>
      <c r="M300">
        <f t="shared" si="17"/>
        <v>136</v>
      </c>
      <c r="N300">
        <f t="shared" si="18"/>
        <v>32</v>
      </c>
      <c r="O300">
        <f t="shared" si="19"/>
        <v>49</v>
      </c>
      <c r="P300">
        <f t="shared" si="20"/>
        <v>23</v>
      </c>
    </row>
    <row r="301" spans="9:16" ht="15" customHeight="1" x14ac:dyDescent="0.25">
      <c r="I301" s="33" t="s">
        <v>17</v>
      </c>
      <c r="J301" s="33" t="s">
        <v>11</v>
      </c>
      <c r="K301" s="33" t="s">
        <v>1558</v>
      </c>
      <c r="L301" s="33" t="s">
        <v>43</v>
      </c>
      <c r="M301">
        <f t="shared" si="17"/>
        <v>141</v>
      </c>
      <c r="N301">
        <f t="shared" si="18"/>
        <v>32</v>
      </c>
      <c r="O301">
        <f t="shared" si="19"/>
        <v>48</v>
      </c>
      <c r="P301">
        <f t="shared" si="20"/>
        <v>25</v>
      </c>
    </row>
    <row r="302" spans="9:16" ht="15" customHeight="1" x14ac:dyDescent="0.25">
      <c r="I302" s="32" t="s">
        <v>10</v>
      </c>
      <c r="J302" s="32" t="s">
        <v>24</v>
      </c>
      <c r="K302" s="32" t="s">
        <v>1557</v>
      </c>
      <c r="L302" s="32" t="s">
        <v>339</v>
      </c>
      <c r="M302">
        <f t="shared" si="17"/>
        <v>143</v>
      </c>
      <c r="N302">
        <f t="shared" si="18"/>
        <v>9</v>
      </c>
      <c r="O302">
        <f t="shared" si="19"/>
        <v>47</v>
      </c>
      <c r="P302">
        <f t="shared" si="20"/>
        <v>0</v>
      </c>
    </row>
    <row r="303" spans="9:16" ht="15" customHeight="1" x14ac:dyDescent="0.25">
      <c r="I303" s="33" t="s">
        <v>344</v>
      </c>
      <c r="J303" s="33" t="s">
        <v>11</v>
      </c>
      <c r="K303" s="33" t="s">
        <v>1559</v>
      </c>
      <c r="L303" s="33" t="s">
        <v>345</v>
      </c>
      <c r="M303">
        <f t="shared" si="17"/>
        <v>131</v>
      </c>
      <c r="N303">
        <f t="shared" si="18"/>
        <v>32</v>
      </c>
      <c r="O303">
        <f t="shared" si="19"/>
        <v>43</v>
      </c>
      <c r="P303">
        <f t="shared" si="20"/>
        <v>2</v>
      </c>
    </row>
    <row r="304" spans="9:16" ht="15" customHeight="1" x14ac:dyDescent="0.25">
      <c r="I304" s="32" t="s">
        <v>344</v>
      </c>
      <c r="J304" s="32" t="s">
        <v>24</v>
      </c>
      <c r="K304" s="32" t="s">
        <v>1556</v>
      </c>
      <c r="L304" s="32" t="s">
        <v>33</v>
      </c>
      <c r="M304">
        <f t="shared" si="17"/>
        <v>131</v>
      </c>
      <c r="N304">
        <f t="shared" si="18"/>
        <v>9</v>
      </c>
      <c r="O304">
        <f t="shared" si="19"/>
        <v>42</v>
      </c>
      <c r="P304">
        <f t="shared" si="20"/>
        <v>30</v>
      </c>
    </row>
    <row r="305" spans="9:16" ht="15" customHeight="1" x14ac:dyDescent="0.25">
      <c r="I305" s="33" t="s">
        <v>10</v>
      </c>
      <c r="J305" s="33" t="s">
        <v>11</v>
      </c>
      <c r="K305" s="33" t="s">
        <v>1555</v>
      </c>
      <c r="L305" s="33" t="s">
        <v>13</v>
      </c>
      <c r="M305">
        <f t="shared" si="17"/>
        <v>143</v>
      </c>
      <c r="N305">
        <f t="shared" si="18"/>
        <v>32</v>
      </c>
      <c r="O305">
        <f t="shared" si="19"/>
        <v>41</v>
      </c>
      <c r="P305">
        <f t="shared" si="20"/>
        <v>21</v>
      </c>
    </row>
    <row r="306" spans="9:16" ht="15" customHeight="1" x14ac:dyDescent="0.25">
      <c r="I306" s="32" t="s">
        <v>17</v>
      </c>
      <c r="J306" s="32" t="s">
        <v>24</v>
      </c>
      <c r="K306" s="32" t="s">
        <v>1554</v>
      </c>
      <c r="L306" s="32" t="s">
        <v>19</v>
      </c>
      <c r="M306">
        <f t="shared" si="17"/>
        <v>141</v>
      </c>
      <c r="N306">
        <f t="shared" si="18"/>
        <v>9</v>
      </c>
      <c r="O306">
        <f t="shared" si="19"/>
        <v>38</v>
      </c>
      <c r="P306">
        <f t="shared" si="20"/>
        <v>23</v>
      </c>
    </row>
    <row r="307" spans="9:16" ht="15" customHeight="1" x14ac:dyDescent="0.25">
      <c r="I307" s="33" t="s">
        <v>23</v>
      </c>
      <c r="J307" s="33" t="s">
        <v>11</v>
      </c>
      <c r="K307" s="33" t="s">
        <v>1553</v>
      </c>
      <c r="L307" s="33" t="s">
        <v>43</v>
      </c>
      <c r="M307">
        <f t="shared" si="17"/>
        <v>136</v>
      </c>
      <c r="N307">
        <f t="shared" si="18"/>
        <v>32</v>
      </c>
      <c r="O307">
        <f t="shared" si="19"/>
        <v>39</v>
      </c>
      <c r="P307">
        <f t="shared" si="20"/>
        <v>25</v>
      </c>
    </row>
    <row r="308" spans="9:16" ht="15" customHeight="1" x14ac:dyDescent="0.25">
      <c r="I308" s="32" t="s">
        <v>342</v>
      </c>
      <c r="J308" s="32" t="s">
        <v>24</v>
      </c>
      <c r="K308" s="32" t="s">
        <v>1552</v>
      </c>
      <c r="L308" s="32" t="s">
        <v>339</v>
      </c>
      <c r="M308">
        <f t="shared" si="17"/>
        <v>134</v>
      </c>
      <c r="N308">
        <f t="shared" si="18"/>
        <v>9</v>
      </c>
      <c r="O308">
        <f t="shared" si="19"/>
        <v>37</v>
      </c>
      <c r="P308">
        <f t="shared" si="20"/>
        <v>0</v>
      </c>
    </row>
    <row r="309" spans="9:16" ht="15" customHeight="1" x14ac:dyDescent="0.25">
      <c r="I309" s="33" t="s">
        <v>340</v>
      </c>
      <c r="J309" s="33" t="s">
        <v>11</v>
      </c>
      <c r="K309" s="33" t="s">
        <v>12</v>
      </c>
      <c r="L309" s="33" t="s">
        <v>345</v>
      </c>
      <c r="M309">
        <f t="shared" si="17"/>
        <v>129</v>
      </c>
      <c r="N309">
        <f t="shared" si="18"/>
        <v>32</v>
      </c>
      <c r="O309">
        <f t="shared" si="19"/>
        <v>0</v>
      </c>
      <c r="P309">
        <f t="shared" si="20"/>
        <v>2</v>
      </c>
    </row>
    <row r="310" spans="9:16" ht="15" customHeight="1" x14ac:dyDescent="0.25">
      <c r="I310" s="32" t="s">
        <v>343</v>
      </c>
      <c r="J310" s="32" t="s">
        <v>24</v>
      </c>
      <c r="K310" s="32" t="s">
        <v>12</v>
      </c>
      <c r="L310" s="32" t="s">
        <v>33</v>
      </c>
      <c r="M310">
        <f t="shared" si="17"/>
        <v>132</v>
      </c>
      <c r="N310">
        <f t="shared" si="18"/>
        <v>9</v>
      </c>
      <c r="O310">
        <f t="shared" si="19"/>
        <v>0</v>
      </c>
      <c r="P310">
        <f t="shared" si="20"/>
        <v>30</v>
      </c>
    </row>
    <row r="311" spans="9:16" ht="15" customHeight="1" x14ac:dyDescent="0.25">
      <c r="I311" s="33" t="s">
        <v>335</v>
      </c>
      <c r="J311" s="33" t="s">
        <v>11</v>
      </c>
      <c r="K311" s="33" t="s">
        <v>1552</v>
      </c>
      <c r="L311" s="33" t="s">
        <v>13</v>
      </c>
      <c r="M311">
        <f t="shared" si="17"/>
        <v>139</v>
      </c>
      <c r="N311">
        <f t="shared" si="18"/>
        <v>32</v>
      </c>
      <c r="O311">
        <f t="shared" si="19"/>
        <v>37</v>
      </c>
      <c r="P311">
        <f t="shared" si="20"/>
        <v>21</v>
      </c>
    </row>
    <row r="312" spans="9:16" ht="15" customHeight="1" x14ac:dyDescent="0.25">
      <c r="I312" s="32" t="s">
        <v>338</v>
      </c>
      <c r="J312" s="32" t="s">
        <v>24</v>
      </c>
      <c r="K312" s="32" t="s">
        <v>1555</v>
      </c>
      <c r="L312" s="32" t="s">
        <v>19</v>
      </c>
      <c r="M312">
        <f t="shared" si="17"/>
        <v>135</v>
      </c>
      <c r="N312">
        <f t="shared" si="18"/>
        <v>9</v>
      </c>
      <c r="O312">
        <f t="shared" si="19"/>
        <v>41</v>
      </c>
      <c r="P312">
        <f t="shared" si="20"/>
        <v>23</v>
      </c>
    </row>
    <row r="313" spans="9:16" ht="15" customHeight="1" x14ac:dyDescent="0.25">
      <c r="I313" s="33" t="s">
        <v>337</v>
      </c>
      <c r="J313" s="33" t="s">
        <v>11</v>
      </c>
      <c r="K313" s="33" t="s">
        <v>1557</v>
      </c>
      <c r="L313" s="33" t="s">
        <v>43</v>
      </c>
      <c r="M313">
        <f t="shared" si="17"/>
        <v>137</v>
      </c>
      <c r="N313">
        <f t="shared" si="18"/>
        <v>32</v>
      </c>
      <c r="O313">
        <f t="shared" si="19"/>
        <v>47</v>
      </c>
      <c r="P313">
        <f t="shared" si="20"/>
        <v>25</v>
      </c>
    </row>
    <row r="314" spans="9:16" ht="15" customHeight="1" x14ac:dyDescent="0.25">
      <c r="I314" s="32" t="s">
        <v>343</v>
      </c>
      <c r="J314" s="32" t="s">
        <v>24</v>
      </c>
      <c r="K314" s="32" t="s">
        <v>1560</v>
      </c>
      <c r="L314" s="32" t="s">
        <v>339</v>
      </c>
      <c r="M314">
        <f t="shared" si="17"/>
        <v>132</v>
      </c>
      <c r="N314">
        <f t="shared" si="18"/>
        <v>9</v>
      </c>
      <c r="O314">
        <f t="shared" si="19"/>
        <v>49</v>
      </c>
      <c r="P314">
        <f t="shared" si="20"/>
        <v>0</v>
      </c>
    </row>
    <row r="315" spans="9:16" ht="15" customHeight="1" x14ac:dyDescent="0.25">
      <c r="I315" s="33" t="s">
        <v>340</v>
      </c>
      <c r="J315" s="33" t="s">
        <v>11</v>
      </c>
      <c r="K315" s="33" t="s">
        <v>1553</v>
      </c>
      <c r="L315" s="33" t="s">
        <v>345</v>
      </c>
      <c r="M315">
        <f t="shared" si="17"/>
        <v>129</v>
      </c>
      <c r="N315">
        <f t="shared" si="18"/>
        <v>32</v>
      </c>
      <c r="O315">
        <f t="shared" si="19"/>
        <v>39</v>
      </c>
      <c r="P315">
        <f t="shared" si="20"/>
        <v>2</v>
      </c>
    </row>
    <row r="316" spans="9:16" ht="15" customHeight="1" x14ac:dyDescent="0.25">
      <c r="I316" s="32" t="s">
        <v>10</v>
      </c>
      <c r="J316" s="32" t="s">
        <v>24</v>
      </c>
      <c r="K316" s="32" t="s">
        <v>1556</v>
      </c>
      <c r="L316" s="32" t="s">
        <v>33</v>
      </c>
      <c r="M316">
        <f t="shared" si="17"/>
        <v>143</v>
      </c>
      <c r="N316">
        <f t="shared" si="18"/>
        <v>9</v>
      </c>
      <c r="O316">
        <f t="shared" si="19"/>
        <v>42</v>
      </c>
      <c r="P316">
        <f t="shared" si="20"/>
        <v>30</v>
      </c>
    </row>
    <row r="317" spans="9:16" ht="15" customHeight="1" x14ac:dyDescent="0.25">
      <c r="I317" s="33" t="s">
        <v>344</v>
      </c>
      <c r="J317" s="33" t="s">
        <v>11</v>
      </c>
      <c r="K317" s="33" t="s">
        <v>1558</v>
      </c>
      <c r="L317" s="33" t="s">
        <v>13</v>
      </c>
      <c r="M317">
        <f t="shared" si="17"/>
        <v>131</v>
      </c>
      <c r="N317">
        <f t="shared" si="18"/>
        <v>32</v>
      </c>
      <c r="O317">
        <f t="shared" si="19"/>
        <v>48</v>
      </c>
      <c r="P317">
        <f t="shared" si="20"/>
        <v>21</v>
      </c>
    </row>
    <row r="318" spans="9:16" ht="15" customHeight="1" x14ac:dyDescent="0.25">
      <c r="I318" s="32" t="s">
        <v>338</v>
      </c>
      <c r="J318" s="32" t="s">
        <v>24</v>
      </c>
      <c r="K318" s="32" t="s">
        <v>1561</v>
      </c>
      <c r="L318" s="32" t="s">
        <v>19</v>
      </c>
      <c r="M318">
        <f t="shared" si="17"/>
        <v>135</v>
      </c>
      <c r="N318">
        <f t="shared" si="18"/>
        <v>9</v>
      </c>
      <c r="O318">
        <f t="shared" si="19"/>
        <v>51</v>
      </c>
      <c r="P318">
        <f t="shared" si="20"/>
        <v>23</v>
      </c>
    </row>
    <row r="319" spans="9:16" ht="15" customHeight="1" x14ac:dyDescent="0.25">
      <c r="I319" s="33" t="s">
        <v>23</v>
      </c>
      <c r="J319" s="33" t="s">
        <v>11</v>
      </c>
      <c r="K319" s="33" t="s">
        <v>1554</v>
      </c>
      <c r="L319" s="33" t="s">
        <v>43</v>
      </c>
      <c r="M319">
        <f t="shared" si="17"/>
        <v>136</v>
      </c>
      <c r="N319">
        <f t="shared" si="18"/>
        <v>32</v>
      </c>
      <c r="O319">
        <f t="shared" si="19"/>
        <v>38</v>
      </c>
      <c r="P319">
        <f t="shared" si="20"/>
        <v>25</v>
      </c>
    </row>
    <row r="320" spans="9:16" ht="15" customHeight="1" x14ac:dyDescent="0.25">
      <c r="I320" s="32" t="s">
        <v>17</v>
      </c>
      <c r="J320" s="32" t="s">
        <v>24</v>
      </c>
      <c r="K320" s="32" t="s">
        <v>1559</v>
      </c>
      <c r="L320" s="32" t="s">
        <v>339</v>
      </c>
      <c r="M320">
        <f t="shared" si="17"/>
        <v>141</v>
      </c>
      <c r="N320">
        <f t="shared" si="18"/>
        <v>9</v>
      </c>
      <c r="O320">
        <f t="shared" si="19"/>
        <v>43</v>
      </c>
      <c r="P320">
        <f t="shared" si="20"/>
        <v>0</v>
      </c>
    </row>
    <row r="321" spans="9:16" ht="15" customHeight="1" x14ac:dyDescent="0.25">
      <c r="I321" s="33" t="s">
        <v>10</v>
      </c>
      <c r="J321" s="33" t="s">
        <v>11</v>
      </c>
      <c r="K321" s="33" t="s">
        <v>1554</v>
      </c>
      <c r="L321" s="33" t="s">
        <v>345</v>
      </c>
      <c r="M321">
        <f t="shared" si="17"/>
        <v>143</v>
      </c>
      <c r="N321">
        <f t="shared" si="18"/>
        <v>32</v>
      </c>
      <c r="O321">
        <f t="shared" si="19"/>
        <v>38</v>
      </c>
      <c r="P321">
        <f t="shared" si="20"/>
        <v>2</v>
      </c>
    </row>
    <row r="322" spans="9:16" ht="15" customHeight="1" x14ac:dyDescent="0.25">
      <c r="I322" s="32" t="s">
        <v>337</v>
      </c>
      <c r="J322" s="32" t="s">
        <v>24</v>
      </c>
      <c r="K322" s="32" t="s">
        <v>1559</v>
      </c>
      <c r="L322" s="32" t="s">
        <v>33</v>
      </c>
      <c r="M322">
        <f t="shared" si="17"/>
        <v>137</v>
      </c>
      <c r="N322">
        <f t="shared" si="18"/>
        <v>9</v>
      </c>
      <c r="O322">
        <f t="shared" si="19"/>
        <v>43</v>
      </c>
      <c r="P322">
        <f t="shared" si="20"/>
        <v>30</v>
      </c>
    </row>
    <row r="323" spans="9:16" ht="15" customHeight="1" x14ac:dyDescent="0.25">
      <c r="I323" s="33" t="s">
        <v>338</v>
      </c>
      <c r="J323" s="33" t="s">
        <v>11</v>
      </c>
      <c r="K323" s="33" t="s">
        <v>1553</v>
      </c>
      <c r="L323" s="33" t="s">
        <v>13</v>
      </c>
      <c r="M323">
        <f t="shared" si="17"/>
        <v>135</v>
      </c>
      <c r="N323">
        <f t="shared" si="18"/>
        <v>32</v>
      </c>
      <c r="O323">
        <f t="shared" si="19"/>
        <v>39</v>
      </c>
      <c r="P323">
        <f t="shared" si="20"/>
        <v>21</v>
      </c>
    </row>
    <row r="324" spans="9:16" ht="15" customHeight="1" x14ac:dyDescent="0.25">
      <c r="I324" s="32" t="s">
        <v>338</v>
      </c>
      <c r="J324" s="32" t="s">
        <v>24</v>
      </c>
      <c r="K324" s="32" t="s">
        <v>1556</v>
      </c>
      <c r="L324" s="32" t="s">
        <v>19</v>
      </c>
      <c r="M324">
        <f t="shared" si="17"/>
        <v>135</v>
      </c>
      <c r="N324">
        <f t="shared" si="18"/>
        <v>9</v>
      </c>
      <c r="O324">
        <f t="shared" si="19"/>
        <v>42</v>
      </c>
      <c r="P324">
        <f t="shared" si="20"/>
        <v>23</v>
      </c>
    </row>
    <row r="325" spans="9:16" ht="15" customHeight="1" x14ac:dyDescent="0.25">
      <c r="I325" s="33" t="s">
        <v>335</v>
      </c>
      <c r="J325" s="33" t="s">
        <v>11</v>
      </c>
      <c r="K325" s="33" t="s">
        <v>1558</v>
      </c>
      <c r="L325" s="33" t="s">
        <v>43</v>
      </c>
      <c r="M325">
        <f t="shared" si="17"/>
        <v>139</v>
      </c>
      <c r="N325">
        <f t="shared" si="18"/>
        <v>32</v>
      </c>
      <c r="O325">
        <f t="shared" si="19"/>
        <v>48</v>
      </c>
      <c r="P325">
        <f t="shared" si="20"/>
        <v>25</v>
      </c>
    </row>
    <row r="326" spans="9:16" ht="15" customHeight="1" x14ac:dyDescent="0.25">
      <c r="I326" s="32" t="s">
        <v>335</v>
      </c>
      <c r="J326" s="32" t="s">
        <v>24</v>
      </c>
      <c r="K326" s="32" t="s">
        <v>1561</v>
      </c>
      <c r="L326" s="32" t="s">
        <v>339</v>
      </c>
      <c r="M326">
        <f t="shared" si="17"/>
        <v>139</v>
      </c>
      <c r="N326">
        <f t="shared" si="18"/>
        <v>9</v>
      </c>
      <c r="O326">
        <f t="shared" si="19"/>
        <v>51</v>
      </c>
      <c r="P326">
        <f t="shared" si="20"/>
        <v>0</v>
      </c>
    </row>
    <row r="327" spans="9:16" ht="15" customHeight="1" x14ac:dyDescent="0.25">
      <c r="I327" s="33" t="s">
        <v>342</v>
      </c>
      <c r="J327" s="33" t="s">
        <v>11</v>
      </c>
      <c r="K327" s="33" t="s">
        <v>1552</v>
      </c>
      <c r="L327" s="33" t="s">
        <v>345</v>
      </c>
      <c r="M327">
        <f t="shared" si="17"/>
        <v>134</v>
      </c>
      <c r="N327">
        <f t="shared" si="18"/>
        <v>32</v>
      </c>
      <c r="O327">
        <f t="shared" si="19"/>
        <v>37</v>
      </c>
      <c r="P327">
        <f t="shared" si="20"/>
        <v>2</v>
      </c>
    </row>
    <row r="328" spans="9:16" ht="15" customHeight="1" x14ac:dyDescent="0.25">
      <c r="I328" s="32" t="s">
        <v>342</v>
      </c>
      <c r="J328" s="32" t="s">
        <v>24</v>
      </c>
      <c r="K328" s="32" t="s">
        <v>1555</v>
      </c>
      <c r="L328" s="32" t="s">
        <v>33</v>
      </c>
      <c r="M328">
        <f t="shared" si="17"/>
        <v>134</v>
      </c>
      <c r="N328">
        <f t="shared" si="18"/>
        <v>9</v>
      </c>
      <c r="O328">
        <f t="shared" si="19"/>
        <v>41</v>
      </c>
      <c r="P328">
        <f t="shared" si="20"/>
        <v>30</v>
      </c>
    </row>
    <row r="329" spans="9:16" ht="15" customHeight="1" x14ac:dyDescent="0.25">
      <c r="I329" s="33" t="s">
        <v>10</v>
      </c>
      <c r="J329" s="33" t="s">
        <v>11</v>
      </c>
      <c r="K329" s="33" t="s">
        <v>1557</v>
      </c>
      <c r="L329" s="33" t="s">
        <v>13</v>
      </c>
      <c r="M329">
        <f t="shared" si="17"/>
        <v>143</v>
      </c>
      <c r="N329">
        <f t="shared" si="18"/>
        <v>32</v>
      </c>
      <c r="O329">
        <f t="shared" si="19"/>
        <v>47</v>
      </c>
      <c r="P329">
        <f t="shared" si="20"/>
        <v>21</v>
      </c>
    </row>
    <row r="330" spans="9:16" ht="15" customHeight="1" x14ac:dyDescent="0.25">
      <c r="I330" s="32" t="s">
        <v>17</v>
      </c>
      <c r="J330" s="32" t="s">
        <v>11</v>
      </c>
      <c r="K330" s="32" t="s">
        <v>1560</v>
      </c>
      <c r="L330" s="32" t="s">
        <v>19</v>
      </c>
      <c r="M330">
        <f t="shared" si="17"/>
        <v>141</v>
      </c>
      <c r="N330">
        <f t="shared" si="18"/>
        <v>32</v>
      </c>
      <c r="O330">
        <f t="shared" si="19"/>
        <v>49</v>
      </c>
      <c r="P330">
        <f t="shared" si="20"/>
        <v>23</v>
      </c>
    </row>
    <row r="331" spans="9:16" ht="15" customHeight="1" x14ac:dyDescent="0.25">
      <c r="I331" s="33" t="s">
        <v>10</v>
      </c>
      <c r="J331" s="33" t="s">
        <v>11</v>
      </c>
      <c r="K331" s="33" t="s">
        <v>12</v>
      </c>
      <c r="L331" s="33" t="s">
        <v>43</v>
      </c>
      <c r="M331">
        <f t="shared" si="17"/>
        <v>143</v>
      </c>
      <c r="N331">
        <f t="shared" si="18"/>
        <v>32</v>
      </c>
      <c r="O331">
        <f t="shared" si="19"/>
        <v>0</v>
      </c>
      <c r="P331">
        <f t="shared" si="20"/>
        <v>25</v>
      </c>
    </row>
    <row r="332" spans="9:16" ht="15" customHeight="1" x14ac:dyDescent="0.25">
      <c r="I332" s="32" t="s">
        <v>23</v>
      </c>
      <c r="J332" s="32" t="s">
        <v>11</v>
      </c>
      <c r="K332" s="32" t="s">
        <v>12</v>
      </c>
      <c r="L332" s="32" t="s">
        <v>339</v>
      </c>
      <c r="M332">
        <f t="shared" si="17"/>
        <v>136</v>
      </c>
      <c r="N332">
        <f t="shared" si="18"/>
        <v>32</v>
      </c>
      <c r="O332">
        <f t="shared" si="19"/>
        <v>0</v>
      </c>
      <c r="P332">
        <f t="shared" si="20"/>
        <v>0</v>
      </c>
    </row>
    <row r="333" spans="9:16" ht="15" customHeight="1" x14ac:dyDescent="0.25">
      <c r="I333" s="33" t="s">
        <v>17</v>
      </c>
      <c r="J333" s="33" t="s">
        <v>11</v>
      </c>
      <c r="K333" s="33" t="s">
        <v>1552</v>
      </c>
      <c r="L333" s="33" t="s">
        <v>345</v>
      </c>
      <c r="M333">
        <f t="shared" si="17"/>
        <v>141</v>
      </c>
      <c r="N333">
        <f t="shared" si="18"/>
        <v>32</v>
      </c>
      <c r="O333">
        <f t="shared" si="19"/>
        <v>37</v>
      </c>
      <c r="P333">
        <f t="shared" si="20"/>
        <v>2</v>
      </c>
    </row>
    <row r="334" spans="9:16" ht="15" customHeight="1" x14ac:dyDescent="0.25">
      <c r="I334" s="32" t="s">
        <v>337</v>
      </c>
      <c r="J334" s="32" t="s">
        <v>11</v>
      </c>
      <c r="K334" s="32" t="s">
        <v>1553</v>
      </c>
      <c r="L334" s="32" t="s">
        <v>33</v>
      </c>
      <c r="M334">
        <f t="shared" si="17"/>
        <v>137</v>
      </c>
      <c r="N334">
        <f t="shared" si="18"/>
        <v>32</v>
      </c>
      <c r="O334">
        <f t="shared" si="19"/>
        <v>39</v>
      </c>
      <c r="P334">
        <f t="shared" si="20"/>
        <v>30</v>
      </c>
    </row>
    <row r="335" spans="9:16" ht="15" customHeight="1" x14ac:dyDescent="0.25">
      <c r="I335" s="33" t="s">
        <v>338</v>
      </c>
      <c r="J335" s="33" t="s">
        <v>11</v>
      </c>
      <c r="K335" s="33" t="s">
        <v>1554</v>
      </c>
      <c r="L335" s="33" t="s">
        <v>13</v>
      </c>
      <c r="M335">
        <f t="shared" si="17"/>
        <v>135</v>
      </c>
      <c r="N335">
        <f t="shared" si="18"/>
        <v>32</v>
      </c>
      <c r="O335">
        <f t="shared" si="19"/>
        <v>38</v>
      </c>
      <c r="P335">
        <f t="shared" si="20"/>
        <v>21</v>
      </c>
    </row>
    <row r="336" spans="9:16" ht="15" customHeight="1" x14ac:dyDescent="0.25">
      <c r="I336" s="32" t="s">
        <v>335</v>
      </c>
      <c r="J336" s="32" t="s">
        <v>11</v>
      </c>
      <c r="K336" s="32" t="s">
        <v>1555</v>
      </c>
      <c r="L336" s="32" t="s">
        <v>19</v>
      </c>
      <c r="M336">
        <f t="shared" si="17"/>
        <v>139</v>
      </c>
      <c r="N336">
        <f t="shared" si="18"/>
        <v>32</v>
      </c>
      <c r="O336">
        <f t="shared" si="19"/>
        <v>41</v>
      </c>
      <c r="P336">
        <f t="shared" si="20"/>
        <v>23</v>
      </c>
    </row>
    <row r="337" spans="9:16" ht="15" customHeight="1" x14ac:dyDescent="0.25">
      <c r="I337" s="33" t="s">
        <v>342</v>
      </c>
      <c r="J337" s="33" t="s">
        <v>11</v>
      </c>
      <c r="K337" s="33" t="s">
        <v>1556</v>
      </c>
      <c r="L337" s="33" t="s">
        <v>43</v>
      </c>
      <c r="M337">
        <f t="shared" si="17"/>
        <v>134</v>
      </c>
      <c r="N337">
        <f t="shared" si="18"/>
        <v>32</v>
      </c>
      <c r="O337">
        <f t="shared" si="19"/>
        <v>42</v>
      </c>
      <c r="P337">
        <f t="shared" si="20"/>
        <v>25</v>
      </c>
    </row>
    <row r="338" spans="9:16" ht="15" customHeight="1" x14ac:dyDescent="0.25">
      <c r="I338" s="32" t="s">
        <v>23</v>
      </c>
      <c r="J338" s="32" t="s">
        <v>11</v>
      </c>
      <c r="K338" s="32" t="s">
        <v>1559</v>
      </c>
      <c r="L338" s="32" t="s">
        <v>339</v>
      </c>
      <c r="M338">
        <f t="shared" si="17"/>
        <v>136</v>
      </c>
      <c r="N338">
        <f t="shared" si="18"/>
        <v>32</v>
      </c>
      <c r="O338">
        <f t="shared" si="19"/>
        <v>43</v>
      </c>
      <c r="P338">
        <f t="shared" si="20"/>
        <v>0</v>
      </c>
    </row>
    <row r="339" spans="9:16" ht="15" customHeight="1" x14ac:dyDescent="0.25">
      <c r="I339" s="33" t="s">
        <v>17</v>
      </c>
      <c r="J339" s="33" t="s">
        <v>11</v>
      </c>
      <c r="K339" s="33" t="s">
        <v>1557</v>
      </c>
      <c r="L339" s="33" t="s">
        <v>345</v>
      </c>
      <c r="M339">
        <f t="shared" si="17"/>
        <v>141</v>
      </c>
      <c r="N339">
        <f t="shared" si="18"/>
        <v>32</v>
      </c>
      <c r="O339">
        <f t="shared" si="19"/>
        <v>47</v>
      </c>
      <c r="P339">
        <f t="shared" si="20"/>
        <v>2</v>
      </c>
    </row>
    <row r="340" spans="9:16" ht="15" customHeight="1" x14ac:dyDescent="0.25">
      <c r="I340" s="32" t="s">
        <v>10</v>
      </c>
      <c r="J340" s="32" t="s">
        <v>11</v>
      </c>
      <c r="K340" s="32" t="s">
        <v>1558</v>
      </c>
      <c r="L340" s="32" t="s">
        <v>33</v>
      </c>
      <c r="M340">
        <f t="shared" si="17"/>
        <v>143</v>
      </c>
      <c r="N340">
        <f t="shared" si="18"/>
        <v>32</v>
      </c>
      <c r="O340">
        <f t="shared" si="19"/>
        <v>48</v>
      </c>
      <c r="P340">
        <f t="shared" si="20"/>
        <v>30</v>
      </c>
    </row>
    <row r="341" spans="9:16" ht="15" customHeight="1" x14ac:dyDescent="0.25">
      <c r="I341" s="33" t="s">
        <v>343</v>
      </c>
      <c r="J341" s="33" t="s">
        <v>11</v>
      </c>
      <c r="K341" s="33" t="s">
        <v>1560</v>
      </c>
      <c r="L341" s="33" t="s">
        <v>13</v>
      </c>
      <c r="M341">
        <f t="shared" si="17"/>
        <v>132</v>
      </c>
      <c r="N341">
        <f t="shared" si="18"/>
        <v>32</v>
      </c>
      <c r="O341">
        <f t="shared" si="19"/>
        <v>49</v>
      </c>
      <c r="P341">
        <f t="shared" si="20"/>
        <v>21</v>
      </c>
    </row>
    <row r="342" spans="9:16" ht="15" customHeight="1" x14ac:dyDescent="0.25">
      <c r="I342" s="32" t="s">
        <v>340</v>
      </c>
      <c r="J342" s="32" t="s">
        <v>11</v>
      </c>
      <c r="K342" s="32" t="s">
        <v>1561</v>
      </c>
      <c r="L342" s="32" t="s">
        <v>19</v>
      </c>
      <c r="M342">
        <f t="shared" si="17"/>
        <v>129</v>
      </c>
      <c r="N342">
        <f t="shared" si="18"/>
        <v>32</v>
      </c>
      <c r="O342">
        <f t="shared" si="19"/>
        <v>51</v>
      </c>
      <c r="P342">
        <f t="shared" si="20"/>
        <v>23</v>
      </c>
    </row>
    <row r="343" spans="9:16" ht="15" customHeight="1" x14ac:dyDescent="0.25">
      <c r="I343" s="33" t="s">
        <v>344</v>
      </c>
      <c r="J343" s="33" t="s">
        <v>11</v>
      </c>
      <c r="K343" s="33" t="s">
        <v>1561</v>
      </c>
      <c r="L343" s="33" t="s">
        <v>43</v>
      </c>
      <c r="M343">
        <f t="shared" si="17"/>
        <v>131</v>
      </c>
      <c r="N343">
        <f t="shared" si="18"/>
        <v>32</v>
      </c>
      <c r="O343">
        <f t="shared" si="19"/>
        <v>51</v>
      </c>
      <c r="P343">
        <f t="shared" si="20"/>
        <v>25</v>
      </c>
    </row>
    <row r="344" spans="9:16" ht="15" customHeight="1" x14ac:dyDescent="0.25">
      <c r="I344" s="32" t="s">
        <v>335</v>
      </c>
      <c r="J344" s="32" t="s">
        <v>11</v>
      </c>
      <c r="K344" s="32" t="s">
        <v>1560</v>
      </c>
      <c r="L344" s="32" t="s">
        <v>339</v>
      </c>
      <c r="M344">
        <f t="shared" si="17"/>
        <v>139</v>
      </c>
      <c r="N344">
        <f t="shared" si="18"/>
        <v>32</v>
      </c>
      <c r="O344">
        <f t="shared" si="19"/>
        <v>49</v>
      </c>
      <c r="P344">
        <f t="shared" si="20"/>
        <v>0</v>
      </c>
    </row>
    <row r="345" spans="9:16" ht="15" customHeight="1" x14ac:dyDescent="0.25">
      <c r="I345" s="33" t="s">
        <v>343</v>
      </c>
      <c r="J345" s="33" t="s">
        <v>11</v>
      </c>
      <c r="K345" s="33" t="s">
        <v>1558</v>
      </c>
      <c r="L345" s="33" t="s">
        <v>345</v>
      </c>
      <c r="M345">
        <f t="shared" ref="M345:M408" si="21">_xlfn.XLOOKUP(I345,$C$9:$C$37,$D$9:$D$37,2,0)</f>
        <v>132</v>
      </c>
      <c r="N345">
        <f t="shared" ref="N345:N408" si="22">_xlfn.XLOOKUP(J345,$C$9:$C$37,$D$9:$D$37,2,0)</f>
        <v>32</v>
      </c>
      <c r="O345">
        <f t="shared" ref="O345:O408" si="23">_xlfn.XLOOKUP(K345,$C$9:$C$37,$D$9:$D$37,2,0)</f>
        <v>48</v>
      </c>
      <c r="P345">
        <f t="shared" ref="P345:P408" si="24">_xlfn.XLOOKUP(L345,$C$9:$C$37,$D$9:$D$37,2,0)</f>
        <v>2</v>
      </c>
    </row>
    <row r="346" spans="9:16" ht="15" customHeight="1" x14ac:dyDescent="0.25">
      <c r="I346" s="32" t="s">
        <v>340</v>
      </c>
      <c r="J346" s="32" t="s">
        <v>11</v>
      </c>
      <c r="K346" s="32" t="s">
        <v>1557</v>
      </c>
      <c r="L346" s="32" t="s">
        <v>33</v>
      </c>
      <c r="M346">
        <f t="shared" si="21"/>
        <v>129</v>
      </c>
      <c r="N346">
        <f t="shared" si="22"/>
        <v>32</v>
      </c>
      <c r="O346">
        <f t="shared" si="23"/>
        <v>47</v>
      </c>
      <c r="P346">
        <f t="shared" si="24"/>
        <v>30</v>
      </c>
    </row>
    <row r="347" spans="9:16" ht="15" customHeight="1" x14ac:dyDescent="0.25">
      <c r="I347" s="33" t="s">
        <v>344</v>
      </c>
      <c r="J347" s="33" t="s">
        <v>11</v>
      </c>
      <c r="K347" s="33" t="s">
        <v>1559</v>
      </c>
      <c r="L347" s="33" t="s">
        <v>13</v>
      </c>
      <c r="M347">
        <f t="shared" si="21"/>
        <v>131</v>
      </c>
      <c r="N347">
        <f t="shared" si="22"/>
        <v>32</v>
      </c>
      <c r="O347">
        <f t="shared" si="23"/>
        <v>43</v>
      </c>
      <c r="P347">
        <f t="shared" si="24"/>
        <v>21</v>
      </c>
    </row>
    <row r="348" spans="9:16" ht="15" customHeight="1" x14ac:dyDescent="0.25">
      <c r="I348" s="32" t="s">
        <v>337</v>
      </c>
      <c r="J348" s="32" t="s">
        <v>24</v>
      </c>
      <c r="K348" s="32" t="s">
        <v>1556</v>
      </c>
      <c r="L348" s="32" t="s">
        <v>19</v>
      </c>
      <c r="M348">
        <f t="shared" si="21"/>
        <v>137</v>
      </c>
      <c r="N348">
        <f t="shared" si="22"/>
        <v>9</v>
      </c>
      <c r="O348">
        <f t="shared" si="23"/>
        <v>42</v>
      </c>
      <c r="P348">
        <f t="shared" si="24"/>
        <v>23</v>
      </c>
    </row>
    <row r="349" spans="9:16" ht="15" customHeight="1" x14ac:dyDescent="0.25">
      <c r="I349" s="33" t="s">
        <v>338</v>
      </c>
      <c r="J349" s="33" t="s">
        <v>24</v>
      </c>
      <c r="K349" s="33" t="s">
        <v>1555</v>
      </c>
      <c r="L349" s="33" t="s">
        <v>43</v>
      </c>
      <c r="M349">
        <f t="shared" si="21"/>
        <v>135</v>
      </c>
      <c r="N349">
        <f t="shared" si="22"/>
        <v>9</v>
      </c>
      <c r="O349">
        <f t="shared" si="23"/>
        <v>41</v>
      </c>
      <c r="P349">
        <f t="shared" si="24"/>
        <v>25</v>
      </c>
    </row>
    <row r="350" spans="9:16" ht="15" customHeight="1" x14ac:dyDescent="0.25">
      <c r="I350" s="32" t="s">
        <v>335</v>
      </c>
      <c r="J350" s="32" t="s">
        <v>24</v>
      </c>
      <c r="K350" s="32" t="s">
        <v>1554</v>
      </c>
      <c r="L350" s="32" t="s">
        <v>339</v>
      </c>
      <c r="M350">
        <f t="shared" si="21"/>
        <v>139</v>
      </c>
      <c r="N350">
        <f t="shared" si="22"/>
        <v>9</v>
      </c>
      <c r="O350">
        <f t="shared" si="23"/>
        <v>38</v>
      </c>
      <c r="P350">
        <f t="shared" si="24"/>
        <v>0</v>
      </c>
    </row>
    <row r="351" spans="9:16" ht="15" customHeight="1" x14ac:dyDescent="0.25">
      <c r="I351" s="33" t="s">
        <v>343</v>
      </c>
      <c r="J351" s="33" t="s">
        <v>24</v>
      </c>
      <c r="K351" s="33" t="s">
        <v>1553</v>
      </c>
      <c r="L351" s="33" t="s">
        <v>345</v>
      </c>
      <c r="M351">
        <f t="shared" si="21"/>
        <v>132</v>
      </c>
      <c r="N351">
        <f t="shared" si="22"/>
        <v>9</v>
      </c>
      <c r="O351">
        <f t="shared" si="23"/>
        <v>39</v>
      </c>
      <c r="P351">
        <f t="shared" si="24"/>
        <v>2</v>
      </c>
    </row>
    <row r="352" spans="9:16" ht="15" customHeight="1" x14ac:dyDescent="0.25">
      <c r="I352" s="32" t="s">
        <v>340</v>
      </c>
      <c r="J352" s="32" t="s">
        <v>24</v>
      </c>
      <c r="K352" s="32" t="s">
        <v>1552</v>
      </c>
      <c r="L352" s="32" t="s">
        <v>33</v>
      </c>
      <c r="M352">
        <f t="shared" si="21"/>
        <v>129</v>
      </c>
      <c r="N352">
        <f t="shared" si="22"/>
        <v>9</v>
      </c>
      <c r="O352">
        <f t="shared" si="23"/>
        <v>37</v>
      </c>
      <c r="P352">
        <f t="shared" si="24"/>
        <v>30</v>
      </c>
    </row>
    <row r="353" spans="9:16" ht="15" customHeight="1" x14ac:dyDescent="0.25">
      <c r="I353" s="33" t="s">
        <v>342</v>
      </c>
      <c r="J353" s="33" t="s">
        <v>24</v>
      </c>
      <c r="K353" s="33" t="s">
        <v>12</v>
      </c>
      <c r="L353" s="33" t="s">
        <v>13</v>
      </c>
      <c r="M353">
        <f t="shared" si="21"/>
        <v>134</v>
      </c>
      <c r="N353">
        <f t="shared" si="22"/>
        <v>9</v>
      </c>
      <c r="O353">
        <f t="shared" si="23"/>
        <v>0</v>
      </c>
      <c r="P353">
        <f t="shared" si="24"/>
        <v>21</v>
      </c>
    </row>
    <row r="354" spans="9:16" ht="15" customHeight="1" x14ac:dyDescent="0.25">
      <c r="I354" s="32" t="s">
        <v>23</v>
      </c>
      <c r="J354" s="32" t="s">
        <v>24</v>
      </c>
      <c r="K354" s="32" t="s">
        <v>12</v>
      </c>
      <c r="L354" s="32" t="s">
        <v>19</v>
      </c>
      <c r="M354">
        <f t="shared" si="21"/>
        <v>136</v>
      </c>
      <c r="N354">
        <f t="shared" si="22"/>
        <v>9</v>
      </c>
      <c r="O354">
        <f t="shared" si="23"/>
        <v>0</v>
      </c>
      <c r="P354">
        <f t="shared" si="24"/>
        <v>23</v>
      </c>
    </row>
    <row r="355" spans="9:16" ht="15" customHeight="1" x14ac:dyDescent="0.25">
      <c r="I355" s="33" t="s">
        <v>17</v>
      </c>
      <c r="J355" s="33" t="s">
        <v>24</v>
      </c>
      <c r="K355" s="33" t="s">
        <v>1552</v>
      </c>
      <c r="L355" s="33" t="s">
        <v>43</v>
      </c>
      <c r="M355">
        <f t="shared" si="21"/>
        <v>141</v>
      </c>
      <c r="N355">
        <f t="shared" si="22"/>
        <v>9</v>
      </c>
      <c r="O355">
        <f t="shared" si="23"/>
        <v>37</v>
      </c>
      <c r="P355">
        <f t="shared" si="24"/>
        <v>25</v>
      </c>
    </row>
    <row r="356" spans="9:16" ht="15" customHeight="1" x14ac:dyDescent="0.25">
      <c r="I356" s="32" t="s">
        <v>10</v>
      </c>
      <c r="J356" s="32" t="s">
        <v>24</v>
      </c>
      <c r="K356" s="32" t="s">
        <v>1555</v>
      </c>
      <c r="L356" s="32" t="s">
        <v>339</v>
      </c>
      <c r="M356">
        <f t="shared" si="21"/>
        <v>143</v>
      </c>
      <c r="N356">
        <f t="shared" si="22"/>
        <v>9</v>
      </c>
      <c r="O356">
        <f t="shared" si="23"/>
        <v>41</v>
      </c>
      <c r="P356">
        <f t="shared" si="24"/>
        <v>0</v>
      </c>
    </row>
    <row r="357" spans="9:16" ht="15" customHeight="1" x14ac:dyDescent="0.25">
      <c r="I357" s="33" t="s">
        <v>344</v>
      </c>
      <c r="J357" s="33" t="s">
        <v>24</v>
      </c>
      <c r="K357" s="33" t="s">
        <v>1557</v>
      </c>
      <c r="L357" s="33" t="s">
        <v>345</v>
      </c>
      <c r="M357">
        <f t="shared" si="21"/>
        <v>131</v>
      </c>
      <c r="N357">
        <f t="shared" si="22"/>
        <v>9</v>
      </c>
      <c r="O357">
        <f t="shared" si="23"/>
        <v>47</v>
      </c>
      <c r="P357">
        <f t="shared" si="24"/>
        <v>2</v>
      </c>
    </row>
    <row r="358" spans="9:16" ht="15" customHeight="1" x14ac:dyDescent="0.25">
      <c r="I358" s="32" t="s">
        <v>344</v>
      </c>
      <c r="J358" s="32" t="s">
        <v>24</v>
      </c>
      <c r="K358" s="32" t="s">
        <v>1560</v>
      </c>
      <c r="L358" s="32" t="s">
        <v>33</v>
      </c>
      <c r="M358">
        <f t="shared" si="21"/>
        <v>131</v>
      </c>
      <c r="N358">
        <f t="shared" si="22"/>
        <v>9</v>
      </c>
      <c r="O358">
        <f t="shared" si="23"/>
        <v>49</v>
      </c>
      <c r="P358">
        <f t="shared" si="24"/>
        <v>30</v>
      </c>
    </row>
    <row r="359" spans="9:16" ht="15" customHeight="1" x14ac:dyDescent="0.25">
      <c r="I359" s="33" t="s">
        <v>10</v>
      </c>
      <c r="J359" s="33" t="s">
        <v>24</v>
      </c>
      <c r="K359" s="33" t="s">
        <v>1553</v>
      </c>
      <c r="L359" s="33" t="s">
        <v>13</v>
      </c>
      <c r="M359">
        <f t="shared" si="21"/>
        <v>143</v>
      </c>
      <c r="N359">
        <f t="shared" si="22"/>
        <v>9</v>
      </c>
      <c r="O359">
        <f t="shared" si="23"/>
        <v>39</v>
      </c>
      <c r="P359">
        <f t="shared" si="24"/>
        <v>21</v>
      </c>
    </row>
    <row r="360" spans="9:16" ht="15" customHeight="1" x14ac:dyDescent="0.25">
      <c r="I360" s="32" t="s">
        <v>17</v>
      </c>
      <c r="J360" s="32" t="s">
        <v>24</v>
      </c>
      <c r="K360" s="32" t="s">
        <v>1556</v>
      </c>
      <c r="L360" s="32" t="s">
        <v>19</v>
      </c>
      <c r="M360">
        <f t="shared" si="21"/>
        <v>141</v>
      </c>
      <c r="N360">
        <f t="shared" si="22"/>
        <v>9</v>
      </c>
      <c r="O360">
        <f t="shared" si="23"/>
        <v>42</v>
      </c>
      <c r="P360">
        <f t="shared" si="24"/>
        <v>23</v>
      </c>
    </row>
    <row r="361" spans="9:16" ht="15" customHeight="1" x14ac:dyDescent="0.25">
      <c r="I361" s="33" t="s">
        <v>23</v>
      </c>
      <c r="J361" s="33" t="s">
        <v>24</v>
      </c>
      <c r="K361" s="33" t="s">
        <v>1558</v>
      </c>
      <c r="L361" s="33" t="s">
        <v>43</v>
      </c>
      <c r="M361">
        <f t="shared" si="21"/>
        <v>136</v>
      </c>
      <c r="N361">
        <f t="shared" si="22"/>
        <v>9</v>
      </c>
      <c r="O361">
        <f t="shared" si="23"/>
        <v>48</v>
      </c>
      <c r="P361">
        <f t="shared" si="24"/>
        <v>25</v>
      </c>
    </row>
    <row r="362" spans="9:16" ht="15" customHeight="1" x14ac:dyDescent="0.25">
      <c r="I362" s="32" t="s">
        <v>342</v>
      </c>
      <c r="J362" s="32" t="s">
        <v>24</v>
      </c>
      <c r="K362" s="32" t="s">
        <v>1561</v>
      </c>
      <c r="L362" s="32" t="s">
        <v>339</v>
      </c>
      <c r="M362">
        <f t="shared" si="21"/>
        <v>134</v>
      </c>
      <c r="N362">
        <f t="shared" si="22"/>
        <v>9</v>
      </c>
      <c r="O362">
        <f t="shared" si="23"/>
        <v>51</v>
      </c>
      <c r="P362">
        <f t="shared" si="24"/>
        <v>0</v>
      </c>
    </row>
    <row r="363" spans="9:16" ht="15" customHeight="1" x14ac:dyDescent="0.25">
      <c r="I363" s="33" t="s">
        <v>340</v>
      </c>
      <c r="J363" s="33" t="s">
        <v>24</v>
      </c>
      <c r="K363" s="33" t="s">
        <v>1554</v>
      </c>
      <c r="L363" s="33" t="s">
        <v>345</v>
      </c>
      <c r="M363">
        <f t="shared" si="21"/>
        <v>129</v>
      </c>
      <c r="N363">
        <f t="shared" si="22"/>
        <v>9</v>
      </c>
      <c r="O363">
        <f t="shared" si="23"/>
        <v>38</v>
      </c>
      <c r="P363">
        <f t="shared" si="24"/>
        <v>2</v>
      </c>
    </row>
    <row r="364" spans="9:16" ht="15" customHeight="1" x14ac:dyDescent="0.25">
      <c r="I364" s="32" t="s">
        <v>343</v>
      </c>
      <c r="J364" s="32" t="s">
        <v>24</v>
      </c>
      <c r="K364" s="32" t="s">
        <v>1559</v>
      </c>
      <c r="L364" s="32" t="s">
        <v>33</v>
      </c>
      <c r="M364">
        <f t="shared" si="21"/>
        <v>132</v>
      </c>
      <c r="N364">
        <f t="shared" si="22"/>
        <v>9</v>
      </c>
      <c r="O364">
        <f t="shared" si="23"/>
        <v>43</v>
      </c>
      <c r="P364">
        <f t="shared" si="24"/>
        <v>30</v>
      </c>
    </row>
    <row r="365" spans="9:16" ht="15" customHeight="1" x14ac:dyDescent="0.25">
      <c r="I365" s="33" t="s">
        <v>335</v>
      </c>
      <c r="J365" s="33" t="s">
        <v>24</v>
      </c>
      <c r="K365" s="33" t="s">
        <v>1554</v>
      </c>
      <c r="L365" s="33" t="s">
        <v>13</v>
      </c>
      <c r="M365">
        <f t="shared" si="21"/>
        <v>139</v>
      </c>
      <c r="N365">
        <f t="shared" si="22"/>
        <v>9</v>
      </c>
      <c r="O365">
        <f t="shared" si="23"/>
        <v>38</v>
      </c>
      <c r="P365">
        <f t="shared" si="24"/>
        <v>21</v>
      </c>
    </row>
    <row r="366" spans="9:16" ht="15" customHeight="1" x14ac:dyDescent="0.25">
      <c r="I366" s="32" t="s">
        <v>338</v>
      </c>
      <c r="J366" s="32" t="s">
        <v>24</v>
      </c>
      <c r="K366" s="32" t="s">
        <v>1559</v>
      </c>
      <c r="L366" s="32" t="s">
        <v>19</v>
      </c>
      <c r="M366">
        <f t="shared" si="21"/>
        <v>135</v>
      </c>
      <c r="N366">
        <f t="shared" si="22"/>
        <v>9</v>
      </c>
      <c r="O366">
        <f t="shared" si="23"/>
        <v>43</v>
      </c>
      <c r="P366">
        <f t="shared" si="24"/>
        <v>23</v>
      </c>
    </row>
    <row r="367" spans="9:16" ht="15" customHeight="1" x14ac:dyDescent="0.25">
      <c r="I367" s="33" t="s">
        <v>337</v>
      </c>
      <c r="J367" s="33" t="s">
        <v>24</v>
      </c>
      <c r="K367" s="33" t="s">
        <v>1553</v>
      </c>
      <c r="L367" s="33" t="s">
        <v>43</v>
      </c>
      <c r="M367">
        <f t="shared" si="21"/>
        <v>137</v>
      </c>
      <c r="N367">
        <f t="shared" si="22"/>
        <v>9</v>
      </c>
      <c r="O367">
        <f t="shared" si="23"/>
        <v>39</v>
      </c>
      <c r="P367">
        <f t="shared" si="24"/>
        <v>25</v>
      </c>
    </row>
    <row r="368" spans="9:16" ht="15" customHeight="1" x14ac:dyDescent="0.25">
      <c r="I368" s="32" t="s">
        <v>343</v>
      </c>
      <c r="J368" s="32" t="s">
        <v>24</v>
      </c>
      <c r="K368" s="32" t="s">
        <v>1556</v>
      </c>
      <c r="L368" s="32" t="s">
        <v>339</v>
      </c>
      <c r="M368">
        <f t="shared" si="21"/>
        <v>132</v>
      </c>
      <c r="N368">
        <f t="shared" si="22"/>
        <v>9</v>
      </c>
      <c r="O368">
        <f t="shared" si="23"/>
        <v>42</v>
      </c>
      <c r="P368">
        <f t="shared" si="24"/>
        <v>0</v>
      </c>
    </row>
    <row r="369" spans="9:16" ht="15" customHeight="1" x14ac:dyDescent="0.25">
      <c r="I369" s="33" t="s">
        <v>340</v>
      </c>
      <c r="J369" s="33" t="s">
        <v>24</v>
      </c>
      <c r="K369" s="33" t="s">
        <v>1558</v>
      </c>
      <c r="L369" s="33" t="s">
        <v>345</v>
      </c>
      <c r="M369">
        <f t="shared" si="21"/>
        <v>129</v>
      </c>
      <c r="N369">
        <f t="shared" si="22"/>
        <v>9</v>
      </c>
      <c r="O369">
        <f t="shared" si="23"/>
        <v>48</v>
      </c>
      <c r="P369">
        <f t="shared" si="24"/>
        <v>2</v>
      </c>
    </row>
    <row r="370" spans="9:16" ht="15" customHeight="1" x14ac:dyDescent="0.25">
      <c r="I370" s="32" t="s">
        <v>10</v>
      </c>
      <c r="J370" s="32" t="s">
        <v>24</v>
      </c>
      <c r="K370" s="32" t="s">
        <v>1561</v>
      </c>
      <c r="L370" s="32" t="s">
        <v>33</v>
      </c>
      <c r="M370">
        <f t="shared" si="21"/>
        <v>143</v>
      </c>
      <c r="N370">
        <f t="shared" si="22"/>
        <v>9</v>
      </c>
      <c r="O370">
        <f t="shared" si="23"/>
        <v>51</v>
      </c>
      <c r="P370">
        <f t="shared" si="24"/>
        <v>30</v>
      </c>
    </row>
    <row r="371" spans="9:16" ht="15" customHeight="1" x14ac:dyDescent="0.25">
      <c r="I371" s="33" t="s">
        <v>344</v>
      </c>
      <c r="J371" s="33" t="s">
        <v>24</v>
      </c>
      <c r="K371" s="33" t="s">
        <v>1552</v>
      </c>
      <c r="L371" s="33" t="s">
        <v>13</v>
      </c>
      <c r="M371">
        <f t="shared" si="21"/>
        <v>131</v>
      </c>
      <c r="N371">
        <f t="shared" si="22"/>
        <v>9</v>
      </c>
      <c r="O371">
        <f t="shared" si="23"/>
        <v>37</v>
      </c>
      <c r="P371">
        <f t="shared" si="24"/>
        <v>21</v>
      </c>
    </row>
    <row r="372" spans="9:16" ht="15" customHeight="1" x14ac:dyDescent="0.25">
      <c r="I372" s="32" t="s">
        <v>338</v>
      </c>
      <c r="J372" s="32" t="s">
        <v>24</v>
      </c>
      <c r="K372" s="32" t="s">
        <v>1555</v>
      </c>
      <c r="L372" s="32" t="s">
        <v>19</v>
      </c>
      <c r="M372">
        <f t="shared" si="21"/>
        <v>135</v>
      </c>
      <c r="N372">
        <f t="shared" si="22"/>
        <v>9</v>
      </c>
      <c r="O372">
        <f t="shared" si="23"/>
        <v>41</v>
      </c>
      <c r="P372">
        <f t="shared" si="24"/>
        <v>23</v>
      </c>
    </row>
    <row r="373" spans="9:16" ht="15" customHeight="1" x14ac:dyDescent="0.25">
      <c r="I373" s="33" t="s">
        <v>23</v>
      </c>
      <c r="J373" s="33" t="s">
        <v>24</v>
      </c>
      <c r="K373" s="33" t="s">
        <v>1557</v>
      </c>
      <c r="L373" s="33" t="s">
        <v>43</v>
      </c>
      <c r="M373">
        <f t="shared" si="21"/>
        <v>136</v>
      </c>
      <c r="N373">
        <f t="shared" si="22"/>
        <v>9</v>
      </c>
      <c r="O373">
        <f t="shared" si="23"/>
        <v>47</v>
      </c>
      <c r="P373">
        <f t="shared" si="24"/>
        <v>25</v>
      </c>
    </row>
    <row r="374" spans="9:16" ht="15" customHeight="1" x14ac:dyDescent="0.25">
      <c r="I374" s="32" t="s">
        <v>17</v>
      </c>
      <c r="J374" s="32" t="s">
        <v>24</v>
      </c>
      <c r="K374" s="32" t="s">
        <v>1560</v>
      </c>
      <c r="L374" s="32" t="s">
        <v>339</v>
      </c>
      <c r="M374">
        <f t="shared" si="21"/>
        <v>141</v>
      </c>
      <c r="N374">
        <f t="shared" si="22"/>
        <v>9</v>
      </c>
      <c r="O374">
        <f t="shared" si="23"/>
        <v>49</v>
      </c>
      <c r="P374">
        <f t="shared" si="24"/>
        <v>0</v>
      </c>
    </row>
    <row r="375" spans="9:16" ht="15" customHeight="1" x14ac:dyDescent="0.25">
      <c r="I375" s="33" t="s">
        <v>10</v>
      </c>
      <c r="J375" s="33" t="s">
        <v>24</v>
      </c>
      <c r="K375" s="33" t="s">
        <v>12</v>
      </c>
      <c r="L375" s="33" t="s">
        <v>345</v>
      </c>
      <c r="M375">
        <f t="shared" si="21"/>
        <v>143</v>
      </c>
      <c r="N375">
        <f t="shared" si="22"/>
        <v>9</v>
      </c>
      <c r="O375">
        <f t="shared" si="23"/>
        <v>0</v>
      </c>
      <c r="P375">
        <f t="shared" si="24"/>
        <v>2</v>
      </c>
    </row>
    <row r="376" spans="9:16" ht="15" customHeight="1" x14ac:dyDescent="0.25">
      <c r="I376" s="32" t="s">
        <v>337</v>
      </c>
      <c r="J376" s="32" t="s">
        <v>24</v>
      </c>
      <c r="K376" s="32" t="s">
        <v>12</v>
      </c>
      <c r="L376" s="32" t="s">
        <v>33</v>
      </c>
      <c r="M376">
        <f t="shared" si="21"/>
        <v>137</v>
      </c>
      <c r="N376">
        <f t="shared" si="22"/>
        <v>9</v>
      </c>
      <c r="O376">
        <f t="shared" si="23"/>
        <v>0</v>
      </c>
      <c r="P376">
        <f t="shared" si="24"/>
        <v>30</v>
      </c>
    </row>
    <row r="377" spans="9:16" ht="15" customHeight="1" x14ac:dyDescent="0.25">
      <c r="I377" s="33" t="s">
        <v>338</v>
      </c>
      <c r="J377" s="33" t="s">
        <v>24</v>
      </c>
      <c r="K377" s="33" t="s">
        <v>1552</v>
      </c>
      <c r="L377" s="33" t="s">
        <v>13</v>
      </c>
      <c r="M377">
        <f t="shared" si="21"/>
        <v>135</v>
      </c>
      <c r="N377">
        <f t="shared" si="22"/>
        <v>9</v>
      </c>
      <c r="O377">
        <f t="shared" si="23"/>
        <v>37</v>
      </c>
      <c r="P377">
        <f t="shared" si="24"/>
        <v>21</v>
      </c>
    </row>
    <row r="378" spans="9:16" ht="15" customHeight="1" x14ac:dyDescent="0.25">
      <c r="I378" s="32" t="s">
        <v>338</v>
      </c>
      <c r="J378" s="32" t="s">
        <v>24</v>
      </c>
      <c r="K378" s="32" t="s">
        <v>1553</v>
      </c>
      <c r="L378" s="32" t="s">
        <v>19</v>
      </c>
      <c r="M378">
        <f t="shared" si="21"/>
        <v>135</v>
      </c>
      <c r="N378">
        <f t="shared" si="22"/>
        <v>9</v>
      </c>
      <c r="O378">
        <f t="shared" si="23"/>
        <v>39</v>
      </c>
      <c r="P378">
        <f t="shared" si="24"/>
        <v>23</v>
      </c>
    </row>
    <row r="379" spans="9:16" ht="15" customHeight="1" x14ac:dyDescent="0.25">
      <c r="I379" s="33" t="s">
        <v>335</v>
      </c>
      <c r="J379" s="33" t="s">
        <v>24</v>
      </c>
      <c r="K379" s="33" t="s">
        <v>1554</v>
      </c>
      <c r="L379" s="33" t="s">
        <v>43</v>
      </c>
      <c r="M379">
        <f t="shared" si="21"/>
        <v>139</v>
      </c>
      <c r="N379">
        <f t="shared" si="22"/>
        <v>9</v>
      </c>
      <c r="O379">
        <f t="shared" si="23"/>
        <v>38</v>
      </c>
      <c r="P379">
        <f t="shared" si="24"/>
        <v>25</v>
      </c>
    </row>
    <row r="380" spans="9:16" ht="15" customHeight="1" x14ac:dyDescent="0.25">
      <c r="I380" s="32" t="s">
        <v>335</v>
      </c>
      <c r="J380" s="32" t="s">
        <v>11</v>
      </c>
      <c r="K380" s="32" t="s">
        <v>1555</v>
      </c>
      <c r="L380" s="32" t="s">
        <v>339</v>
      </c>
      <c r="M380">
        <f t="shared" si="21"/>
        <v>139</v>
      </c>
      <c r="N380">
        <f t="shared" si="22"/>
        <v>32</v>
      </c>
      <c r="O380">
        <f t="shared" si="23"/>
        <v>41</v>
      </c>
      <c r="P380">
        <f t="shared" si="24"/>
        <v>0</v>
      </c>
    </row>
    <row r="381" spans="9:16" ht="15" customHeight="1" x14ac:dyDescent="0.25">
      <c r="I381" s="33" t="s">
        <v>342</v>
      </c>
      <c r="J381" s="33" t="s">
        <v>11</v>
      </c>
      <c r="K381" s="33" t="s">
        <v>1556</v>
      </c>
      <c r="L381" s="33" t="s">
        <v>345</v>
      </c>
      <c r="M381">
        <f t="shared" si="21"/>
        <v>134</v>
      </c>
      <c r="N381">
        <f t="shared" si="22"/>
        <v>32</v>
      </c>
      <c r="O381">
        <f t="shared" si="23"/>
        <v>42</v>
      </c>
      <c r="P381">
        <f t="shared" si="24"/>
        <v>2</v>
      </c>
    </row>
    <row r="382" spans="9:16" ht="15" customHeight="1" x14ac:dyDescent="0.25">
      <c r="I382" s="32" t="s">
        <v>342</v>
      </c>
      <c r="J382" s="32" t="s">
        <v>24</v>
      </c>
      <c r="K382" s="32" t="s">
        <v>1559</v>
      </c>
      <c r="L382" s="32" t="s">
        <v>33</v>
      </c>
      <c r="M382">
        <f t="shared" si="21"/>
        <v>134</v>
      </c>
      <c r="N382">
        <f t="shared" si="22"/>
        <v>9</v>
      </c>
      <c r="O382">
        <f t="shared" si="23"/>
        <v>43</v>
      </c>
      <c r="P382">
        <f t="shared" si="24"/>
        <v>30</v>
      </c>
    </row>
    <row r="383" spans="9:16" ht="15" customHeight="1" x14ac:dyDescent="0.25">
      <c r="I383" s="33" t="s">
        <v>10</v>
      </c>
      <c r="J383" s="33" t="s">
        <v>24</v>
      </c>
      <c r="K383" s="33" t="s">
        <v>1557</v>
      </c>
      <c r="L383" s="33" t="s">
        <v>13</v>
      </c>
      <c r="M383">
        <f t="shared" si="21"/>
        <v>143</v>
      </c>
      <c r="N383">
        <f t="shared" si="22"/>
        <v>9</v>
      </c>
      <c r="O383">
        <f t="shared" si="23"/>
        <v>47</v>
      </c>
      <c r="P383">
        <f t="shared" si="24"/>
        <v>21</v>
      </c>
    </row>
    <row r="384" spans="9:16" ht="15" customHeight="1" x14ac:dyDescent="0.25">
      <c r="I384" s="32" t="s">
        <v>17</v>
      </c>
      <c r="J384" s="32" t="s">
        <v>24</v>
      </c>
      <c r="K384" s="32" t="s">
        <v>1558</v>
      </c>
      <c r="L384" s="32" t="s">
        <v>19</v>
      </c>
      <c r="M384">
        <f t="shared" si="21"/>
        <v>141</v>
      </c>
      <c r="N384">
        <f t="shared" si="22"/>
        <v>9</v>
      </c>
      <c r="O384">
        <f t="shared" si="23"/>
        <v>48</v>
      </c>
      <c r="P384">
        <f t="shared" si="24"/>
        <v>23</v>
      </c>
    </row>
    <row r="385" spans="9:16" ht="15" customHeight="1" x14ac:dyDescent="0.25">
      <c r="I385" s="33" t="s">
        <v>10</v>
      </c>
      <c r="J385" s="33" t="s">
        <v>11</v>
      </c>
      <c r="K385" s="33" t="s">
        <v>1560</v>
      </c>
      <c r="L385" s="33" t="s">
        <v>43</v>
      </c>
      <c r="M385">
        <f t="shared" si="21"/>
        <v>143</v>
      </c>
      <c r="N385">
        <f t="shared" si="22"/>
        <v>32</v>
      </c>
      <c r="O385">
        <f t="shared" si="23"/>
        <v>49</v>
      </c>
      <c r="P385">
        <f t="shared" si="24"/>
        <v>25</v>
      </c>
    </row>
    <row r="386" spans="9:16" ht="15" customHeight="1" x14ac:dyDescent="0.25">
      <c r="I386" s="32" t="s">
        <v>23</v>
      </c>
      <c r="J386" s="32" t="s">
        <v>24</v>
      </c>
      <c r="K386" s="32" t="s">
        <v>1561</v>
      </c>
      <c r="L386" s="32" t="s">
        <v>339</v>
      </c>
      <c r="M386">
        <f t="shared" si="21"/>
        <v>136</v>
      </c>
      <c r="N386">
        <f t="shared" si="22"/>
        <v>9</v>
      </c>
      <c r="O386">
        <f t="shared" si="23"/>
        <v>51</v>
      </c>
      <c r="P386">
        <f t="shared" si="24"/>
        <v>0</v>
      </c>
    </row>
    <row r="387" spans="9:16" ht="15" customHeight="1" x14ac:dyDescent="0.25">
      <c r="I387" s="33" t="s">
        <v>17</v>
      </c>
      <c r="J387" s="33" t="s">
        <v>11</v>
      </c>
      <c r="K387" s="33" t="s">
        <v>1561</v>
      </c>
      <c r="L387" s="33" t="s">
        <v>345</v>
      </c>
      <c r="M387">
        <f t="shared" si="21"/>
        <v>141</v>
      </c>
      <c r="N387">
        <f t="shared" si="22"/>
        <v>32</v>
      </c>
      <c r="O387">
        <f t="shared" si="23"/>
        <v>51</v>
      </c>
      <c r="P387">
        <f t="shared" si="24"/>
        <v>2</v>
      </c>
    </row>
    <row r="388" spans="9:16" ht="15" customHeight="1" x14ac:dyDescent="0.25">
      <c r="I388" s="32" t="s">
        <v>337</v>
      </c>
      <c r="J388" s="32" t="s">
        <v>11</v>
      </c>
      <c r="K388" s="32" t="s">
        <v>1560</v>
      </c>
      <c r="L388" s="32" t="s">
        <v>33</v>
      </c>
      <c r="M388">
        <f t="shared" si="21"/>
        <v>137</v>
      </c>
      <c r="N388">
        <f t="shared" si="22"/>
        <v>32</v>
      </c>
      <c r="O388">
        <f t="shared" si="23"/>
        <v>49</v>
      </c>
      <c r="P388">
        <f t="shared" si="24"/>
        <v>30</v>
      </c>
    </row>
    <row r="389" spans="9:16" ht="15" customHeight="1" x14ac:dyDescent="0.25">
      <c r="I389" s="33" t="s">
        <v>338</v>
      </c>
      <c r="J389" s="33" t="s">
        <v>11</v>
      </c>
      <c r="K389" s="33" t="s">
        <v>1558</v>
      </c>
      <c r="L389" s="33" t="s">
        <v>13</v>
      </c>
      <c r="M389">
        <f t="shared" si="21"/>
        <v>135</v>
      </c>
      <c r="N389">
        <f t="shared" si="22"/>
        <v>32</v>
      </c>
      <c r="O389">
        <f t="shared" si="23"/>
        <v>48</v>
      </c>
      <c r="P389">
        <f t="shared" si="24"/>
        <v>21</v>
      </c>
    </row>
    <row r="390" spans="9:16" ht="15" customHeight="1" x14ac:dyDescent="0.25">
      <c r="I390" s="32" t="s">
        <v>335</v>
      </c>
      <c r="J390" s="32" t="s">
        <v>24</v>
      </c>
      <c r="K390" s="32" t="s">
        <v>1557</v>
      </c>
      <c r="L390" s="32" t="s">
        <v>19</v>
      </c>
      <c r="M390">
        <f t="shared" si="21"/>
        <v>139</v>
      </c>
      <c r="N390">
        <f t="shared" si="22"/>
        <v>9</v>
      </c>
      <c r="O390">
        <f t="shared" si="23"/>
        <v>47</v>
      </c>
      <c r="P390">
        <f t="shared" si="24"/>
        <v>23</v>
      </c>
    </row>
    <row r="391" spans="9:16" ht="15" customHeight="1" x14ac:dyDescent="0.25">
      <c r="I391" s="33" t="s">
        <v>342</v>
      </c>
      <c r="J391" s="33" t="s">
        <v>24</v>
      </c>
      <c r="K391" s="33" t="s">
        <v>1559</v>
      </c>
      <c r="L391" s="33" t="s">
        <v>43</v>
      </c>
      <c r="M391">
        <f t="shared" si="21"/>
        <v>134</v>
      </c>
      <c r="N391">
        <f t="shared" si="22"/>
        <v>9</v>
      </c>
      <c r="O391">
        <f t="shared" si="23"/>
        <v>43</v>
      </c>
      <c r="P391">
        <f t="shared" si="24"/>
        <v>25</v>
      </c>
    </row>
    <row r="392" spans="9:16" ht="15" customHeight="1" x14ac:dyDescent="0.25">
      <c r="I392" s="32" t="s">
        <v>23</v>
      </c>
      <c r="J392" s="32" t="s">
        <v>24</v>
      </c>
      <c r="K392" s="32" t="s">
        <v>1556</v>
      </c>
      <c r="L392" s="32" t="s">
        <v>339</v>
      </c>
      <c r="M392">
        <f t="shared" si="21"/>
        <v>136</v>
      </c>
      <c r="N392">
        <f t="shared" si="22"/>
        <v>9</v>
      </c>
      <c r="O392">
        <f t="shared" si="23"/>
        <v>42</v>
      </c>
      <c r="P392">
        <f t="shared" si="24"/>
        <v>0</v>
      </c>
    </row>
    <row r="393" spans="9:16" ht="15" customHeight="1" x14ac:dyDescent="0.25">
      <c r="I393" s="33" t="s">
        <v>17</v>
      </c>
      <c r="J393" s="33" t="s">
        <v>24</v>
      </c>
      <c r="K393" s="33" t="s">
        <v>1555</v>
      </c>
      <c r="L393" s="33" t="s">
        <v>345</v>
      </c>
      <c r="M393">
        <f t="shared" si="21"/>
        <v>141</v>
      </c>
      <c r="N393">
        <f t="shared" si="22"/>
        <v>9</v>
      </c>
      <c r="O393">
        <f t="shared" si="23"/>
        <v>41</v>
      </c>
      <c r="P393">
        <f t="shared" si="24"/>
        <v>2</v>
      </c>
    </row>
    <row r="394" spans="9:16" ht="15" customHeight="1" x14ac:dyDescent="0.25">
      <c r="I394" s="32" t="s">
        <v>10</v>
      </c>
      <c r="J394" s="32" t="s">
        <v>24</v>
      </c>
      <c r="K394" s="32" t="s">
        <v>1554</v>
      </c>
      <c r="L394" s="32" t="s">
        <v>33</v>
      </c>
      <c r="M394">
        <f t="shared" si="21"/>
        <v>143</v>
      </c>
      <c r="N394">
        <f t="shared" si="22"/>
        <v>9</v>
      </c>
      <c r="O394">
        <f t="shared" si="23"/>
        <v>38</v>
      </c>
      <c r="P394">
        <f t="shared" si="24"/>
        <v>30</v>
      </c>
    </row>
    <row r="395" spans="9:16" ht="15" customHeight="1" x14ac:dyDescent="0.25">
      <c r="I395" s="33" t="s">
        <v>343</v>
      </c>
      <c r="J395" s="33" t="s">
        <v>24</v>
      </c>
      <c r="K395" s="33" t="s">
        <v>1553</v>
      </c>
      <c r="L395" s="33" t="s">
        <v>13</v>
      </c>
      <c r="M395">
        <f t="shared" si="21"/>
        <v>132</v>
      </c>
      <c r="N395">
        <f t="shared" si="22"/>
        <v>9</v>
      </c>
      <c r="O395">
        <f t="shared" si="23"/>
        <v>39</v>
      </c>
      <c r="P395">
        <f t="shared" si="24"/>
        <v>21</v>
      </c>
    </row>
    <row r="396" spans="9:16" ht="15" customHeight="1" x14ac:dyDescent="0.25">
      <c r="I396" s="32" t="s">
        <v>340</v>
      </c>
      <c r="J396" s="32" t="s">
        <v>11</v>
      </c>
      <c r="K396" s="32" t="s">
        <v>1552</v>
      </c>
      <c r="L396" s="32" t="s">
        <v>19</v>
      </c>
      <c r="M396">
        <f t="shared" si="21"/>
        <v>129</v>
      </c>
      <c r="N396">
        <f t="shared" si="22"/>
        <v>32</v>
      </c>
      <c r="O396">
        <f t="shared" si="23"/>
        <v>37</v>
      </c>
      <c r="P396">
        <f t="shared" si="24"/>
        <v>23</v>
      </c>
    </row>
    <row r="397" spans="9:16" ht="15" customHeight="1" x14ac:dyDescent="0.25">
      <c r="I397" s="33" t="s">
        <v>344</v>
      </c>
      <c r="J397" s="33" t="s">
        <v>11</v>
      </c>
      <c r="K397" s="33" t="s">
        <v>12</v>
      </c>
      <c r="L397" s="33" t="s">
        <v>43</v>
      </c>
      <c r="M397">
        <f t="shared" si="21"/>
        <v>131</v>
      </c>
      <c r="N397">
        <f t="shared" si="22"/>
        <v>32</v>
      </c>
      <c r="O397">
        <f t="shared" si="23"/>
        <v>0</v>
      </c>
      <c r="P397">
        <f t="shared" si="24"/>
        <v>25</v>
      </c>
    </row>
    <row r="398" spans="9:16" ht="15" customHeight="1" x14ac:dyDescent="0.25">
      <c r="I398" s="32" t="s">
        <v>335</v>
      </c>
      <c r="J398" s="32" t="s">
        <v>24</v>
      </c>
      <c r="K398" s="32" t="s">
        <v>12</v>
      </c>
      <c r="L398" s="32" t="s">
        <v>339</v>
      </c>
      <c r="M398">
        <f t="shared" si="21"/>
        <v>139</v>
      </c>
      <c r="N398">
        <f t="shared" si="22"/>
        <v>9</v>
      </c>
      <c r="O398">
        <f t="shared" si="23"/>
        <v>0</v>
      </c>
      <c r="P398">
        <f t="shared" si="24"/>
        <v>0</v>
      </c>
    </row>
    <row r="399" spans="9:16" ht="15" customHeight="1" x14ac:dyDescent="0.25">
      <c r="I399" s="33" t="s">
        <v>343</v>
      </c>
      <c r="J399" s="33" t="s">
        <v>24</v>
      </c>
      <c r="K399" s="33" t="s">
        <v>1552</v>
      </c>
      <c r="L399" s="33" t="s">
        <v>345</v>
      </c>
      <c r="M399">
        <f t="shared" si="21"/>
        <v>132</v>
      </c>
      <c r="N399">
        <f t="shared" si="22"/>
        <v>9</v>
      </c>
      <c r="O399">
        <f t="shared" si="23"/>
        <v>37</v>
      </c>
      <c r="P399">
        <f t="shared" si="24"/>
        <v>2</v>
      </c>
    </row>
    <row r="400" spans="9:16" ht="15" customHeight="1" x14ac:dyDescent="0.25">
      <c r="I400" s="32" t="s">
        <v>340</v>
      </c>
      <c r="J400" s="32" t="s">
        <v>11</v>
      </c>
      <c r="K400" s="32" t="s">
        <v>1555</v>
      </c>
      <c r="L400" s="32" t="s">
        <v>33</v>
      </c>
      <c r="M400">
        <f t="shared" si="21"/>
        <v>129</v>
      </c>
      <c r="N400">
        <f t="shared" si="22"/>
        <v>32</v>
      </c>
      <c r="O400">
        <f t="shared" si="23"/>
        <v>41</v>
      </c>
      <c r="P400">
        <f t="shared" si="24"/>
        <v>30</v>
      </c>
    </row>
    <row r="401" spans="9:16" ht="15" customHeight="1" x14ac:dyDescent="0.25">
      <c r="I401" s="33" t="s">
        <v>344</v>
      </c>
      <c r="J401" s="33" t="s">
        <v>11</v>
      </c>
      <c r="K401" s="33" t="s">
        <v>1557</v>
      </c>
      <c r="L401" s="33" t="s">
        <v>13</v>
      </c>
      <c r="M401">
        <f t="shared" si="21"/>
        <v>131</v>
      </c>
      <c r="N401">
        <f t="shared" si="22"/>
        <v>32</v>
      </c>
      <c r="O401">
        <f t="shared" si="23"/>
        <v>47</v>
      </c>
      <c r="P401">
        <f t="shared" si="24"/>
        <v>21</v>
      </c>
    </row>
    <row r="402" spans="9:16" ht="15" customHeight="1" x14ac:dyDescent="0.25">
      <c r="I402" s="32" t="s">
        <v>337</v>
      </c>
      <c r="J402" s="32" t="s">
        <v>11</v>
      </c>
      <c r="K402" s="32" t="s">
        <v>1560</v>
      </c>
      <c r="L402" s="32" t="s">
        <v>19</v>
      </c>
      <c r="M402">
        <f t="shared" si="21"/>
        <v>137</v>
      </c>
      <c r="N402">
        <f t="shared" si="22"/>
        <v>32</v>
      </c>
      <c r="O402">
        <f t="shared" si="23"/>
        <v>49</v>
      </c>
      <c r="P402">
        <f t="shared" si="24"/>
        <v>23</v>
      </c>
    </row>
    <row r="403" spans="9:16" ht="15" customHeight="1" x14ac:dyDescent="0.25">
      <c r="I403" s="33" t="s">
        <v>338</v>
      </c>
      <c r="J403" s="33" t="s">
        <v>24</v>
      </c>
      <c r="K403" s="33" t="s">
        <v>1553</v>
      </c>
      <c r="L403" s="33" t="s">
        <v>43</v>
      </c>
      <c r="M403">
        <f t="shared" si="21"/>
        <v>135</v>
      </c>
      <c r="N403">
        <f t="shared" si="22"/>
        <v>9</v>
      </c>
      <c r="O403">
        <f t="shared" si="23"/>
        <v>39</v>
      </c>
      <c r="P403">
        <f t="shared" si="24"/>
        <v>25</v>
      </c>
    </row>
    <row r="404" spans="9:16" ht="15" customHeight="1" x14ac:dyDescent="0.25">
      <c r="I404" s="32" t="s">
        <v>335</v>
      </c>
      <c r="J404" s="32" t="s">
        <v>11</v>
      </c>
      <c r="K404" s="32" t="s">
        <v>1556</v>
      </c>
      <c r="L404" s="32" t="s">
        <v>339</v>
      </c>
      <c r="M404">
        <f t="shared" si="21"/>
        <v>139</v>
      </c>
      <c r="N404">
        <f t="shared" si="22"/>
        <v>32</v>
      </c>
      <c r="O404">
        <f t="shared" si="23"/>
        <v>42</v>
      </c>
      <c r="P404">
        <f t="shared" si="24"/>
        <v>0</v>
      </c>
    </row>
    <row r="405" spans="9:16" ht="15" customHeight="1" x14ac:dyDescent="0.25">
      <c r="I405" s="33" t="s">
        <v>343</v>
      </c>
      <c r="J405" s="33" t="s">
        <v>11</v>
      </c>
      <c r="K405" s="33" t="s">
        <v>1558</v>
      </c>
      <c r="L405" s="33" t="s">
        <v>345</v>
      </c>
      <c r="M405">
        <f t="shared" si="21"/>
        <v>132</v>
      </c>
      <c r="N405">
        <f t="shared" si="22"/>
        <v>32</v>
      </c>
      <c r="O405">
        <f t="shared" si="23"/>
        <v>48</v>
      </c>
      <c r="P405">
        <f t="shared" si="24"/>
        <v>2</v>
      </c>
    </row>
    <row r="406" spans="9:16" ht="15" customHeight="1" x14ac:dyDescent="0.25">
      <c r="I406" s="32" t="s">
        <v>340</v>
      </c>
      <c r="J406" s="32" t="s">
        <v>24</v>
      </c>
      <c r="K406" s="32" t="s">
        <v>1561</v>
      </c>
      <c r="L406" s="32" t="s">
        <v>33</v>
      </c>
      <c r="M406">
        <f t="shared" si="21"/>
        <v>129</v>
      </c>
      <c r="N406">
        <f t="shared" si="22"/>
        <v>9</v>
      </c>
      <c r="O406">
        <f t="shared" si="23"/>
        <v>51</v>
      </c>
      <c r="P406">
        <f t="shared" si="24"/>
        <v>30</v>
      </c>
    </row>
    <row r="407" spans="9:16" ht="15" customHeight="1" x14ac:dyDescent="0.25">
      <c r="I407" s="33" t="s">
        <v>342</v>
      </c>
      <c r="J407" s="33" t="s">
        <v>11</v>
      </c>
      <c r="K407" s="33" t="s">
        <v>1554</v>
      </c>
      <c r="L407" s="33" t="s">
        <v>13</v>
      </c>
      <c r="M407">
        <f t="shared" si="21"/>
        <v>134</v>
      </c>
      <c r="N407">
        <f t="shared" si="22"/>
        <v>32</v>
      </c>
      <c r="O407">
        <f t="shared" si="23"/>
        <v>38</v>
      </c>
      <c r="P407">
        <f t="shared" si="24"/>
        <v>21</v>
      </c>
    </row>
    <row r="408" spans="9:16" ht="15" customHeight="1" x14ac:dyDescent="0.25">
      <c r="I408" s="32" t="s">
        <v>23</v>
      </c>
      <c r="J408" s="32" t="s">
        <v>24</v>
      </c>
      <c r="K408" s="32" t="s">
        <v>1559</v>
      </c>
      <c r="L408" s="32" t="s">
        <v>19</v>
      </c>
      <c r="M408">
        <f t="shared" si="21"/>
        <v>136</v>
      </c>
      <c r="N408">
        <f t="shared" si="22"/>
        <v>9</v>
      </c>
      <c r="O408">
        <f t="shared" si="23"/>
        <v>43</v>
      </c>
      <c r="P408">
        <f t="shared" si="24"/>
        <v>23</v>
      </c>
    </row>
    <row r="409" spans="9:16" ht="15" customHeight="1" x14ac:dyDescent="0.25">
      <c r="I409" s="33" t="s">
        <v>17</v>
      </c>
      <c r="J409" s="33" t="s">
        <v>11</v>
      </c>
      <c r="K409" s="33" t="s">
        <v>1554</v>
      </c>
      <c r="L409" s="33" t="s">
        <v>43</v>
      </c>
      <c r="M409">
        <f t="shared" ref="M409:M472" si="25">_xlfn.XLOOKUP(I409,$C$9:$C$37,$D$9:$D$37,2,0)</f>
        <v>141</v>
      </c>
      <c r="N409">
        <f t="shared" ref="N409:N472" si="26">_xlfn.XLOOKUP(J409,$C$9:$C$37,$D$9:$D$37,2,0)</f>
        <v>32</v>
      </c>
      <c r="O409">
        <f t="shared" ref="O409:O472" si="27">_xlfn.XLOOKUP(K409,$C$9:$C$37,$D$9:$D$37,2,0)</f>
        <v>38</v>
      </c>
      <c r="P409">
        <f t="shared" ref="P409:P472" si="28">_xlfn.XLOOKUP(L409,$C$9:$C$37,$D$9:$D$37,2,0)</f>
        <v>25</v>
      </c>
    </row>
    <row r="410" spans="9:16" ht="15" customHeight="1" x14ac:dyDescent="0.25">
      <c r="I410" s="32" t="s">
        <v>10</v>
      </c>
      <c r="J410" s="32" t="s">
        <v>24</v>
      </c>
      <c r="K410" s="32" t="s">
        <v>1559</v>
      </c>
      <c r="L410" s="32" t="s">
        <v>339</v>
      </c>
      <c r="M410">
        <f t="shared" si="25"/>
        <v>143</v>
      </c>
      <c r="N410">
        <f t="shared" si="26"/>
        <v>9</v>
      </c>
      <c r="O410">
        <f t="shared" si="27"/>
        <v>43</v>
      </c>
      <c r="P410">
        <f t="shared" si="28"/>
        <v>0</v>
      </c>
    </row>
    <row r="411" spans="9:16" ht="15" customHeight="1" x14ac:dyDescent="0.25">
      <c r="I411" s="33" t="s">
        <v>344</v>
      </c>
      <c r="J411" s="33" t="s">
        <v>11</v>
      </c>
      <c r="K411" s="33" t="s">
        <v>1553</v>
      </c>
      <c r="L411" s="33" t="s">
        <v>345</v>
      </c>
      <c r="M411">
        <f t="shared" si="25"/>
        <v>131</v>
      </c>
      <c r="N411">
        <f t="shared" si="26"/>
        <v>32</v>
      </c>
      <c r="O411">
        <f t="shared" si="27"/>
        <v>39</v>
      </c>
      <c r="P411">
        <f t="shared" si="28"/>
        <v>2</v>
      </c>
    </row>
    <row r="412" spans="9:16" ht="15" customHeight="1" x14ac:dyDescent="0.25">
      <c r="I412" s="32" t="s">
        <v>344</v>
      </c>
      <c r="J412" s="32" t="s">
        <v>24</v>
      </c>
      <c r="K412" s="32" t="s">
        <v>1556</v>
      </c>
      <c r="L412" s="32" t="s">
        <v>33</v>
      </c>
      <c r="M412">
        <f t="shared" si="25"/>
        <v>131</v>
      </c>
      <c r="N412">
        <f t="shared" si="26"/>
        <v>9</v>
      </c>
      <c r="O412">
        <f t="shared" si="27"/>
        <v>42</v>
      </c>
      <c r="P412">
        <f t="shared" si="28"/>
        <v>30</v>
      </c>
    </row>
    <row r="413" spans="9:16" ht="15" customHeight="1" x14ac:dyDescent="0.25">
      <c r="I413" s="33" t="s">
        <v>10</v>
      </c>
      <c r="J413" s="33" t="s">
        <v>24</v>
      </c>
      <c r="K413" s="33" t="s">
        <v>1558</v>
      </c>
      <c r="L413" s="33" t="s">
        <v>13</v>
      </c>
      <c r="M413">
        <f t="shared" si="25"/>
        <v>143</v>
      </c>
      <c r="N413">
        <f t="shared" si="26"/>
        <v>9</v>
      </c>
      <c r="O413">
        <f t="shared" si="27"/>
        <v>48</v>
      </c>
      <c r="P413">
        <f t="shared" si="28"/>
        <v>21</v>
      </c>
    </row>
    <row r="414" spans="9:16" ht="15" customHeight="1" x14ac:dyDescent="0.25">
      <c r="I414" s="32" t="s">
        <v>17</v>
      </c>
      <c r="J414" s="32" t="s">
        <v>24</v>
      </c>
      <c r="K414" s="32" t="s">
        <v>1561</v>
      </c>
      <c r="L414" s="32" t="s">
        <v>19</v>
      </c>
      <c r="M414">
        <f t="shared" si="25"/>
        <v>141</v>
      </c>
      <c r="N414">
        <f t="shared" si="26"/>
        <v>9</v>
      </c>
      <c r="O414">
        <f t="shared" si="27"/>
        <v>51</v>
      </c>
      <c r="P414">
        <f t="shared" si="28"/>
        <v>23</v>
      </c>
    </row>
    <row r="415" spans="9:16" ht="15" customHeight="1" x14ac:dyDescent="0.25">
      <c r="I415" s="33" t="s">
        <v>23</v>
      </c>
      <c r="J415" s="33" t="s">
        <v>11</v>
      </c>
      <c r="K415" s="33" t="s">
        <v>1552</v>
      </c>
      <c r="L415" s="33" t="s">
        <v>43</v>
      </c>
      <c r="M415">
        <f t="shared" si="25"/>
        <v>136</v>
      </c>
      <c r="N415">
        <f t="shared" si="26"/>
        <v>32</v>
      </c>
      <c r="O415">
        <f t="shared" si="27"/>
        <v>37</v>
      </c>
      <c r="P415">
        <f t="shared" si="28"/>
        <v>25</v>
      </c>
    </row>
    <row r="416" spans="9:16" ht="15" customHeight="1" x14ac:dyDescent="0.25">
      <c r="I416" s="32" t="s">
        <v>342</v>
      </c>
      <c r="J416" s="32" t="s">
        <v>24</v>
      </c>
      <c r="K416" s="32" t="s">
        <v>1555</v>
      </c>
      <c r="L416" s="32" t="s">
        <v>339</v>
      </c>
      <c r="M416">
        <f t="shared" si="25"/>
        <v>134</v>
      </c>
      <c r="N416">
        <f t="shared" si="26"/>
        <v>9</v>
      </c>
      <c r="O416">
        <f t="shared" si="27"/>
        <v>41</v>
      </c>
      <c r="P416">
        <f t="shared" si="28"/>
        <v>0</v>
      </c>
    </row>
    <row r="417" spans="9:16" ht="15" customHeight="1" x14ac:dyDescent="0.25">
      <c r="I417" s="33" t="s">
        <v>340</v>
      </c>
      <c r="J417" s="33" t="s">
        <v>11</v>
      </c>
      <c r="K417" s="33" t="s">
        <v>1557</v>
      </c>
      <c r="L417" s="33" t="s">
        <v>345</v>
      </c>
      <c r="M417">
        <f t="shared" si="25"/>
        <v>129</v>
      </c>
      <c r="N417">
        <f t="shared" si="26"/>
        <v>32</v>
      </c>
      <c r="O417">
        <f t="shared" si="27"/>
        <v>47</v>
      </c>
      <c r="P417">
        <f t="shared" si="28"/>
        <v>2</v>
      </c>
    </row>
    <row r="418" spans="9:16" ht="15" customHeight="1" x14ac:dyDescent="0.25">
      <c r="I418" s="32" t="s">
        <v>343</v>
      </c>
      <c r="J418" s="32" t="s">
        <v>24</v>
      </c>
      <c r="K418" s="32" t="s">
        <v>1560</v>
      </c>
      <c r="L418" s="32" t="s">
        <v>33</v>
      </c>
      <c r="M418">
        <f t="shared" si="25"/>
        <v>132</v>
      </c>
      <c r="N418">
        <f t="shared" si="26"/>
        <v>9</v>
      </c>
      <c r="O418">
        <f t="shared" si="27"/>
        <v>49</v>
      </c>
      <c r="P418">
        <f t="shared" si="28"/>
        <v>30</v>
      </c>
    </row>
    <row r="419" spans="9:16" ht="15" customHeight="1" x14ac:dyDescent="0.25">
      <c r="I419" s="33" t="s">
        <v>335</v>
      </c>
      <c r="J419" s="33" t="s">
        <v>11</v>
      </c>
      <c r="K419" s="33" t="s">
        <v>12</v>
      </c>
      <c r="L419" s="33" t="s">
        <v>13</v>
      </c>
      <c r="M419">
        <f t="shared" si="25"/>
        <v>139</v>
      </c>
      <c r="N419">
        <f t="shared" si="26"/>
        <v>32</v>
      </c>
      <c r="O419">
        <f t="shared" si="27"/>
        <v>0</v>
      </c>
      <c r="P419">
        <f t="shared" si="28"/>
        <v>21</v>
      </c>
    </row>
    <row r="420" spans="9:16" ht="15" customHeight="1" x14ac:dyDescent="0.25">
      <c r="I420" s="32" t="s">
        <v>338</v>
      </c>
      <c r="J420" s="32" t="s">
        <v>24</v>
      </c>
      <c r="K420" s="32" t="s">
        <v>12</v>
      </c>
      <c r="L420" s="32" t="s">
        <v>19</v>
      </c>
      <c r="M420">
        <f t="shared" si="25"/>
        <v>135</v>
      </c>
      <c r="N420">
        <f t="shared" si="26"/>
        <v>9</v>
      </c>
      <c r="O420">
        <f t="shared" si="27"/>
        <v>0</v>
      </c>
      <c r="P420">
        <f t="shared" si="28"/>
        <v>23</v>
      </c>
    </row>
    <row r="421" spans="9:16" ht="15" customHeight="1" x14ac:dyDescent="0.25">
      <c r="I421" s="33" t="s">
        <v>337</v>
      </c>
      <c r="J421" s="33" t="s">
        <v>11</v>
      </c>
      <c r="K421" s="33" t="s">
        <v>1552</v>
      </c>
      <c r="L421" s="33" t="s">
        <v>43</v>
      </c>
      <c r="M421">
        <f t="shared" si="25"/>
        <v>137</v>
      </c>
      <c r="N421">
        <f t="shared" si="26"/>
        <v>32</v>
      </c>
      <c r="O421">
        <f t="shared" si="27"/>
        <v>37</v>
      </c>
      <c r="P421">
        <f t="shared" si="28"/>
        <v>25</v>
      </c>
    </row>
    <row r="422" spans="9:16" ht="15" customHeight="1" x14ac:dyDescent="0.25">
      <c r="I422" s="32" t="s">
        <v>343</v>
      </c>
      <c r="J422" s="32" t="s">
        <v>11</v>
      </c>
      <c r="K422" s="32" t="s">
        <v>1553</v>
      </c>
      <c r="L422" s="32" t="s">
        <v>339</v>
      </c>
      <c r="M422">
        <f t="shared" si="25"/>
        <v>132</v>
      </c>
      <c r="N422">
        <f t="shared" si="26"/>
        <v>32</v>
      </c>
      <c r="O422">
        <f t="shared" si="27"/>
        <v>39</v>
      </c>
      <c r="P422">
        <f t="shared" si="28"/>
        <v>0</v>
      </c>
    </row>
    <row r="423" spans="9:16" ht="15" customHeight="1" x14ac:dyDescent="0.25">
      <c r="I423" s="33" t="s">
        <v>340</v>
      </c>
      <c r="J423" s="33" t="s">
        <v>24</v>
      </c>
      <c r="K423" s="33" t="s">
        <v>1554</v>
      </c>
      <c r="L423" s="33" t="s">
        <v>345</v>
      </c>
      <c r="M423">
        <f t="shared" si="25"/>
        <v>129</v>
      </c>
      <c r="N423">
        <f t="shared" si="26"/>
        <v>9</v>
      </c>
      <c r="O423">
        <f t="shared" si="27"/>
        <v>38</v>
      </c>
      <c r="P423">
        <f t="shared" si="28"/>
        <v>2</v>
      </c>
    </row>
    <row r="424" spans="9:16" ht="15" customHeight="1" x14ac:dyDescent="0.25">
      <c r="I424" s="32" t="s">
        <v>10</v>
      </c>
      <c r="J424" s="32" t="s">
        <v>11</v>
      </c>
      <c r="K424" s="32" t="s">
        <v>1555</v>
      </c>
      <c r="L424" s="32" t="s">
        <v>33</v>
      </c>
      <c r="M424">
        <f t="shared" si="25"/>
        <v>143</v>
      </c>
      <c r="N424">
        <f t="shared" si="26"/>
        <v>32</v>
      </c>
      <c r="O424">
        <f t="shared" si="27"/>
        <v>41</v>
      </c>
      <c r="P424">
        <f t="shared" si="28"/>
        <v>30</v>
      </c>
    </row>
    <row r="425" spans="9:16" ht="15" customHeight="1" x14ac:dyDescent="0.25">
      <c r="I425" s="33" t="s">
        <v>344</v>
      </c>
      <c r="J425" s="33" t="s">
        <v>24</v>
      </c>
      <c r="K425" s="33" t="s">
        <v>1556</v>
      </c>
      <c r="L425" s="33" t="s">
        <v>13</v>
      </c>
      <c r="M425">
        <f t="shared" si="25"/>
        <v>131</v>
      </c>
      <c r="N425">
        <f t="shared" si="26"/>
        <v>9</v>
      </c>
      <c r="O425">
        <f t="shared" si="27"/>
        <v>42</v>
      </c>
      <c r="P425">
        <f t="shared" si="28"/>
        <v>21</v>
      </c>
    </row>
    <row r="426" spans="9:16" ht="15" customHeight="1" x14ac:dyDescent="0.25">
      <c r="I426" s="32" t="s">
        <v>338</v>
      </c>
      <c r="J426" s="32" t="s">
        <v>24</v>
      </c>
      <c r="K426" s="32" t="s">
        <v>1559</v>
      </c>
      <c r="L426" s="32" t="s">
        <v>19</v>
      </c>
      <c r="M426">
        <f t="shared" si="25"/>
        <v>135</v>
      </c>
      <c r="N426">
        <f t="shared" si="26"/>
        <v>9</v>
      </c>
      <c r="O426">
        <f t="shared" si="27"/>
        <v>43</v>
      </c>
      <c r="P426">
        <f t="shared" si="28"/>
        <v>23</v>
      </c>
    </row>
    <row r="427" spans="9:16" ht="15" customHeight="1" x14ac:dyDescent="0.25">
      <c r="I427" s="33" t="s">
        <v>23</v>
      </c>
      <c r="J427" s="33" t="s">
        <v>11</v>
      </c>
      <c r="K427" s="33" t="s">
        <v>1557</v>
      </c>
      <c r="L427" s="33" t="s">
        <v>43</v>
      </c>
      <c r="M427">
        <f t="shared" si="25"/>
        <v>136</v>
      </c>
      <c r="N427">
        <f t="shared" si="26"/>
        <v>32</v>
      </c>
      <c r="O427">
        <f t="shared" si="27"/>
        <v>47</v>
      </c>
      <c r="P427">
        <f t="shared" si="28"/>
        <v>25</v>
      </c>
    </row>
    <row r="428" spans="9:16" ht="15" customHeight="1" x14ac:dyDescent="0.25">
      <c r="I428" s="32" t="s">
        <v>17</v>
      </c>
      <c r="J428" s="32" t="s">
        <v>11</v>
      </c>
      <c r="K428" s="32" t="s">
        <v>1558</v>
      </c>
      <c r="L428" s="32" t="s">
        <v>339</v>
      </c>
      <c r="M428">
        <f t="shared" si="25"/>
        <v>141</v>
      </c>
      <c r="N428">
        <f t="shared" si="26"/>
        <v>32</v>
      </c>
      <c r="O428">
        <f t="shared" si="27"/>
        <v>48</v>
      </c>
      <c r="P428">
        <f t="shared" si="28"/>
        <v>0</v>
      </c>
    </row>
    <row r="429" spans="9:16" ht="15" customHeight="1" x14ac:dyDescent="0.25">
      <c r="I429" s="33" t="s">
        <v>10</v>
      </c>
      <c r="J429" s="33" t="s">
        <v>11</v>
      </c>
      <c r="K429" s="33" t="s">
        <v>1560</v>
      </c>
      <c r="L429" s="33" t="s">
        <v>345</v>
      </c>
      <c r="M429">
        <f t="shared" si="25"/>
        <v>143</v>
      </c>
      <c r="N429">
        <f t="shared" si="26"/>
        <v>32</v>
      </c>
      <c r="O429">
        <f t="shared" si="27"/>
        <v>49</v>
      </c>
      <c r="P429">
        <f t="shared" si="28"/>
        <v>2</v>
      </c>
    </row>
    <row r="430" spans="9:16" ht="15" customHeight="1" x14ac:dyDescent="0.25">
      <c r="I430" s="32" t="s">
        <v>337</v>
      </c>
      <c r="J430" s="32" t="s">
        <v>11</v>
      </c>
      <c r="K430" s="32" t="s">
        <v>1561</v>
      </c>
      <c r="L430" s="32" t="s">
        <v>33</v>
      </c>
      <c r="M430">
        <f t="shared" si="25"/>
        <v>137</v>
      </c>
      <c r="N430">
        <f t="shared" si="26"/>
        <v>32</v>
      </c>
      <c r="O430">
        <f t="shared" si="27"/>
        <v>51</v>
      </c>
      <c r="P430">
        <f t="shared" si="28"/>
        <v>30</v>
      </c>
    </row>
    <row r="431" spans="9:16" ht="15" customHeight="1" x14ac:dyDescent="0.25">
      <c r="I431" s="33" t="s">
        <v>338</v>
      </c>
      <c r="J431" s="33" t="s">
        <v>11</v>
      </c>
      <c r="K431" s="33" t="s">
        <v>1561</v>
      </c>
      <c r="L431" s="33" t="s">
        <v>13</v>
      </c>
      <c r="M431">
        <f t="shared" si="25"/>
        <v>135</v>
      </c>
      <c r="N431">
        <f t="shared" si="26"/>
        <v>32</v>
      </c>
      <c r="O431">
        <f t="shared" si="27"/>
        <v>51</v>
      </c>
      <c r="P431">
        <f t="shared" si="28"/>
        <v>21</v>
      </c>
    </row>
    <row r="432" spans="9:16" ht="15" customHeight="1" x14ac:dyDescent="0.25">
      <c r="I432" s="32" t="s">
        <v>338</v>
      </c>
      <c r="J432" s="32" t="s">
        <v>11</v>
      </c>
      <c r="K432" s="32" t="s">
        <v>1560</v>
      </c>
      <c r="L432" s="32" t="s">
        <v>19</v>
      </c>
      <c r="M432">
        <f t="shared" si="25"/>
        <v>135</v>
      </c>
      <c r="N432">
        <f t="shared" si="26"/>
        <v>32</v>
      </c>
      <c r="O432">
        <f t="shared" si="27"/>
        <v>49</v>
      </c>
      <c r="P432">
        <f t="shared" si="28"/>
        <v>23</v>
      </c>
    </row>
    <row r="433" spans="9:16" ht="15" customHeight="1" x14ac:dyDescent="0.25">
      <c r="I433" s="33" t="s">
        <v>335</v>
      </c>
      <c r="J433" s="33" t="s">
        <v>24</v>
      </c>
      <c r="K433" s="33" t="s">
        <v>1558</v>
      </c>
      <c r="L433" s="33" t="s">
        <v>43</v>
      </c>
      <c r="M433">
        <f t="shared" si="25"/>
        <v>139</v>
      </c>
      <c r="N433">
        <f t="shared" si="26"/>
        <v>9</v>
      </c>
      <c r="O433">
        <f t="shared" si="27"/>
        <v>48</v>
      </c>
      <c r="P433">
        <f t="shared" si="28"/>
        <v>25</v>
      </c>
    </row>
    <row r="434" spans="9:16" ht="15" customHeight="1" x14ac:dyDescent="0.25">
      <c r="I434" s="32" t="s">
        <v>335</v>
      </c>
      <c r="J434" s="32" t="s">
        <v>11</v>
      </c>
      <c r="K434" s="32" t="s">
        <v>1557</v>
      </c>
      <c r="L434" s="32" t="s">
        <v>339</v>
      </c>
      <c r="M434">
        <f t="shared" si="25"/>
        <v>139</v>
      </c>
      <c r="N434">
        <f t="shared" si="26"/>
        <v>32</v>
      </c>
      <c r="O434">
        <f t="shared" si="27"/>
        <v>47</v>
      </c>
      <c r="P434">
        <f t="shared" si="28"/>
        <v>0</v>
      </c>
    </row>
    <row r="435" spans="9:16" ht="15" customHeight="1" x14ac:dyDescent="0.25">
      <c r="I435" s="33" t="s">
        <v>342</v>
      </c>
      <c r="J435" s="33" t="s">
        <v>11</v>
      </c>
      <c r="K435" s="33" t="s">
        <v>1559</v>
      </c>
      <c r="L435" s="33" t="s">
        <v>345</v>
      </c>
      <c r="M435">
        <f t="shared" si="25"/>
        <v>134</v>
      </c>
      <c r="N435">
        <f t="shared" si="26"/>
        <v>32</v>
      </c>
      <c r="O435">
        <f t="shared" si="27"/>
        <v>43</v>
      </c>
      <c r="P435">
        <f t="shared" si="28"/>
        <v>2</v>
      </c>
    </row>
    <row r="436" spans="9:16" ht="15" customHeight="1" x14ac:dyDescent="0.25">
      <c r="I436" s="32" t="s">
        <v>342</v>
      </c>
      <c r="J436" s="32" t="s">
        <v>11</v>
      </c>
      <c r="K436" s="32" t="s">
        <v>1556</v>
      </c>
      <c r="L436" s="32" t="s">
        <v>33</v>
      </c>
      <c r="M436">
        <f t="shared" si="25"/>
        <v>134</v>
      </c>
      <c r="N436">
        <f t="shared" si="26"/>
        <v>32</v>
      </c>
      <c r="O436">
        <f t="shared" si="27"/>
        <v>42</v>
      </c>
      <c r="P436">
        <f t="shared" si="28"/>
        <v>30</v>
      </c>
    </row>
    <row r="437" spans="9:16" ht="15" customHeight="1" x14ac:dyDescent="0.25">
      <c r="I437" s="33" t="s">
        <v>10</v>
      </c>
      <c r="J437" s="33" t="s">
        <v>11</v>
      </c>
      <c r="K437" s="33" t="s">
        <v>1555</v>
      </c>
      <c r="L437" s="33" t="s">
        <v>13</v>
      </c>
      <c r="M437">
        <f t="shared" si="25"/>
        <v>143</v>
      </c>
      <c r="N437">
        <f t="shared" si="26"/>
        <v>32</v>
      </c>
      <c r="O437">
        <f t="shared" si="27"/>
        <v>41</v>
      </c>
      <c r="P437">
        <f t="shared" si="28"/>
        <v>21</v>
      </c>
    </row>
    <row r="438" spans="9:16" ht="15" customHeight="1" x14ac:dyDescent="0.25">
      <c r="I438" s="32" t="s">
        <v>17</v>
      </c>
      <c r="J438" s="32" t="s">
        <v>24</v>
      </c>
      <c r="K438" s="32" t="s">
        <v>1554</v>
      </c>
      <c r="L438" s="32" t="s">
        <v>19</v>
      </c>
      <c r="M438">
        <f t="shared" si="25"/>
        <v>141</v>
      </c>
      <c r="N438">
        <f t="shared" si="26"/>
        <v>9</v>
      </c>
      <c r="O438">
        <f t="shared" si="27"/>
        <v>38</v>
      </c>
      <c r="P438">
        <f t="shared" si="28"/>
        <v>23</v>
      </c>
    </row>
    <row r="439" spans="9:16" ht="15" customHeight="1" x14ac:dyDescent="0.25">
      <c r="I439" s="33" t="s">
        <v>10</v>
      </c>
      <c r="J439" s="33" t="s">
        <v>11</v>
      </c>
      <c r="K439" s="33" t="s">
        <v>1553</v>
      </c>
      <c r="L439" s="33" t="s">
        <v>43</v>
      </c>
      <c r="M439">
        <f t="shared" si="25"/>
        <v>143</v>
      </c>
      <c r="N439">
        <f t="shared" si="26"/>
        <v>32</v>
      </c>
      <c r="O439">
        <f t="shared" si="27"/>
        <v>39</v>
      </c>
      <c r="P439">
        <f t="shared" si="28"/>
        <v>25</v>
      </c>
    </row>
    <row r="440" spans="9:16" ht="15" customHeight="1" x14ac:dyDescent="0.25">
      <c r="I440" s="32" t="s">
        <v>23</v>
      </c>
      <c r="J440" s="32" t="s">
        <v>24</v>
      </c>
      <c r="K440" s="32" t="s">
        <v>1552</v>
      </c>
      <c r="L440" s="32" t="s">
        <v>339</v>
      </c>
      <c r="M440">
        <f t="shared" si="25"/>
        <v>136</v>
      </c>
      <c r="N440">
        <f t="shared" si="26"/>
        <v>9</v>
      </c>
      <c r="O440">
        <f t="shared" si="27"/>
        <v>37</v>
      </c>
      <c r="P440">
        <f t="shared" si="28"/>
        <v>0</v>
      </c>
    </row>
    <row r="441" spans="9:16" ht="15" customHeight="1" x14ac:dyDescent="0.25">
      <c r="I441" s="33" t="s">
        <v>17</v>
      </c>
      <c r="J441" s="33" t="s">
        <v>11</v>
      </c>
      <c r="K441" s="33" t="s">
        <v>12</v>
      </c>
      <c r="L441" s="33" t="s">
        <v>345</v>
      </c>
      <c r="M441">
        <f t="shared" si="25"/>
        <v>141</v>
      </c>
      <c r="N441">
        <f t="shared" si="26"/>
        <v>32</v>
      </c>
      <c r="O441">
        <f t="shared" si="27"/>
        <v>0</v>
      </c>
      <c r="P441">
        <f t="shared" si="28"/>
        <v>2</v>
      </c>
    </row>
    <row r="442" spans="9:16" ht="15" customHeight="1" x14ac:dyDescent="0.25">
      <c r="I442" s="32" t="s">
        <v>337</v>
      </c>
      <c r="J442" s="32" t="s">
        <v>24</v>
      </c>
      <c r="K442" s="32" t="s">
        <v>12</v>
      </c>
      <c r="L442" s="32" t="s">
        <v>33</v>
      </c>
      <c r="M442">
        <f t="shared" si="25"/>
        <v>137</v>
      </c>
      <c r="N442">
        <f t="shared" si="26"/>
        <v>9</v>
      </c>
      <c r="O442">
        <f t="shared" si="27"/>
        <v>0</v>
      </c>
      <c r="P442">
        <f t="shared" si="28"/>
        <v>30</v>
      </c>
    </row>
    <row r="443" spans="9:16" ht="15" customHeight="1" x14ac:dyDescent="0.25">
      <c r="I443" s="33" t="s">
        <v>338</v>
      </c>
      <c r="J443" s="33" t="s">
        <v>11</v>
      </c>
      <c r="K443" s="33" t="s">
        <v>1552</v>
      </c>
      <c r="L443" s="33" t="s">
        <v>13</v>
      </c>
      <c r="M443">
        <f t="shared" si="25"/>
        <v>135</v>
      </c>
      <c r="N443">
        <f t="shared" si="26"/>
        <v>32</v>
      </c>
      <c r="O443">
        <f t="shared" si="27"/>
        <v>37</v>
      </c>
      <c r="P443">
        <f t="shared" si="28"/>
        <v>21</v>
      </c>
    </row>
    <row r="444" spans="9:16" ht="15" customHeight="1" x14ac:dyDescent="0.25">
      <c r="I444" s="32" t="s">
        <v>335</v>
      </c>
      <c r="J444" s="32" t="s">
        <v>24</v>
      </c>
      <c r="K444" s="32" t="s">
        <v>1555</v>
      </c>
      <c r="L444" s="32" t="s">
        <v>19</v>
      </c>
      <c r="M444">
        <f t="shared" si="25"/>
        <v>139</v>
      </c>
      <c r="N444">
        <f t="shared" si="26"/>
        <v>9</v>
      </c>
      <c r="O444">
        <f t="shared" si="27"/>
        <v>41</v>
      </c>
      <c r="P444">
        <f t="shared" si="28"/>
        <v>23</v>
      </c>
    </row>
    <row r="445" spans="9:16" ht="15" customHeight="1" x14ac:dyDescent="0.25">
      <c r="I445" s="33" t="s">
        <v>342</v>
      </c>
      <c r="J445" s="33" t="s">
        <v>24</v>
      </c>
      <c r="K445" s="33" t="s">
        <v>1557</v>
      </c>
      <c r="L445" s="33" t="s">
        <v>43</v>
      </c>
      <c r="M445">
        <f t="shared" si="25"/>
        <v>134</v>
      </c>
      <c r="N445">
        <f t="shared" si="26"/>
        <v>9</v>
      </c>
      <c r="O445">
        <f t="shared" si="27"/>
        <v>47</v>
      </c>
      <c r="P445">
        <f t="shared" si="28"/>
        <v>25</v>
      </c>
    </row>
    <row r="446" spans="9:16" ht="15" customHeight="1" x14ac:dyDescent="0.25">
      <c r="I446" s="32" t="s">
        <v>23</v>
      </c>
      <c r="J446" s="32" t="s">
        <v>24</v>
      </c>
      <c r="K446" s="32" t="s">
        <v>1560</v>
      </c>
      <c r="L446" s="32" t="s">
        <v>339</v>
      </c>
      <c r="M446">
        <f t="shared" si="25"/>
        <v>136</v>
      </c>
      <c r="N446">
        <f t="shared" si="26"/>
        <v>9</v>
      </c>
      <c r="O446">
        <f t="shared" si="27"/>
        <v>49</v>
      </c>
      <c r="P446">
        <f t="shared" si="28"/>
        <v>0</v>
      </c>
    </row>
    <row r="447" spans="9:16" ht="15" customHeight="1" x14ac:dyDescent="0.25">
      <c r="I447" s="33" t="s">
        <v>17</v>
      </c>
      <c r="J447" s="33" t="s">
        <v>11</v>
      </c>
      <c r="K447" s="33" t="s">
        <v>1553</v>
      </c>
      <c r="L447" s="33" t="s">
        <v>345</v>
      </c>
      <c r="M447">
        <f t="shared" si="25"/>
        <v>141</v>
      </c>
      <c r="N447">
        <f t="shared" si="26"/>
        <v>32</v>
      </c>
      <c r="O447">
        <f t="shared" si="27"/>
        <v>39</v>
      </c>
      <c r="P447">
        <f t="shared" si="28"/>
        <v>2</v>
      </c>
    </row>
    <row r="448" spans="9:16" ht="15" customHeight="1" x14ac:dyDescent="0.25">
      <c r="I448" s="32" t="s">
        <v>10</v>
      </c>
      <c r="J448" s="32" t="s">
        <v>11</v>
      </c>
      <c r="K448" s="32" t="s">
        <v>1556</v>
      </c>
      <c r="L448" s="32" t="s">
        <v>33</v>
      </c>
      <c r="M448">
        <f t="shared" si="25"/>
        <v>143</v>
      </c>
      <c r="N448">
        <f t="shared" si="26"/>
        <v>32</v>
      </c>
      <c r="O448">
        <f t="shared" si="27"/>
        <v>42</v>
      </c>
      <c r="P448">
        <f t="shared" si="28"/>
        <v>30</v>
      </c>
    </row>
    <row r="449" spans="9:16" ht="15" customHeight="1" x14ac:dyDescent="0.25">
      <c r="I449" s="33" t="s">
        <v>343</v>
      </c>
      <c r="J449" s="33" t="s">
        <v>11</v>
      </c>
      <c r="K449" s="33" t="s">
        <v>1558</v>
      </c>
      <c r="L449" s="33" t="s">
        <v>13</v>
      </c>
      <c r="M449">
        <f t="shared" si="25"/>
        <v>132</v>
      </c>
      <c r="N449">
        <f t="shared" si="26"/>
        <v>32</v>
      </c>
      <c r="O449">
        <f t="shared" si="27"/>
        <v>48</v>
      </c>
      <c r="P449">
        <f t="shared" si="28"/>
        <v>21</v>
      </c>
    </row>
    <row r="450" spans="9:16" ht="15" customHeight="1" x14ac:dyDescent="0.25">
      <c r="I450" s="32" t="s">
        <v>340</v>
      </c>
      <c r="J450" s="32" t="s">
        <v>11</v>
      </c>
      <c r="K450" s="32" t="s">
        <v>1561</v>
      </c>
      <c r="L450" s="32" t="s">
        <v>19</v>
      </c>
      <c r="M450">
        <f t="shared" si="25"/>
        <v>129</v>
      </c>
      <c r="N450">
        <f t="shared" si="26"/>
        <v>32</v>
      </c>
      <c r="O450">
        <f t="shared" si="27"/>
        <v>51</v>
      </c>
      <c r="P450">
        <f t="shared" si="28"/>
        <v>23</v>
      </c>
    </row>
    <row r="451" spans="9:16" ht="15" customHeight="1" x14ac:dyDescent="0.25">
      <c r="I451" s="33" t="s">
        <v>344</v>
      </c>
      <c r="J451" s="33" t="s">
        <v>11</v>
      </c>
      <c r="K451" s="33" t="s">
        <v>1554</v>
      </c>
      <c r="L451" s="33" t="s">
        <v>43</v>
      </c>
      <c r="M451">
        <f t="shared" si="25"/>
        <v>131</v>
      </c>
      <c r="N451">
        <f t="shared" si="26"/>
        <v>32</v>
      </c>
      <c r="O451">
        <f t="shared" si="27"/>
        <v>38</v>
      </c>
      <c r="P451">
        <f t="shared" si="28"/>
        <v>25</v>
      </c>
    </row>
    <row r="452" spans="9:16" ht="15" customHeight="1" x14ac:dyDescent="0.25">
      <c r="I452" s="32" t="s">
        <v>335</v>
      </c>
      <c r="J452" s="32" t="s">
        <v>11</v>
      </c>
      <c r="K452" s="32" t="s">
        <v>1559</v>
      </c>
      <c r="L452" s="32" t="s">
        <v>339</v>
      </c>
      <c r="M452">
        <f t="shared" si="25"/>
        <v>139</v>
      </c>
      <c r="N452">
        <f t="shared" si="26"/>
        <v>32</v>
      </c>
      <c r="O452">
        <f t="shared" si="27"/>
        <v>43</v>
      </c>
      <c r="P452">
        <f t="shared" si="28"/>
        <v>0</v>
      </c>
    </row>
    <row r="453" spans="9:16" ht="15" customHeight="1" x14ac:dyDescent="0.25">
      <c r="I453" s="33" t="s">
        <v>343</v>
      </c>
      <c r="J453" s="33" t="s">
        <v>24</v>
      </c>
      <c r="K453" s="33" t="s">
        <v>1554</v>
      </c>
      <c r="L453" s="33" t="s">
        <v>345</v>
      </c>
      <c r="M453">
        <f t="shared" si="25"/>
        <v>132</v>
      </c>
      <c r="N453">
        <f t="shared" si="26"/>
        <v>9</v>
      </c>
      <c r="O453">
        <f t="shared" si="27"/>
        <v>38</v>
      </c>
      <c r="P453">
        <f t="shared" si="28"/>
        <v>2</v>
      </c>
    </row>
    <row r="454" spans="9:16" ht="15" customHeight="1" x14ac:dyDescent="0.25">
      <c r="I454" s="32" t="s">
        <v>340</v>
      </c>
      <c r="J454" s="32" t="s">
        <v>11</v>
      </c>
      <c r="K454" s="32" t="s">
        <v>1559</v>
      </c>
      <c r="L454" s="32" t="s">
        <v>33</v>
      </c>
      <c r="M454">
        <f t="shared" si="25"/>
        <v>129</v>
      </c>
      <c r="N454">
        <f t="shared" si="26"/>
        <v>32</v>
      </c>
      <c r="O454">
        <f t="shared" si="27"/>
        <v>43</v>
      </c>
      <c r="P454">
        <f t="shared" si="28"/>
        <v>30</v>
      </c>
    </row>
    <row r="455" spans="9:16" ht="15" customHeight="1" x14ac:dyDescent="0.25">
      <c r="I455" s="33" t="s">
        <v>344</v>
      </c>
      <c r="J455" s="33" t="s">
        <v>24</v>
      </c>
      <c r="K455" s="33" t="s">
        <v>1553</v>
      </c>
      <c r="L455" s="33" t="s">
        <v>13</v>
      </c>
      <c r="M455">
        <f t="shared" si="25"/>
        <v>131</v>
      </c>
      <c r="N455">
        <f t="shared" si="26"/>
        <v>9</v>
      </c>
      <c r="O455">
        <f t="shared" si="27"/>
        <v>39</v>
      </c>
      <c r="P455">
        <f t="shared" si="28"/>
        <v>21</v>
      </c>
    </row>
    <row r="456" spans="9:16" ht="15" customHeight="1" x14ac:dyDescent="0.25">
      <c r="I456" s="32" t="s">
        <v>337</v>
      </c>
      <c r="J456" s="32" t="s">
        <v>24</v>
      </c>
      <c r="K456" s="32" t="s">
        <v>1556</v>
      </c>
      <c r="L456" s="32" t="s">
        <v>19</v>
      </c>
      <c r="M456">
        <f t="shared" si="25"/>
        <v>137</v>
      </c>
      <c r="N456">
        <f t="shared" si="26"/>
        <v>9</v>
      </c>
      <c r="O456">
        <f t="shared" si="27"/>
        <v>42</v>
      </c>
      <c r="P456">
        <f t="shared" si="28"/>
        <v>23</v>
      </c>
    </row>
    <row r="457" spans="9:16" ht="15" customHeight="1" x14ac:dyDescent="0.25">
      <c r="I457" s="33" t="s">
        <v>338</v>
      </c>
      <c r="J457" s="33" t="s">
        <v>11</v>
      </c>
      <c r="K457" s="33" t="s">
        <v>1558</v>
      </c>
      <c r="L457" s="33" t="s">
        <v>43</v>
      </c>
      <c r="M457">
        <f t="shared" si="25"/>
        <v>135</v>
      </c>
      <c r="N457">
        <f t="shared" si="26"/>
        <v>32</v>
      </c>
      <c r="O457">
        <f t="shared" si="27"/>
        <v>48</v>
      </c>
      <c r="P457">
        <f t="shared" si="28"/>
        <v>25</v>
      </c>
    </row>
    <row r="458" spans="9:16" ht="15" customHeight="1" x14ac:dyDescent="0.25">
      <c r="I458" s="32" t="s">
        <v>335</v>
      </c>
      <c r="J458" s="32" t="s">
        <v>24</v>
      </c>
      <c r="K458" s="32" t="s">
        <v>1561</v>
      </c>
      <c r="L458" s="32" t="s">
        <v>339</v>
      </c>
      <c r="M458">
        <f t="shared" si="25"/>
        <v>139</v>
      </c>
      <c r="N458">
        <f t="shared" si="26"/>
        <v>9</v>
      </c>
      <c r="O458">
        <f t="shared" si="27"/>
        <v>51</v>
      </c>
      <c r="P458">
        <f t="shared" si="28"/>
        <v>0</v>
      </c>
    </row>
    <row r="459" spans="9:16" ht="15" customHeight="1" x14ac:dyDescent="0.25">
      <c r="I459" s="33" t="s">
        <v>343</v>
      </c>
      <c r="J459" s="33" t="s">
        <v>11</v>
      </c>
      <c r="K459" s="33" t="s">
        <v>1552</v>
      </c>
      <c r="L459" s="33" t="s">
        <v>345</v>
      </c>
      <c r="M459">
        <f t="shared" si="25"/>
        <v>132</v>
      </c>
      <c r="N459">
        <f t="shared" si="26"/>
        <v>32</v>
      </c>
      <c r="O459">
        <f t="shared" si="27"/>
        <v>37</v>
      </c>
      <c r="P459">
        <f t="shared" si="28"/>
        <v>2</v>
      </c>
    </row>
    <row r="460" spans="9:16" ht="15" customHeight="1" x14ac:dyDescent="0.25">
      <c r="I460" s="32" t="s">
        <v>340</v>
      </c>
      <c r="J460" s="32" t="s">
        <v>11</v>
      </c>
      <c r="K460" s="32" t="s">
        <v>1555</v>
      </c>
      <c r="L460" s="32" t="s">
        <v>33</v>
      </c>
      <c r="M460">
        <f t="shared" si="25"/>
        <v>129</v>
      </c>
      <c r="N460">
        <f t="shared" si="26"/>
        <v>32</v>
      </c>
      <c r="O460">
        <f t="shared" si="27"/>
        <v>41</v>
      </c>
      <c r="P460">
        <f t="shared" si="28"/>
        <v>30</v>
      </c>
    </row>
    <row r="461" spans="9:16" ht="15" customHeight="1" x14ac:dyDescent="0.25">
      <c r="I461" s="33" t="s">
        <v>342</v>
      </c>
      <c r="J461" s="33" t="s">
        <v>11</v>
      </c>
      <c r="K461" s="33" t="s">
        <v>1557</v>
      </c>
      <c r="L461" s="33" t="s">
        <v>13</v>
      </c>
      <c r="M461">
        <f t="shared" si="25"/>
        <v>134</v>
      </c>
      <c r="N461">
        <f t="shared" si="26"/>
        <v>32</v>
      </c>
      <c r="O461">
        <f t="shared" si="27"/>
        <v>47</v>
      </c>
      <c r="P461">
        <f t="shared" si="28"/>
        <v>21</v>
      </c>
    </row>
    <row r="462" spans="9:16" ht="15" customHeight="1" x14ac:dyDescent="0.25">
      <c r="I462" s="32" t="s">
        <v>23</v>
      </c>
      <c r="J462" s="32" t="s">
        <v>11</v>
      </c>
      <c r="K462" s="32" t="s">
        <v>1560</v>
      </c>
      <c r="L462" s="32" t="s">
        <v>19</v>
      </c>
      <c r="M462">
        <f t="shared" si="25"/>
        <v>136</v>
      </c>
      <c r="N462">
        <f t="shared" si="26"/>
        <v>32</v>
      </c>
      <c r="O462">
        <f t="shared" si="27"/>
        <v>49</v>
      </c>
      <c r="P462">
        <f t="shared" si="28"/>
        <v>23</v>
      </c>
    </row>
    <row r="463" spans="9:16" ht="15" customHeight="1" x14ac:dyDescent="0.25">
      <c r="I463" s="33" t="s">
        <v>17</v>
      </c>
      <c r="J463" s="33" t="s">
        <v>24</v>
      </c>
      <c r="K463" s="33" t="s">
        <v>12</v>
      </c>
      <c r="L463" s="33" t="s">
        <v>43</v>
      </c>
      <c r="M463">
        <f t="shared" si="25"/>
        <v>141</v>
      </c>
      <c r="N463">
        <f t="shared" si="26"/>
        <v>9</v>
      </c>
      <c r="O463">
        <f t="shared" si="27"/>
        <v>0</v>
      </c>
      <c r="P463">
        <f t="shared" si="28"/>
        <v>25</v>
      </c>
    </row>
    <row r="464" spans="9:16" ht="15" customHeight="1" x14ac:dyDescent="0.25">
      <c r="I464" s="32" t="s">
        <v>10</v>
      </c>
      <c r="J464" s="32" t="s">
        <v>11</v>
      </c>
      <c r="K464" s="32" t="s">
        <v>12</v>
      </c>
      <c r="L464" s="32" t="s">
        <v>339</v>
      </c>
      <c r="M464">
        <f t="shared" si="25"/>
        <v>143</v>
      </c>
      <c r="N464">
        <f t="shared" si="26"/>
        <v>32</v>
      </c>
      <c r="O464">
        <f t="shared" si="27"/>
        <v>0</v>
      </c>
      <c r="P464">
        <f t="shared" si="28"/>
        <v>0</v>
      </c>
    </row>
    <row r="465" spans="9:16" ht="15" customHeight="1" x14ac:dyDescent="0.25">
      <c r="I465" s="33" t="s">
        <v>344</v>
      </c>
      <c r="J465" s="33" t="s">
        <v>24</v>
      </c>
      <c r="K465" s="33" t="s">
        <v>1552</v>
      </c>
      <c r="L465" s="33" t="s">
        <v>345</v>
      </c>
      <c r="M465">
        <f t="shared" si="25"/>
        <v>131</v>
      </c>
      <c r="N465">
        <f t="shared" si="26"/>
        <v>9</v>
      </c>
      <c r="O465">
        <f t="shared" si="27"/>
        <v>37</v>
      </c>
      <c r="P465">
        <f t="shared" si="28"/>
        <v>2</v>
      </c>
    </row>
    <row r="466" spans="9:16" ht="15" customHeight="1" x14ac:dyDescent="0.25">
      <c r="I466" s="32" t="s">
        <v>344</v>
      </c>
      <c r="J466" s="32" t="s">
        <v>11</v>
      </c>
      <c r="K466" s="32" t="s">
        <v>1553</v>
      </c>
      <c r="L466" s="32" t="s">
        <v>33</v>
      </c>
      <c r="M466">
        <f t="shared" si="25"/>
        <v>131</v>
      </c>
      <c r="N466">
        <f t="shared" si="26"/>
        <v>32</v>
      </c>
      <c r="O466">
        <f t="shared" si="27"/>
        <v>39</v>
      </c>
      <c r="P466">
        <f t="shared" si="28"/>
        <v>30</v>
      </c>
    </row>
    <row r="467" spans="9:16" ht="15" customHeight="1" x14ac:dyDescent="0.25">
      <c r="I467" s="33" t="s">
        <v>10</v>
      </c>
      <c r="J467" s="33" t="s">
        <v>11</v>
      </c>
      <c r="K467" s="33" t="s">
        <v>1554</v>
      </c>
      <c r="L467" s="33" t="s">
        <v>13</v>
      </c>
      <c r="M467">
        <f t="shared" si="25"/>
        <v>143</v>
      </c>
      <c r="N467">
        <f t="shared" si="26"/>
        <v>32</v>
      </c>
      <c r="O467">
        <f t="shared" si="27"/>
        <v>38</v>
      </c>
      <c r="P467">
        <f t="shared" si="28"/>
        <v>21</v>
      </c>
    </row>
    <row r="468" spans="9:16" ht="15" customHeight="1" x14ac:dyDescent="0.25">
      <c r="I468" s="32" t="s">
        <v>17</v>
      </c>
      <c r="J468" s="32" t="s">
        <v>11</v>
      </c>
      <c r="K468" s="32" t="s">
        <v>1555</v>
      </c>
      <c r="L468" s="32" t="s">
        <v>19</v>
      </c>
      <c r="M468">
        <f t="shared" si="25"/>
        <v>141</v>
      </c>
      <c r="N468">
        <f t="shared" si="26"/>
        <v>32</v>
      </c>
      <c r="O468">
        <f t="shared" si="27"/>
        <v>41</v>
      </c>
      <c r="P468">
        <f t="shared" si="28"/>
        <v>23</v>
      </c>
    </row>
    <row r="469" spans="9:16" ht="15" customHeight="1" x14ac:dyDescent="0.25">
      <c r="I469" s="33" t="s">
        <v>23</v>
      </c>
      <c r="J469" s="33" t="s">
        <v>24</v>
      </c>
      <c r="K469" s="33" t="s">
        <v>1556</v>
      </c>
      <c r="L469" s="33" t="s">
        <v>43</v>
      </c>
      <c r="M469">
        <f t="shared" si="25"/>
        <v>136</v>
      </c>
      <c r="N469">
        <f t="shared" si="26"/>
        <v>9</v>
      </c>
      <c r="O469">
        <f t="shared" si="27"/>
        <v>42</v>
      </c>
      <c r="P469">
        <f t="shared" si="28"/>
        <v>25</v>
      </c>
    </row>
    <row r="470" spans="9:16" ht="15" customHeight="1" x14ac:dyDescent="0.25">
      <c r="I470" s="32" t="s">
        <v>342</v>
      </c>
      <c r="J470" s="32" t="s">
        <v>11</v>
      </c>
      <c r="K470" s="32" t="s">
        <v>1559</v>
      </c>
      <c r="L470" s="32" t="s">
        <v>339</v>
      </c>
      <c r="M470">
        <f t="shared" si="25"/>
        <v>134</v>
      </c>
      <c r="N470">
        <f t="shared" si="26"/>
        <v>32</v>
      </c>
      <c r="O470">
        <f t="shared" si="27"/>
        <v>43</v>
      </c>
      <c r="P470">
        <f t="shared" si="28"/>
        <v>0</v>
      </c>
    </row>
    <row r="471" spans="9:16" ht="15" customHeight="1" x14ac:dyDescent="0.25">
      <c r="I471" s="33" t="s">
        <v>340</v>
      </c>
      <c r="J471" s="33" t="s">
        <v>11</v>
      </c>
      <c r="K471" s="33" t="s">
        <v>1557</v>
      </c>
      <c r="L471" s="33" t="s">
        <v>345</v>
      </c>
      <c r="M471">
        <f t="shared" si="25"/>
        <v>129</v>
      </c>
      <c r="N471">
        <f t="shared" si="26"/>
        <v>32</v>
      </c>
      <c r="O471">
        <f t="shared" si="27"/>
        <v>47</v>
      </c>
      <c r="P471">
        <f t="shared" si="28"/>
        <v>2</v>
      </c>
    </row>
    <row r="472" spans="9:16" ht="15" customHeight="1" x14ac:dyDescent="0.25">
      <c r="I472" s="32" t="s">
        <v>343</v>
      </c>
      <c r="J472" s="32" t="s">
        <v>11</v>
      </c>
      <c r="K472" s="32" t="s">
        <v>1558</v>
      </c>
      <c r="L472" s="32" t="s">
        <v>33</v>
      </c>
      <c r="M472">
        <f t="shared" si="25"/>
        <v>132</v>
      </c>
      <c r="N472">
        <f t="shared" si="26"/>
        <v>32</v>
      </c>
      <c r="O472">
        <f t="shared" si="27"/>
        <v>48</v>
      </c>
      <c r="P472">
        <f t="shared" si="28"/>
        <v>30</v>
      </c>
    </row>
    <row r="473" spans="9:16" ht="15" customHeight="1" x14ac:dyDescent="0.25">
      <c r="I473" s="33" t="s">
        <v>335</v>
      </c>
      <c r="J473" s="33" t="s">
        <v>11</v>
      </c>
      <c r="K473" s="33" t="s">
        <v>1560</v>
      </c>
      <c r="L473" s="33" t="s">
        <v>13</v>
      </c>
      <c r="M473">
        <f t="shared" ref="M473:M523" si="29">_xlfn.XLOOKUP(I473,$C$9:$C$37,$D$9:$D$37,2,0)</f>
        <v>139</v>
      </c>
      <c r="N473">
        <f t="shared" ref="N473:N523" si="30">_xlfn.XLOOKUP(J473,$C$9:$C$37,$D$9:$D$37,2,0)</f>
        <v>32</v>
      </c>
      <c r="O473">
        <f t="shared" ref="O473:O523" si="31">_xlfn.XLOOKUP(K473,$C$9:$C$37,$D$9:$D$37,2,0)</f>
        <v>49</v>
      </c>
      <c r="P473">
        <f t="shared" ref="P473:P523" si="32">_xlfn.XLOOKUP(L473,$C$9:$C$37,$D$9:$D$37,2,0)</f>
        <v>21</v>
      </c>
    </row>
    <row r="474" spans="9:16" ht="15" customHeight="1" x14ac:dyDescent="0.25">
      <c r="I474" s="32" t="s">
        <v>338</v>
      </c>
      <c r="J474" s="32" t="s">
        <v>24</v>
      </c>
      <c r="K474" s="32" t="s">
        <v>1561</v>
      </c>
      <c r="L474" s="32" t="s">
        <v>19</v>
      </c>
      <c r="M474">
        <f t="shared" si="29"/>
        <v>135</v>
      </c>
      <c r="N474">
        <f t="shared" si="30"/>
        <v>9</v>
      </c>
      <c r="O474">
        <f t="shared" si="31"/>
        <v>51</v>
      </c>
      <c r="P474">
        <f t="shared" si="32"/>
        <v>23</v>
      </c>
    </row>
    <row r="475" spans="9:16" ht="15" customHeight="1" x14ac:dyDescent="0.25">
      <c r="I475" s="33" t="s">
        <v>337</v>
      </c>
      <c r="J475" s="33" t="s">
        <v>11</v>
      </c>
      <c r="K475" s="33" t="s">
        <v>1561</v>
      </c>
      <c r="L475" s="33" t="s">
        <v>43</v>
      </c>
      <c r="M475">
        <f t="shared" si="29"/>
        <v>137</v>
      </c>
      <c r="N475">
        <f t="shared" si="30"/>
        <v>32</v>
      </c>
      <c r="O475">
        <f t="shared" si="31"/>
        <v>51</v>
      </c>
      <c r="P475">
        <f t="shared" si="32"/>
        <v>25</v>
      </c>
    </row>
    <row r="476" spans="9:16" ht="15" customHeight="1" x14ac:dyDescent="0.25">
      <c r="I476" s="32" t="s">
        <v>343</v>
      </c>
      <c r="J476" s="32" t="s">
        <v>24</v>
      </c>
      <c r="K476" s="32" t="s">
        <v>1560</v>
      </c>
      <c r="L476" s="32" t="s">
        <v>339</v>
      </c>
      <c r="M476">
        <f t="shared" si="29"/>
        <v>132</v>
      </c>
      <c r="N476">
        <f t="shared" si="30"/>
        <v>9</v>
      </c>
      <c r="O476">
        <f t="shared" si="31"/>
        <v>49</v>
      </c>
      <c r="P476">
        <f t="shared" si="32"/>
        <v>0</v>
      </c>
    </row>
    <row r="477" spans="9:16" ht="15" customHeight="1" x14ac:dyDescent="0.25">
      <c r="I477" s="33" t="s">
        <v>340</v>
      </c>
      <c r="J477" s="33" t="s">
        <v>11</v>
      </c>
      <c r="K477" s="33" t="s">
        <v>1558</v>
      </c>
      <c r="L477" s="33" t="s">
        <v>345</v>
      </c>
      <c r="M477">
        <f t="shared" si="29"/>
        <v>129</v>
      </c>
      <c r="N477">
        <f t="shared" si="30"/>
        <v>32</v>
      </c>
      <c r="O477">
        <f t="shared" si="31"/>
        <v>48</v>
      </c>
      <c r="P477">
        <f t="shared" si="32"/>
        <v>2</v>
      </c>
    </row>
    <row r="478" spans="9:16" ht="15" customHeight="1" x14ac:dyDescent="0.25">
      <c r="I478" s="32" t="s">
        <v>10</v>
      </c>
      <c r="J478" s="32" t="s">
        <v>11</v>
      </c>
      <c r="K478" s="32" t="s">
        <v>1557</v>
      </c>
      <c r="L478" s="32" t="s">
        <v>33</v>
      </c>
      <c r="M478">
        <f t="shared" si="29"/>
        <v>143</v>
      </c>
      <c r="N478">
        <f t="shared" si="30"/>
        <v>32</v>
      </c>
      <c r="O478">
        <f t="shared" si="31"/>
        <v>47</v>
      </c>
      <c r="P478">
        <f t="shared" si="32"/>
        <v>30</v>
      </c>
    </row>
    <row r="479" spans="9:16" ht="15" customHeight="1" x14ac:dyDescent="0.25">
      <c r="I479" s="33" t="s">
        <v>344</v>
      </c>
      <c r="J479" s="33" t="s">
        <v>11</v>
      </c>
      <c r="K479" s="33" t="s">
        <v>1559</v>
      </c>
      <c r="L479" s="33" t="s">
        <v>13</v>
      </c>
      <c r="M479">
        <f t="shared" si="29"/>
        <v>131</v>
      </c>
      <c r="N479">
        <f t="shared" si="30"/>
        <v>32</v>
      </c>
      <c r="O479">
        <f t="shared" si="31"/>
        <v>43</v>
      </c>
      <c r="P479">
        <f t="shared" si="32"/>
        <v>21</v>
      </c>
    </row>
    <row r="480" spans="9:16" ht="15" customHeight="1" x14ac:dyDescent="0.25">
      <c r="I480" s="32" t="s">
        <v>338</v>
      </c>
      <c r="J480" s="32" t="s">
        <v>24</v>
      </c>
      <c r="K480" s="32" t="s">
        <v>1556</v>
      </c>
      <c r="L480" s="32" t="s">
        <v>19</v>
      </c>
      <c r="M480">
        <f t="shared" si="29"/>
        <v>135</v>
      </c>
      <c r="N480">
        <f t="shared" si="30"/>
        <v>9</v>
      </c>
      <c r="O480">
        <f t="shared" si="31"/>
        <v>42</v>
      </c>
      <c r="P480">
        <f t="shared" si="32"/>
        <v>23</v>
      </c>
    </row>
    <row r="481" spans="9:16" ht="15" customHeight="1" x14ac:dyDescent="0.25">
      <c r="I481" s="33" t="s">
        <v>23</v>
      </c>
      <c r="J481" s="33" t="s">
        <v>11</v>
      </c>
      <c r="K481" s="33" t="s">
        <v>1555</v>
      </c>
      <c r="L481" s="33" t="s">
        <v>43</v>
      </c>
      <c r="M481">
        <f t="shared" si="29"/>
        <v>136</v>
      </c>
      <c r="N481">
        <f t="shared" si="30"/>
        <v>32</v>
      </c>
      <c r="O481">
        <f t="shared" si="31"/>
        <v>41</v>
      </c>
      <c r="P481">
        <f t="shared" si="32"/>
        <v>25</v>
      </c>
    </row>
    <row r="482" spans="9:16" ht="15" customHeight="1" x14ac:dyDescent="0.25">
      <c r="I482" s="32" t="s">
        <v>17</v>
      </c>
      <c r="J482" s="32" t="s">
        <v>24</v>
      </c>
      <c r="K482" s="32" t="s">
        <v>1554</v>
      </c>
      <c r="L482" s="32" t="s">
        <v>339</v>
      </c>
      <c r="M482">
        <f t="shared" si="29"/>
        <v>141</v>
      </c>
      <c r="N482">
        <f t="shared" si="30"/>
        <v>9</v>
      </c>
      <c r="O482">
        <f t="shared" si="31"/>
        <v>38</v>
      </c>
      <c r="P482">
        <f t="shared" si="32"/>
        <v>0</v>
      </c>
    </row>
    <row r="483" spans="9:16" ht="15" customHeight="1" x14ac:dyDescent="0.25">
      <c r="I483" s="33" t="s">
        <v>10</v>
      </c>
      <c r="J483" s="33" t="s">
        <v>11</v>
      </c>
      <c r="K483" s="33" t="s">
        <v>1553</v>
      </c>
      <c r="L483" s="33" t="s">
        <v>345</v>
      </c>
      <c r="M483">
        <f t="shared" si="29"/>
        <v>143</v>
      </c>
      <c r="N483">
        <f t="shared" si="30"/>
        <v>32</v>
      </c>
      <c r="O483">
        <f t="shared" si="31"/>
        <v>39</v>
      </c>
      <c r="P483">
        <f t="shared" si="32"/>
        <v>2</v>
      </c>
    </row>
    <row r="484" spans="9:16" ht="15" customHeight="1" x14ac:dyDescent="0.25">
      <c r="I484" s="32" t="s">
        <v>337</v>
      </c>
      <c r="J484" s="32" t="s">
        <v>24</v>
      </c>
      <c r="K484" s="32" t="s">
        <v>1552</v>
      </c>
      <c r="L484" s="32" t="s">
        <v>33</v>
      </c>
      <c r="M484">
        <f t="shared" si="29"/>
        <v>137</v>
      </c>
      <c r="N484">
        <f t="shared" si="30"/>
        <v>9</v>
      </c>
      <c r="O484">
        <f t="shared" si="31"/>
        <v>37</v>
      </c>
      <c r="P484">
        <f t="shared" si="32"/>
        <v>30</v>
      </c>
    </row>
    <row r="485" spans="9:16" ht="15" customHeight="1" x14ac:dyDescent="0.25">
      <c r="I485" s="33" t="s">
        <v>338</v>
      </c>
      <c r="J485" s="33" t="s">
        <v>11</v>
      </c>
      <c r="K485" s="33" t="s">
        <v>12</v>
      </c>
      <c r="L485" s="33" t="s">
        <v>13</v>
      </c>
      <c r="M485">
        <f t="shared" si="29"/>
        <v>135</v>
      </c>
      <c r="N485">
        <f t="shared" si="30"/>
        <v>32</v>
      </c>
      <c r="O485">
        <f t="shared" si="31"/>
        <v>0</v>
      </c>
      <c r="P485">
        <f t="shared" si="32"/>
        <v>21</v>
      </c>
    </row>
    <row r="486" spans="9:16" ht="15" customHeight="1" x14ac:dyDescent="0.25">
      <c r="I486" s="32" t="s">
        <v>338</v>
      </c>
      <c r="J486" s="32" t="s">
        <v>24</v>
      </c>
      <c r="K486" s="32" t="s">
        <v>12</v>
      </c>
      <c r="L486" s="32" t="s">
        <v>19</v>
      </c>
      <c r="M486">
        <f t="shared" si="29"/>
        <v>135</v>
      </c>
      <c r="N486">
        <f t="shared" si="30"/>
        <v>9</v>
      </c>
      <c r="O486">
        <f t="shared" si="31"/>
        <v>0</v>
      </c>
      <c r="P486">
        <f t="shared" si="32"/>
        <v>23</v>
      </c>
    </row>
    <row r="487" spans="9:16" ht="15" customHeight="1" x14ac:dyDescent="0.25">
      <c r="I487" s="33" t="s">
        <v>335</v>
      </c>
      <c r="J487" s="33" t="s">
        <v>11</v>
      </c>
      <c r="K487" s="33" t="s">
        <v>1552</v>
      </c>
      <c r="L487" s="33" t="s">
        <v>43</v>
      </c>
      <c r="M487">
        <f t="shared" si="29"/>
        <v>139</v>
      </c>
      <c r="N487">
        <f t="shared" si="30"/>
        <v>32</v>
      </c>
      <c r="O487">
        <f t="shared" si="31"/>
        <v>37</v>
      </c>
      <c r="P487">
        <f t="shared" si="32"/>
        <v>25</v>
      </c>
    </row>
    <row r="488" spans="9:16" ht="15" customHeight="1" x14ac:dyDescent="0.25">
      <c r="I488" s="32" t="s">
        <v>335</v>
      </c>
      <c r="J488" s="32" t="s">
        <v>24</v>
      </c>
      <c r="K488" s="32" t="s">
        <v>1555</v>
      </c>
      <c r="L488" s="32" t="s">
        <v>339</v>
      </c>
      <c r="M488">
        <f t="shared" si="29"/>
        <v>139</v>
      </c>
      <c r="N488">
        <f t="shared" si="30"/>
        <v>9</v>
      </c>
      <c r="O488">
        <f t="shared" si="31"/>
        <v>41</v>
      </c>
      <c r="P488">
        <f t="shared" si="32"/>
        <v>0</v>
      </c>
    </row>
    <row r="489" spans="9:16" ht="15" customHeight="1" x14ac:dyDescent="0.25">
      <c r="I489" s="33" t="s">
        <v>342</v>
      </c>
      <c r="J489" s="33" t="s">
        <v>11</v>
      </c>
      <c r="K489" s="33" t="s">
        <v>1557</v>
      </c>
      <c r="L489" s="33" t="s">
        <v>345</v>
      </c>
      <c r="M489">
        <f t="shared" si="29"/>
        <v>134</v>
      </c>
      <c r="N489">
        <f t="shared" si="30"/>
        <v>32</v>
      </c>
      <c r="O489">
        <f t="shared" si="31"/>
        <v>47</v>
      </c>
      <c r="P489">
        <f t="shared" si="32"/>
        <v>2</v>
      </c>
    </row>
    <row r="490" spans="9:16" ht="15" customHeight="1" x14ac:dyDescent="0.25">
      <c r="I490" s="32" t="s">
        <v>342</v>
      </c>
      <c r="J490" s="32" t="s">
        <v>24</v>
      </c>
      <c r="K490" s="32" t="s">
        <v>1560</v>
      </c>
      <c r="L490" s="32" t="s">
        <v>33</v>
      </c>
      <c r="M490">
        <f t="shared" si="29"/>
        <v>134</v>
      </c>
      <c r="N490">
        <f t="shared" si="30"/>
        <v>9</v>
      </c>
      <c r="O490">
        <f t="shared" si="31"/>
        <v>49</v>
      </c>
      <c r="P490">
        <f t="shared" si="32"/>
        <v>30</v>
      </c>
    </row>
    <row r="491" spans="9:16" ht="15" customHeight="1" x14ac:dyDescent="0.25">
      <c r="I491" s="33" t="s">
        <v>10</v>
      </c>
      <c r="J491" s="33" t="s">
        <v>11</v>
      </c>
      <c r="K491" s="33" t="s">
        <v>1553</v>
      </c>
      <c r="L491" s="33" t="s">
        <v>13</v>
      </c>
      <c r="M491">
        <f t="shared" si="29"/>
        <v>143</v>
      </c>
      <c r="N491">
        <f t="shared" si="30"/>
        <v>32</v>
      </c>
      <c r="O491">
        <f t="shared" si="31"/>
        <v>39</v>
      </c>
      <c r="P491">
        <f t="shared" si="32"/>
        <v>21</v>
      </c>
    </row>
    <row r="492" spans="9:16" ht="15" customHeight="1" x14ac:dyDescent="0.25">
      <c r="I492" s="32" t="s">
        <v>17</v>
      </c>
      <c r="J492" s="32" t="s">
        <v>24</v>
      </c>
      <c r="K492" s="32" t="s">
        <v>1556</v>
      </c>
      <c r="L492" s="32" t="s">
        <v>19</v>
      </c>
      <c r="M492">
        <f t="shared" si="29"/>
        <v>141</v>
      </c>
      <c r="N492">
        <f t="shared" si="30"/>
        <v>9</v>
      </c>
      <c r="O492">
        <f t="shared" si="31"/>
        <v>42</v>
      </c>
      <c r="P492">
        <f t="shared" si="32"/>
        <v>23</v>
      </c>
    </row>
    <row r="493" spans="9:16" ht="15" customHeight="1" x14ac:dyDescent="0.25">
      <c r="I493" s="33" t="s">
        <v>10</v>
      </c>
      <c r="J493" s="33" t="s">
        <v>11</v>
      </c>
      <c r="K493" s="33" t="s">
        <v>1558</v>
      </c>
      <c r="L493" s="33" t="s">
        <v>43</v>
      </c>
      <c r="M493">
        <f t="shared" si="29"/>
        <v>143</v>
      </c>
      <c r="N493">
        <f t="shared" si="30"/>
        <v>32</v>
      </c>
      <c r="O493">
        <f t="shared" si="31"/>
        <v>48</v>
      </c>
      <c r="P493">
        <f t="shared" si="32"/>
        <v>25</v>
      </c>
    </row>
    <row r="494" spans="9:16" ht="15" customHeight="1" x14ac:dyDescent="0.25">
      <c r="I494" s="32" t="s">
        <v>23</v>
      </c>
      <c r="J494" s="32" t="s">
        <v>24</v>
      </c>
      <c r="K494" s="32" t="s">
        <v>1561</v>
      </c>
      <c r="L494" s="32" t="s">
        <v>339</v>
      </c>
      <c r="M494">
        <f t="shared" si="29"/>
        <v>136</v>
      </c>
      <c r="N494">
        <f t="shared" si="30"/>
        <v>9</v>
      </c>
      <c r="O494">
        <f t="shared" si="31"/>
        <v>51</v>
      </c>
      <c r="P494">
        <f t="shared" si="32"/>
        <v>0</v>
      </c>
    </row>
    <row r="495" spans="9:16" ht="15" customHeight="1" x14ac:dyDescent="0.25">
      <c r="I495" s="33" t="s">
        <v>17</v>
      </c>
      <c r="J495" s="33" t="s">
        <v>11</v>
      </c>
      <c r="K495" s="33" t="s">
        <v>1554</v>
      </c>
      <c r="L495" s="33" t="s">
        <v>345</v>
      </c>
      <c r="M495">
        <f t="shared" si="29"/>
        <v>141</v>
      </c>
      <c r="N495">
        <f t="shared" si="30"/>
        <v>32</v>
      </c>
      <c r="O495">
        <f t="shared" si="31"/>
        <v>38</v>
      </c>
      <c r="P495">
        <f t="shared" si="32"/>
        <v>2</v>
      </c>
    </row>
    <row r="496" spans="9:16" ht="15" customHeight="1" x14ac:dyDescent="0.25">
      <c r="I496" s="32" t="s">
        <v>337</v>
      </c>
      <c r="J496" s="32" t="s">
        <v>24</v>
      </c>
      <c r="K496" s="32" t="s">
        <v>1559</v>
      </c>
      <c r="L496" s="32" t="s">
        <v>33</v>
      </c>
      <c r="M496">
        <f t="shared" si="29"/>
        <v>137</v>
      </c>
      <c r="N496">
        <f t="shared" si="30"/>
        <v>9</v>
      </c>
      <c r="O496">
        <f t="shared" si="31"/>
        <v>43</v>
      </c>
      <c r="P496">
        <f t="shared" si="32"/>
        <v>30</v>
      </c>
    </row>
    <row r="497" spans="9:16" ht="15" customHeight="1" x14ac:dyDescent="0.25">
      <c r="I497" s="33" t="s">
        <v>338</v>
      </c>
      <c r="J497" s="33" t="s">
        <v>11</v>
      </c>
      <c r="K497" s="33" t="s">
        <v>1554</v>
      </c>
      <c r="L497" s="33" t="s">
        <v>13</v>
      </c>
      <c r="M497">
        <f t="shared" si="29"/>
        <v>135</v>
      </c>
      <c r="N497">
        <f t="shared" si="30"/>
        <v>32</v>
      </c>
      <c r="O497">
        <f t="shared" si="31"/>
        <v>38</v>
      </c>
      <c r="P497">
        <f t="shared" si="32"/>
        <v>21</v>
      </c>
    </row>
    <row r="498" spans="9:16" ht="15" customHeight="1" x14ac:dyDescent="0.25">
      <c r="I498" s="32" t="s">
        <v>335</v>
      </c>
      <c r="J498" s="32" t="s">
        <v>24</v>
      </c>
      <c r="K498" s="32" t="s">
        <v>1559</v>
      </c>
      <c r="L498" s="32" t="s">
        <v>19</v>
      </c>
      <c r="M498">
        <f t="shared" si="29"/>
        <v>139</v>
      </c>
      <c r="N498">
        <f t="shared" si="30"/>
        <v>9</v>
      </c>
      <c r="O498">
        <f t="shared" si="31"/>
        <v>43</v>
      </c>
      <c r="P498">
        <f t="shared" si="32"/>
        <v>23</v>
      </c>
    </row>
    <row r="499" spans="9:16" ht="15" customHeight="1" x14ac:dyDescent="0.25">
      <c r="I499" s="33" t="s">
        <v>342</v>
      </c>
      <c r="J499" s="33" t="s">
        <v>11</v>
      </c>
      <c r="K499" s="33" t="s">
        <v>1553</v>
      </c>
      <c r="L499" s="33" t="s">
        <v>43</v>
      </c>
      <c r="M499">
        <f t="shared" si="29"/>
        <v>134</v>
      </c>
      <c r="N499">
        <f t="shared" si="30"/>
        <v>32</v>
      </c>
      <c r="O499">
        <f t="shared" si="31"/>
        <v>39</v>
      </c>
      <c r="P499">
        <f t="shared" si="32"/>
        <v>25</v>
      </c>
    </row>
    <row r="500" spans="9:16" ht="15" customHeight="1" x14ac:dyDescent="0.25">
      <c r="I500" s="32" t="s">
        <v>23</v>
      </c>
      <c r="J500" s="32" t="s">
        <v>24</v>
      </c>
      <c r="K500" s="32" t="s">
        <v>1556</v>
      </c>
      <c r="L500" s="32" t="s">
        <v>339</v>
      </c>
      <c r="M500">
        <f t="shared" si="29"/>
        <v>136</v>
      </c>
      <c r="N500">
        <f t="shared" si="30"/>
        <v>9</v>
      </c>
      <c r="O500">
        <f t="shared" si="31"/>
        <v>42</v>
      </c>
      <c r="P500">
        <f t="shared" si="32"/>
        <v>0</v>
      </c>
    </row>
    <row r="501" spans="9:16" ht="15" customHeight="1" x14ac:dyDescent="0.25">
      <c r="I501" s="33" t="s">
        <v>17</v>
      </c>
      <c r="J501" s="33" t="s">
        <v>11</v>
      </c>
      <c r="K501" s="33" t="s">
        <v>1558</v>
      </c>
      <c r="L501" s="33" t="s">
        <v>345</v>
      </c>
      <c r="M501">
        <f t="shared" si="29"/>
        <v>141</v>
      </c>
      <c r="N501">
        <f t="shared" si="30"/>
        <v>32</v>
      </c>
      <c r="O501">
        <f t="shared" si="31"/>
        <v>48</v>
      </c>
      <c r="P501">
        <f t="shared" si="32"/>
        <v>2</v>
      </c>
    </row>
    <row r="502" spans="9:16" ht="15" customHeight="1" x14ac:dyDescent="0.25">
      <c r="I502" s="32" t="s">
        <v>10</v>
      </c>
      <c r="J502" s="32" t="s">
        <v>24</v>
      </c>
      <c r="K502" s="32" t="s">
        <v>1561</v>
      </c>
      <c r="L502" s="32" t="s">
        <v>33</v>
      </c>
      <c r="M502">
        <f t="shared" si="29"/>
        <v>143</v>
      </c>
      <c r="N502">
        <f t="shared" si="30"/>
        <v>9</v>
      </c>
      <c r="O502">
        <f t="shared" si="31"/>
        <v>51</v>
      </c>
      <c r="P502">
        <f t="shared" si="32"/>
        <v>30</v>
      </c>
    </row>
    <row r="503" spans="9:16" ht="15" customHeight="1" x14ac:dyDescent="0.25">
      <c r="I503" s="33" t="s">
        <v>343</v>
      </c>
      <c r="J503" s="33" t="s">
        <v>11</v>
      </c>
      <c r="K503" s="33" t="s">
        <v>1552</v>
      </c>
      <c r="L503" s="33" t="s">
        <v>13</v>
      </c>
      <c r="M503">
        <f t="shared" si="29"/>
        <v>132</v>
      </c>
      <c r="N503">
        <f t="shared" si="30"/>
        <v>32</v>
      </c>
      <c r="O503">
        <f t="shared" si="31"/>
        <v>37</v>
      </c>
      <c r="P503">
        <f t="shared" si="32"/>
        <v>21</v>
      </c>
    </row>
    <row r="504" spans="9:16" ht="15" customHeight="1" x14ac:dyDescent="0.25">
      <c r="I504" s="32" t="s">
        <v>340</v>
      </c>
      <c r="J504" s="32" t="s">
        <v>24</v>
      </c>
      <c r="K504" s="32" t="s">
        <v>1555</v>
      </c>
      <c r="L504" s="32" t="s">
        <v>19</v>
      </c>
      <c r="M504">
        <f t="shared" si="29"/>
        <v>129</v>
      </c>
      <c r="N504">
        <f t="shared" si="30"/>
        <v>9</v>
      </c>
      <c r="O504">
        <f t="shared" si="31"/>
        <v>41</v>
      </c>
      <c r="P504">
        <f t="shared" si="32"/>
        <v>23</v>
      </c>
    </row>
    <row r="505" spans="9:16" ht="15" customHeight="1" x14ac:dyDescent="0.25">
      <c r="I505" s="33" t="s">
        <v>344</v>
      </c>
      <c r="J505" s="33" t="s">
        <v>11</v>
      </c>
      <c r="K505" s="33" t="s">
        <v>1557</v>
      </c>
      <c r="L505" s="33" t="s">
        <v>43</v>
      </c>
      <c r="M505">
        <f t="shared" si="29"/>
        <v>131</v>
      </c>
      <c r="N505">
        <f t="shared" si="30"/>
        <v>32</v>
      </c>
      <c r="O505">
        <f t="shared" si="31"/>
        <v>47</v>
      </c>
      <c r="P505">
        <f t="shared" si="32"/>
        <v>25</v>
      </c>
    </row>
    <row r="506" spans="9:16" ht="15" customHeight="1" x14ac:dyDescent="0.25">
      <c r="I506" s="32" t="s">
        <v>335</v>
      </c>
      <c r="J506" s="32" t="s">
        <v>24</v>
      </c>
      <c r="K506" s="32" t="s">
        <v>1560</v>
      </c>
      <c r="L506" s="32" t="s">
        <v>339</v>
      </c>
      <c r="M506">
        <f t="shared" si="29"/>
        <v>139</v>
      </c>
      <c r="N506">
        <f t="shared" si="30"/>
        <v>9</v>
      </c>
      <c r="O506">
        <f t="shared" si="31"/>
        <v>49</v>
      </c>
      <c r="P506">
        <f t="shared" si="32"/>
        <v>0</v>
      </c>
    </row>
    <row r="507" spans="9:16" ht="15" customHeight="1" x14ac:dyDescent="0.25">
      <c r="I507" s="33" t="s">
        <v>343</v>
      </c>
      <c r="J507" s="33" t="s">
        <v>11</v>
      </c>
      <c r="K507" s="33" t="s">
        <v>12</v>
      </c>
      <c r="L507" s="33" t="s">
        <v>345</v>
      </c>
      <c r="M507">
        <f t="shared" si="29"/>
        <v>132</v>
      </c>
      <c r="N507">
        <f t="shared" si="30"/>
        <v>32</v>
      </c>
      <c r="O507">
        <f t="shared" si="31"/>
        <v>0</v>
      </c>
      <c r="P507">
        <f t="shared" si="32"/>
        <v>2</v>
      </c>
    </row>
    <row r="508" spans="9:16" ht="15" customHeight="1" x14ac:dyDescent="0.25">
      <c r="I508" s="32" t="s">
        <v>340</v>
      </c>
      <c r="J508" s="32" t="s">
        <v>11</v>
      </c>
      <c r="K508" s="32" t="s">
        <v>12</v>
      </c>
      <c r="L508" s="32" t="s">
        <v>33</v>
      </c>
      <c r="M508">
        <f t="shared" si="29"/>
        <v>129</v>
      </c>
      <c r="N508">
        <f t="shared" si="30"/>
        <v>32</v>
      </c>
      <c r="O508">
        <f t="shared" si="31"/>
        <v>0</v>
      </c>
      <c r="P508">
        <f t="shared" si="32"/>
        <v>30</v>
      </c>
    </row>
    <row r="509" spans="9:16" ht="15" customHeight="1" x14ac:dyDescent="0.25">
      <c r="I509" s="33" t="s">
        <v>344</v>
      </c>
      <c r="J509" s="33" t="s">
        <v>11</v>
      </c>
      <c r="K509" s="33" t="s">
        <v>1552</v>
      </c>
      <c r="L509" s="33" t="s">
        <v>13</v>
      </c>
      <c r="M509">
        <f t="shared" si="29"/>
        <v>131</v>
      </c>
      <c r="N509">
        <f t="shared" si="30"/>
        <v>32</v>
      </c>
      <c r="O509">
        <f t="shared" si="31"/>
        <v>37</v>
      </c>
      <c r="P509">
        <f t="shared" si="32"/>
        <v>21</v>
      </c>
    </row>
    <row r="510" spans="9:16" ht="15" customHeight="1" x14ac:dyDescent="0.25">
      <c r="I510" s="32" t="s">
        <v>337</v>
      </c>
      <c r="J510" s="32" t="s">
        <v>11</v>
      </c>
      <c r="K510" s="32" t="s">
        <v>1553</v>
      </c>
      <c r="L510" s="32" t="s">
        <v>19</v>
      </c>
      <c r="M510">
        <f t="shared" si="29"/>
        <v>137</v>
      </c>
      <c r="N510">
        <f t="shared" si="30"/>
        <v>32</v>
      </c>
      <c r="O510">
        <f t="shared" si="31"/>
        <v>39</v>
      </c>
      <c r="P510">
        <f t="shared" si="32"/>
        <v>23</v>
      </c>
    </row>
    <row r="511" spans="9:16" ht="15" customHeight="1" x14ac:dyDescent="0.25">
      <c r="I511" s="33" t="s">
        <v>338</v>
      </c>
      <c r="J511" s="33" t="s">
        <v>11</v>
      </c>
      <c r="K511" s="33" t="s">
        <v>1554</v>
      </c>
      <c r="L511" s="33" t="s">
        <v>43</v>
      </c>
      <c r="M511">
        <f t="shared" si="29"/>
        <v>135</v>
      </c>
      <c r="N511">
        <f t="shared" si="30"/>
        <v>32</v>
      </c>
      <c r="O511">
        <f t="shared" si="31"/>
        <v>38</v>
      </c>
      <c r="P511">
        <f t="shared" si="32"/>
        <v>25</v>
      </c>
    </row>
    <row r="512" spans="9:16" ht="15" customHeight="1" x14ac:dyDescent="0.25">
      <c r="I512" s="32" t="s">
        <v>335</v>
      </c>
      <c r="J512" s="32" t="s">
        <v>11</v>
      </c>
      <c r="K512" s="32" t="s">
        <v>1555</v>
      </c>
      <c r="L512" s="32" t="s">
        <v>339</v>
      </c>
      <c r="M512">
        <f t="shared" si="29"/>
        <v>139</v>
      </c>
      <c r="N512">
        <f t="shared" si="30"/>
        <v>32</v>
      </c>
      <c r="O512">
        <f t="shared" si="31"/>
        <v>41</v>
      </c>
      <c r="P512">
        <f t="shared" si="32"/>
        <v>0</v>
      </c>
    </row>
    <row r="513" spans="8:16" ht="15" customHeight="1" x14ac:dyDescent="0.25">
      <c r="I513" s="33" t="s">
        <v>343</v>
      </c>
      <c r="J513" s="33" t="s">
        <v>11</v>
      </c>
      <c r="K513" s="33" t="s">
        <v>1556</v>
      </c>
      <c r="L513" s="33" t="s">
        <v>345</v>
      </c>
      <c r="M513">
        <f t="shared" si="29"/>
        <v>132</v>
      </c>
      <c r="N513">
        <f t="shared" si="30"/>
        <v>32</v>
      </c>
      <c r="O513">
        <f t="shared" si="31"/>
        <v>42</v>
      </c>
      <c r="P513">
        <f t="shared" si="32"/>
        <v>2</v>
      </c>
    </row>
    <row r="514" spans="8:16" ht="15" customHeight="1" x14ac:dyDescent="0.25">
      <c r="I514" s="32" t="s">
        <v>340</v>
      </c>
      <c r="J514" s="32" t="s">
        <v>11</v>
      </c>
      <c r="K514" s="32" t="s">
        <v>1559</v>
      </c>
      <c r="L514" s="32" t="s">
        <v>33</v>
      </c>
      <c r="M514">
        <f t="shared" si="29"/>
        <v>129</v>
      </c>
      <c r="N514">
        <f t="shared" si="30"/>
        <v>32</v>
      </c>
      <c r="O514">
        <f t="shared" si="31"/>
        <v>43</v>
      </c>
      <c r="P514">
        <f t="shared" si="32"/>
        <v>30</v>
      </c>
    </row>
    <row r="515" spans="8:16" ht="15" customHeight="1" x14ac:dyDescent="0.25">
      <c r="I515" s="33" t="s">
        <v>342</v>
      </c>
      <c r="J515" s="33" t="s">
        <v>11</v>
      </c>
      <c r="K515" s="33" t="s">
        <v>1557</v>
      </c>
      <c r="L515" s="33" t="s">
        <v>13</v>
      </c>
      <c r="M515">
        <f t="shared" si="29"/>
        <v>134</v>
      </c>
      <c r="N515">
        <f t="shared" si="30"/>
        <v>32</v>
      </c>
      <c r="O515">
        <f t="shared" si="31"/>
        <v>47</v>
      </c>
      <c r="P515">
        <f t="shared" si="32"/>
        <v>21</v>
      </c>
    </row>
    <row r="516" spans="8:16" ht="15" customHeight="1" x14ac:dyDescent="0.25">
      <c r="I516" s="32" t="s">
        <v>23</v>
      </c>
      <c r="J516" s="32" t="s">
        <v>11</v>
      </c>
      <c r="K516" s="32" t="s">
        <v>1558</v>
      </c>
      <c r="L516" s="32" t="s">
        <v>19</v>
      </c>
      <c r="M516">
        <f t="shared" si="29"/>
        <v>136</v>
      </c>
      <c r="N516">
        <f t="shared" si="30"/>
        <v>32</v>
      </c>
      <c r="O516">
        <f t="shared" si="31"/>
        <v>48</v>
      </c>
      <c r="P516">
        <f t="shared" si="32"/>
        <v>23</v>
      </c>
    </row>
    <row r="517" spans="8:16" ht="15" customHeight="1" x14ac:dyDescent="0.25">
      <c r="I517" s="33" t="s">
        <v>17</v>
      </c>
      <c r="J517" s="33" t="s">
        <v>11</v>
      </c>
      <c r="K517" s="33" t="s">
        <v>1560</v>
      </c>
      <c r="L517" s="33" t="s">
        <v>43</v>
      </c>
      <c r="M517">
        <f t="shared" si="29"/>
        <v>141</v>
      </c>
      <c r="N517">
        <f t="shared" si="30"/>
        <v>32</v>
      </c>
      <c r="O517">
        <f t="shared" si="31"/>
        <v>49</v>
      </c>
      <c r="P517">
        <f t="shared" si="32"/>
        <v>25</v>
      </c>
    </row>
    <row r="518" spans="8:16" ht="15" customHeight="1" x14ac:dyDescent="0.25">
      <c r="I518" s="32" t="s">
        <v>10</v>
      </c>
      <c r="J518" s="32" t="s">
        <v>11</v>
      </c>
      <c r="K518" s="32" t="s">
        <v>1561</v>
      </c>
      <c r="L518" s="32" t="s">
        <v>339</v>
      </c>
      <c r="M518">
        <f t="shared" si="29"/>
        <v>143</v>
      </c>
      <c r="N518">
        <f t="shared" si="30"/>
        <v>32</v>
      </c>
      <c r="O518">
        <f t="shared" si="31"/>
        <v>51</v>
      </c>
      <c r="P518">
        <f t="shared" si="32"/>
        <v>0</v>
      </c>
    </row>
    <row r="519" spans="8:16" ht="15" customHeight="1" x14ac:dyDescent="0.25">
      <c r="I519" s="33" t="s">
        <v>344</v>
      </c>
      <c r="J519" s="33" t="s">
        <v>11</v>
      </c>
      <c r="K519" s="33" t="s">
        <v>1561</v>
      </c>
      <c r="L519" s="33" t="s">
        <v>345</v>
      </c>
      <c r="M519">
        <f t="shared" si="29"/>
        <v>131</v>
      </c>
      <c r="N519">
        <f t="shared" si="30"/>
        <v>32</v>
      </c>
      <c r="O519">
        <f t="shared" si="31"/>
        <v>51</v>
      </c>
      <c r="P519">
        <f t="shared" si="32"/>
        <v>2</v>
      </c>
    </row>
    <row r="520" spans="8:16" ht="15" customHeight="1" x14ac:dyDescent="0.25">
      <c r="I520" s="32" t="s">
        <v>344</v>
      </c>
      <c r="J520" s="32" t="s">
        <v>11</v>
      </c>
      <c r="K520" s="32" t="s">
        <v>1560</v>
      </c>
      <c r="L520" s="32" t="s">
        <v>33</v>
      </c>
      <c r="M520">
        <f t="shared" si="29"/>
        <v>131</v>
      </c>
      <c r="N520">
        <f t="shared" si="30"/>
        <v>32</v>
      </c>
      <c r="O520">
        <f t="shared" si="31"/>
        <v>49</v>
      </c>
      <c r="P520">
        <f t="shared" si="32"/>
        <v>30</v>
      </c>
    </row>
    <row r="521" spans="8:16" ht="15" customHeight="1" x14ac:dyDescent="0.25">
      <c r="I521" s="33" t="s">
        <v>10</v>
      </c>
      <c r="J521" s="33" t="s">
        <v>11</v>
      </c>
      <c r="K521" s="33" t="s">
        <v>1558</v>
      </c>
      <c r="L521" s="33" t="s">
        <v>13</v>
      </c>
      <c r="M521">
        <f t="shared" si="29"/>
        <v>143</v>
      </c>
      <c r="N521">
        <f t="shared" si="30"/>
        <v>32</v>
      </c>
      <c r="O521">
        <f t="shared" si="31"/>
        <v>48</v>
      </c>
      <c r="P521">
        <f t="shared" si="32"/>
        <v>21</v>
      </c>
    </row>
    <row r="522" spans="8:16" ht="15" customHeight="1" x14ac:dyDescent="0.25">
      <c r="I522" s="32" t="s">
        <v>17</v>
      </c>
      <c r="J522" s="32" t="s">
        <v>11</v>
      </c>
      <c r="K522" s="32" t="s">
        <v>1557</v>
      </c>
      <c r="L522" s="32" t="s">
        <v>19</v>
      </c>
      <c r="M522">
        <f t="shared" si="29"/>
        <v>141</v>
      </c>
      <c r="N522">
        <f t="shared" si="30"/>
        <v>32</v>
      </c>
      <c r="O522">
        <f t="shared" si="31"/>
        <v>47</v>
      </c>
      <c r="P522">
        <f t="shared" si="32"/>
        <v>23</v>
      </c>
    </row>
    <row r="523" spans="8:16" ht="15" customHeight="1" x14ac:dyDescent="0.25">
      <c r="I523" s="33" t="s">
        <v>23</v>
      </c>
      <c r="J523" s="33" t="s">
        <v>11</v>
      </c>
      <c r="K523" s="33" t="s">
        <v>1559</v>
      </c>
      <c r="L523" s="33" t="s">
        <v>43</v>
      </c>
      <c r="M523">
        <f t="shared" si="29"/>
        <v>136</v>
      </c>
      <c r="N523">
        <f t="shared" si="30"/>
        <v>32</v>
      </c>
      <c r="O523">
        <f t="shared" si="31"/>
        <v>43</v>
      </c>
      <c r="P523">
        <f t="shared" si="32"/>
        <v>25</v>
      </c>
    </row>
    <row r="524" spans="8:16" ht="15" customHeight="1" x14ac:dyDescent="0.25">
      <c r="H524" s="42" t="s">
        <v>1595</v>
      </c>
      <c r="I524" s="43" t="s">
        <v>17</v>
      </c>
      <c r="J524" s="43" t="s">
        <v>24</v>
      </c>
      <c r="K524" s="43" t="s">
        <v>12</v>
      </c>
      <c r="L524" s="43" t="s">
        <v>19</v>
      </c>
      <c r="M524">
        <f t="shared" ref="M524:M587" si="33">_xlfn.XLOOKUP(I524,$C$9:$C$37,$D$9:$D$37,2,0)</f>
        <v>141</v>
      </c>
      <c r="N524">
        <f t="shared" ref="N524:N587" si="34">_xlfn.XLOOKUP(J524,$C$9:$C$37,$D$9:$D$37,2,0)</f>
        <v>9</v>
      </c>
      <c r="O524">
        <f t="shared" ref="O524:O587" si="35">_xlfn.XLOOKUP(K524,$C$9:$C$37,$D$9:$D$37,2,0)</f>
        <v>0</v>
      </c>
      <c r="P524">
        <f t="shared" ref="P524:P587" si="36">_xlfn.XLOOKUP(L524,$C$9:$C$37,$D$9:$D$37,2,0)</f>
        <v>23</v>
      </c>
    </row>
    <row r="525" spans="8:16" ht="15" customHeight="1" x14ac:dyDescent="0.25">
      <c r="H525" s="42" t="s">
        <v>1595</v>
      </c>
      <c r="I525" s="41" t="s">
        <v>10</v>
      </c>
      <c r="J525" s="41" t="s">
        <v>24</v>
      </c>
      <c r="K525" s="41" t="s">
        <v>12</v>
      </c>
      <c r="L525" s="41" t="s">
        <v>43</v>
      </c>
      <c r="M525">
        <f t="shared" si="33"/>
        <v>143</v>
      </c>
      <c r="N525">
        <f t="shared" si="34"/>
        <v>9</v>
      </c>
      <c r="O525">
        <f t="shared" si="35"/>
        <v>0</v>
      </c>
      <c r="P525">
        <f t="shared" si="36"/>
        <v>25</v>
      </c>
    </row>
    <row r="526" spans="8:16" ht="15" customHeight="1" x14ac:dyDescent="0.25">
      <c r="H526" s="42" t="s">
        <v>1595</v>
      </c>
      <c r="I526" s="43" t="s">
        <v>344</v>
      </c>
      <c r="J526" s="43" t="s">
        <v>11</v>
      </c>
      <c r="K526" s="43" t="s">
        <v>1552</v>
      </c>
      <c r="L526" s="43" t="s">
        <v>339</v>
      </c>
      <c r="M526">
        <f t="shared" si="33"/>
        <v>131</v>
      </c>
      <c r="N526">
        <f t="shared" si="34"/>
        <v>32</v>
      </c>
      <c r="O526">
        <f t="shared" si="35"/>
        <v>37</v>
      </c>
      <c r="P526">
        <f t="shared" si="36"/>
        <v>0</v>
      </c>
    </row>
    <row r="527" spans="8:16" ht="15" customHeight="1" x14ac:dyDescent="0.25">
      <c r="H527" s="42" t="s">
        <v>1595</v>
      </c>
      <c r="I527" s="41" t="s">
        <v>344</v>
      </c>
      <c r="J527" s="41" t="s">
        <v>11</v>
      </c>
      <c r="K527" s="41" t="s">
        <v>1555</v>
      </c>
      <c r="L527" s="41" t="s">
        <v>345</v>
      </c>
      <c r="M527">
        <f t="shared" si="33"/>
        <v>131</v>
      </c>
      <c r="N527">
        <f t="shared" si="34"/>
        <v>32</v>
      </c>
      <c r="O527">
        <f t="shared" si="35"/>
        <v>41</v>
      </c>
      <c r="P527">
        <f t="shared" si="36"/>
        <v>2</v>
      </c>
    </row>
    <row r="528" spans="8:16" ht="15" customHeight="1" x14ac:dyDescent="0.25">
      <c r="H528" s="42" t="s">
        <v>1595</v>
      </c>
      <c r="I528" s="43" t="s">
        <v>10</v>
      </c>
      <c r="J528" s="43" t="s">
        <v>24</v>
      </c>
      <c r="K528" s="43" t="s">
        <v>1557</v>
      </c>
      <c r="L528" s="43" t="s">
        <v>33</v>
      </c>
      <c r="M528">
        <f t="shared" si="33"/>
        <v>143</v>
      </c>
      <c r="N528">
        <f t="shared" si="34"/>
        <v>9</v>
      </c>
      <c r="O528">
        <f t="shared" si="35"/>
        <v>47</v>
      </c>
      <c r="P528">
        <f t="shared" si="36"/>
        <v>30</v>
      </c>
    </row>
    <row r="529" spans="8:16" ht="15" customHeight="1" x14ac:dyDescent="0.25">
      <c r="H529" s="42" t="s">
        <v>1595</v>
      </c>
      <c r="I529" s="41" t="s">
        <v>17</v>
      </c>
      <c r="J529" s="41" t="s">
        <v>24</v>
      </c>
      <c r="K529" s="41" t="s">
        <v>1560</v>
      </c>
      <c r="L529" s="41" t="s">
        <v>13</v>
      </c>
      <c r="M529">
        <f t="shared" si="33"/>
        <v>141</v>
      </c>
      <c r="N529">
        <f t="shared" si="34"/>
        <v>9</v>
      </c>
      <c r="O529">
        <f t="shared" si="35"/>
        <v>49</v>
      </c>
      <c r="P529">
        <f t="shared" si="36"/>
        <v>21</v>
      </c>
    </row>
    <row r="530" spans="8:16" ht="15" customHeight="1" x14ac:dyDescent="0.25">
      <c r="H530" s="42" t="s">
        <v>1595</v>
      </c>
      <c r="I530" s="43" t="s">
        <v>23</v>
      </c>
      <c r="J530" s="43" t="s">
        <v>11</v>
      </c>
      <c r="K530" s="43" t="s">
        <v>1553</v>
      </c>
      <c r="L530" s="43" t="s">
        <v>19</v>
      </c>
      <c r="M530">
        <f t="shared" si="33"/>
        <v>136</v>
      </c>
      <c r="N530">
        <f t="shared" si="34"/>
        <v>32</v>
      </c>
      <c r="O530">
        <f t="shared" si="35"/>
        <v>39</v>
      </c>
      <c r="P530">
        <f t="shared" si="36"/>
        <v>23</v>
      </c>
    </row>
    <row r="531" spans="8:16" ht="15" customHeight="1" x14ac:dyDescent="0.25">
      <c r="H531" s="42" t="s">
        <v>1595</v>
      </c>
      <c r="I531" s="41" t="s">
        <v>337</v>
      </c>
      <c r="J531" s="41" t="s">
        <v>11</v>
      </c>
      <c r="K531" s="41" t="s">
        <v>1561</v>
      </c>
      <c r="L531" s="41" t="s">
        <v>33</v>
      </c>
      <c r="M531">
        <f t="shared" si="33"/>
        <v>137</v>
      </c>
      <c r="N531">
        <f t="shared" si="34"/>
        <v>32</v>
      </c>
      <c r="O531">
        <f t="shared" si="35"/>
        <v>51</v>
      </c>
      <c r="P531">
        <f t="shared" si="36"/>
        <v>30</v>
      </c>
    </row>
    <row r="532" spans="8:16" ht="15" customHeight="1" x14ac:dyDescent="0.25">
      <c r="H532" s="42" t="s">
        <v>1595</v>
      </c>
      <c r="I532" s="43" t="s">
        <v>338</v>
      </c>
      <c r="J532" s="43" t="s">
        <v>11</v>
      </c>
      <c r="K532" s="43" t="s">
        <v>1560</v>
      </c>
      <c r="L532" s="43" t="s">
        <v>13</v>
      </c>
      <c r="M532">
        <f t="shared" si="33"/>
        <v>135</v>
      </c>
      <c r="N532">
        <f t="shared" si="34"/>
        <v>32</v>
      </c>
      <c r="O532">
        <f t="shared" si="35"/>
        <v>49</v>
      </c>
      <c r="P532">
        <f t="shared" si="36"/>
        <v>21</v>
      </c>
    </row>
    <row r="533" spans="8:16" ht="15" customHeight="1" x14ac:dyDescent="0.25">
      <c r="H533" s="42" t="s">
        <v>1595</v>
      </c>
      <c r="I533" s="41" t="s">
        <v>335</v>
      </c>
      <c r="J533" s="41" t="s">
        <v>24</v>
      </c>
      <c r="K533" s="41" t="s">
        <v>1558</v>
      </c>
      <c r="L533" s="41" t="s">
        <v>19</v>
      </c>
      <c r="M533">
        <f t="shared" si="33"/>
        <v>139</v>
      </c>
      <c r="N533">
        <f t="shared" si="34"/>
        <v>9</v>
      </c>
      <c r="O533">
        <f t="shared" si="35"/>
        <v>48</v>
      </c>
      <c r="P533">
        <f t="shared" si="36"/>
        <v>23</v>
      </c>
    </row>
    <row r="534" spans="8:16" ht="15" customHeight="1" x14ac:dyDescent="0.25">
      <c r="H534" s="42" t="s">
        <v>1595</v>
      </c>
      <c r="I534" s="43" t="s">
        <v>343</v>
      </c>
      <c r="J534" s="43" t="s">
        <v>24</v>
      </c>
      <c r="K534" s="43" t="s">
        <v>1557</v>
      </c>
      <c r="L534" s="43" t="s">
        <v>43</v>
      </c>
      <c r="M534">
        <f t="shared" si="33"/>
        <v>132</v>
      </c>
      <c r="N534">
        <f t="shared" si="34"/>
        <v>9</v>
      </c>
      <c r="O534">
        <f t="shared" si="35"/>
        <v>47</v>
      </c>
      <c r="P534">
        <f t="shared" si="36"/>
        <v>25</v>
      </c>
    </row>
    <row r="535" spans="8:16" ht="15" customHeight="1" x14ac:dyDescent="0.25">
      <c r="H535" s="42" t="s">
        <v>1595</v>
      </c>
      <c r="I535" s="41" t="s">
        <v>340</v>
      </c>
      <c r="J535" s="41" t="s">
        <v>24</v>
      </c>
      <c r="K535" s="41" t="s">
        <v>1559</v>
      </c>
      <c r="L535" s="41" t="s">
        <v>339</v>
      </c>
      <c r="M535">
        <f t="shared" si="33"/>
        <v>129</v>
      </c>
      <c r="N535">
        <f t="shared" si="34"/>
        <v>9</v>
      </c>
      <c r="O535">
        <f t="shared" si="35"/>
        <v>43</v>
      </c>
      <c r="P535">
        <f t="shared" si="36"/>
        <v>0</v>
      </c>
    </row>
    <row r="536" spans="8:16" ht="15" customHeight="1" x14ac:dyDescent="0.25">
      <c r="H536" s="42" t="s">
        <v>1595</v>
      </c>
      <c r="I536" s="43" t="s">
        <v>342</v>
      </c>
      <c r="J536" s="43" t="s">
        <v>11</v>
      </c>
      <c r="K536" s="43" t="s">
        <v>1556</v>
      </c>
      <c r="L536" s="43" t="s">
        <v>345</v>
      </c>
      <c r="M536">
        <f t="shared" si="33"/>
        <v>134</v>
      </c>
      <c r="N536">
        <f t="shared" si="34"/>
        <v>32</v>
      </c>
      <c r="O536">
        <f t="shared" si="35"/>
        <v>42</v>
      </c>
      <c r="P536">
        <f t="shared" si="36"/>
        <v>2</v>
      </c>
    </row>
    <row r="537" spans="8:16" ht="15" customHeight="1" x14ac:dyDescent="0.25">
      <c r="H537" s="42" t="s">
        <v>1595</v>
      </c>
      <c r="I537" s="41" t="s">
        <v>23</v>
      </c>
      <c r="J537" s="41" t="s">
        <v>24</v>
      </c>
      <c r="K537" s="41" t="s">
        <v>1555</v>
      </c>
      <c r="L537" s="41" t="s">
        <v>33</v>
      </c>
      <c r="M537">
        <f t="shared" si="33"/>
        <v>136</v>
      </c>
      <c r="N537">
        <f t="shared" si="34"/>
        <v>9</v>
      </c>
      <c r="O537">
        <f t="shared" si="35"/>
        <v>41</v>
      </c>
      <c r="P537">
        <f t="shared" si="36"/>
        <v>30</v>
      </c>
    </row>
    <row r="538" spans="8:16" ht="15" customHeight="1" x14ac:dyDescent="0.25">
      <c r="H538" s="42" t="s">
        <v>1595</v>
      </c>
      <c r="I538" s="43" t="s">
        <v>17</v>
      </c>
      <c r="J538" s="43" t="s">
        <v>11</v>
      </c>
      <c r="K538" s="43" t="s">
        <v>1554</v>
      </c>
      <c r="L538" s="43" t="s">
        <v>13</v>
      </c>
      <c r="M538">
        <f t="shared" si="33"/>
        <v>141</v>
      </c>
      <c r="N538">
        <f t="shared" si="34"/>
        <v>32</v>
      </c>
      <c r="O538">
        <f t="shared" si="35"/>
        <v>38</v>
      </c>
      <c r="P538">
        <f t="shared" si="36"/>
        <v>21</v>
      </c>
    </row>
    <row r="539" spans="8:16" ht="15" customHeight="1" x14ac:dyDescent="0.25">
      <c r="H539" s="42" t="s">
        <v>1595</v>
      </c>
      <c r="I539" s="41" t="s">
        <v>10</v>
      </c>
      <c r="J539" s="41" t="s">
        <v>11</v>
      </c>
      <c r="K539" s="41" t="s">
        <v>1553</v>
      </c>
      <c r="L539" s="41" t="s">
        <v>19</v>
      </c>
      <c r="M539">
        <f t="shared" si="33"/>
        <v>143</v>
      </c>
      <c r="N539">
        <f t="shared" si="34"/>
        <v>32</v>
      </c>
      <c r="O539">
        <f t="shared" si="35"/>
        <v>39</v>
      </c>
      <c r="P539">
        <f t="shared" si="36"/>
        <v>23</v>
      </c>
    </row>
    <row r="540" spans="8:16" ht="15" customHeight="1" x14ac:dyDescent="0.25">
      <c r="H540" s="42" t="s">
        <v>1595</v>
      </c>
      <c r="I540" s="43" t="s">
        <v>344</v>
      </c>
      <c r="J540" s="43" t="s">
        <v>11</v>
      </c>
      <c r="K540" s="43" t="s">
        <v>1552</v>
      </c>
      <c r="L540" s="43" t="s">
        <v>43</v>
      </c>
      <c r="M540">
        <f t="shared" si="33"/>
        <v>131</v>
      </c>
      <c r="N540">
        <f t="shared" si="34"/>
        <v>32</v>
      </c>
      <c r="O540">
        <f t="shared" si="35"/>
        <v>37</v>
      </c>
      <c r="P540">
        <f t="shared" si="36"/>
        <v>25</v>
      </c>
    </row>
    <row r="541" spans="8:16" ht="15" customHeight="1" x14ac:dyDescent="0.25">
      <c r="H541" s="42" t="s">
        <v>1595</v>
      </c>
      <c r="I541" s="41" t="s">
        <v>344</v>
      </c>
      <c r="J541" s="41" t="s">
        <v>24</v>
      </c>
      <c r="K541" s="41" t="s">
        <v>12</v>
      </c>
      <c r="L541" s="41" t="s">
        <v>339</v>
      </c>
      <c r="M541">
        <f t="shared" si="33"/>
        <v>131</v>
      </c>
      <c r="N541">
        <f t="shared" si="34"/>
        <v>9</v>
      </c>
      <c r="O541">
        <f t="shared" si="35"/>
        <v>0</v>
      </c>
      <c r="P541">
        <f t="shared" si="36"/>
        <v>0</v>
      </c>
    </row>
    <row r="542" spans="8:16" ht="15" customHeight="1" x14ac:dyDescent="0.25">
      <c r="H542" s="42" t="s">
        <v>1595</v>
      </c>
      <c r="I542" s="43" t="s">
        <v>10</v>
      </c>
      <c r="J542" s="43" t="s">
        <v>24</v>
      </c>
      <c r="K542" s="43" t="s">
        <v>12</v>
      </c>
      <c r="L542" s="43" t="s">
        <v>345</v>
      </c>
      <c r="M542">
        <f t="shared" si="33"/>
        <v>143</v>
      </c>
      <c r="N542">
        <f t="shared" si="34"/>
        <v>9</v>
      </c>
      <c r="O542">
        <f t="shared" si="35"/>
        <v>0</v>
      </c>
      <c r="P542">
        <f t="shared" si="36"/>
        <v>2</v>
      </c>
    </row>
    <row r="543" spans="8:16" ht="15" customHeight="1" x14ac:dyDescent="0.25">
      <c r="H543" s="42" t="s">
        <v>1595</v>
      </c>
      <c r="I543" s="41" t="s">
        <v>17</v>
      </c>
      <c r="J543" s="41" t="s">
        <v>24</v>
      </c>
      <c r="K543" s="41" t="s">
        <v>1552</v>
      </c>
      <c r="L543" s="41" t="s">
        <v>33</v>
      </c>
      <c r="M543">
        <f t="shared" si="33"/>
        <v>141</v>
      </c>
      <c r="N543">
        <f t="shared" si="34"/>
        <v>9</v>
      </c>
      <c r="O543">
        <f t="shared" si="35"/>
        <v>37</v>
      </c>
      <c r="P543">
        <f t="shared" si="36"/>
        <v>30</v>
      </c>
    </row>
    <row r="544" spans="8:16" ht="15" customHeight="1" x14ac:dyDescent="0.25">
      <c r="H544" s="42" t="s">
        <v>1595</v>
      </c>
      <c r="I544" s="43" t="s">
        <v>23</v>
      </c>
      <c r="J544" s="43" t="s">
        <v>24</v>
      </c>
      <c r="K544" s="43" t="s">
        <v>1555</v>
      </c>
      <c r="L544" s="43" t="s">
        <v>13</v>
      </c>
      <c r="M544">
        <f t="shared" si="33"/>
        <v>136</v>
      </c>
      <c r="N544">
        <f t="shared" si="34"/>
        <v>9</v>
      </c>
      <c r="O544">
        <f t="shared" si="35"/>
        <v>41</v>
      </c>
      <c r="P544">
        <f t="shared" si="36"/>
        <v>21</v>
      </c>
    </row>
    <row r="545" spans="8:16" ht="15" customHeight="1" x14ac:dyDescent="0.25">
      <c r="H545" s="42" t="s">
        <v>1595</v>
      </c>
      <c r="I545" s="41" t="s">
        <v>342</v>
      </c>
      <c r="J545" s="41" t="s">
        <v>24</v>
      </c>
      <c r="K545" s="41" t="s">
        <v>1557</v>
      </c>
      <c r="L545" s="41" t="s">
        <v>19</v>
      </c>
      <c r="M545">
        <f t="shared" si="33"/>
        <v>134</v>
      </c>
      <c r="N545">
        <f t="shared" si="34"/>
        <v>9</v>
      </c>
      <c r="O545">
        <f t="shared" si="35"/>
        <v>47</v>
      </c>
      <c r="P545">
        <f t="shared" si="36"/>
        <v>23</v>
      </c>
    </row>
    <row r="546" spans="8:16" ht="15" customHeight="1" x14ac:dyDescent="0.25">
      <c r="H546" s="42" t="s">
        <v>1595</v>
      </c>
      <c r="I546" s="43" t="s">
        <v>340</v>
      </c>
      <c r="J546" s="43" t="s">
        <v>24</v>
      </c>
      <c r="K546" s="43" t="s">
        <v>1560</v>
      </c>
      <c r="L546" s="43" t="s">
        <v>43</v>
      </c>
      <c r="M546">
        <f t="shared" si="33"/>
        <v>129</v>
      </c>
      <c r="N546">
        <f t="shared" si="34"/>
        <v>9</v>
      </c>
      <c r="O546">
        <f t="shared" si="35"/>
        <v>49</v>
      </c>
      <c r="P546">
        <f t="shared" si="36"/>
        <v>25</v>
      </c>
    </row>
    <row r="547" spans="8:16" ht="15" customHeight="1" x14ac:dyDescent="0.25">
      <c r="H547" s="42" t="s">
        <v>1595</v>
      </c>
      <c r="I547" s="41" t="s">
        <v>343</v>
      </c>
      <c r="J547" s="41" t="s">
        <v>11</v>
      </c>
      <c r="K547" s="41" t="s">
        <v>1553</v>
      </c>
      <c r="L547" s="41" t="s">
        <v>339</v>
      </c>
      <c r="M547">
        <f t="shared" si="33"/>
        <v>132</v>
      </c>
      <c r="N547">
        <f t="shared" si="34"/>
        <v>32</v>
      </c>
      <c r="O547">
        <f t="shared" si="35"/>
        <v>39</v>
      </c>
      <c r="P547">
        <f t="shared" si="36"/>
        <v>0</v>
      </c>
    </row>
    <row r="548" spans="8:16" ht="15" customHeight="1" x14ac:dyDescent="0.25">
      <c r="H548" s="42" t="s">
        <v>1595</v>
      </c>
      <c r="I548" s="43" t="s">
        <v>335</v>
      </c>
      <c r="J548" s="43" t="s">
        <v>11</v>
      </c>
      <c r="K548" s="43" t="s">
        <v>1556</v>
      </c>
      <c r="L548" s="43" t="s">
        <v>345</v>
      </c>
      <c r="M548">
        <f t="shared" si="33"/>
        <v>139</v>
      </c>
      <c r="N548">
        <f t="shared" si="34"/>
        <v>32</v>
      </c>
      <c r="O548">
        <f t="shared" si="35"/>
        <v>42</v>
      </c>
      <c r="P548">
        <f t="shared" si="36"/>
        <v>2</v>
      </c>
    </row>
    <row r="549" spans="8:16" ht="15" customHeight="1" x14ac:dyDescent="0.25">
      <c r="H549" s="42" t="s">
        <v>1595</v>
      </c>
      <c r="I549" s="41" t="s">
        <v>338</v>
      </c>
      <c r="J549" s="41" t="s">
        <v>24</v>
      </c>
      <c r="K549" s="41" t="s">
        <v>1558</v>
      </c>
      <c r="L549" s="41" t="s">
        <v>33</v>
      </c>
      <c r="M549">
        <f t="shared" si="33"/>
        <v>135</v>
      </c>
      <c r="N549">
        <f t="shared" si="34"/>
        <v>9</v>
      </c>
      <c r="O549">
        <f t="shared" si="35"/>
        <v>48</v>
      </c>
      <c r="P549">
        <f t="shared" si="36"/>
        <v>30</v>
      </c>
    </row>
    <row r="550" spans="8:16" ht="15" customHeight="1" x14ac:dyDescent="0.25">
      <c r="H550" s="42" t="s">
        <v>1595</v>
      </c>
      <c r="I550" s="43" t="s">
        <v>337</v>
      </c>
      <c r="J550" s="43" t="s">
        <v>24</v>
      </c>
      <c r="K550" s="43" t="s">
        <v>1561</v>
      </c>
      <c r="L550" s="43" t="s">
        <v>13</v>
      </c>
      <c r="M550">
        <f t="shared" si="33"/>
        <v>137</v>
      </c>
      <c r="N550">
        <f t="shared" si="34"/>
        <v>9</v>
      </c>
      <c r="O550">
        <f t="shared" si="35"/>
        <v>51</v>
      </c>
      <c r="P550">
        <f t="shared" si="36"/>
        <v>21</v>
      </c>
    </row>
    <row r="551" spans="8:16" ht="15" customHeight="1" x14ac:dyDescent="0.25">
      <c r="H551" s="42" t="s">
        <v>1595</v>
      </c>
      <c r="I551" s="41" t="s">
        <v>343</v>
      </c>
      <c r="J551" s="41" t="s">
        <v>11</v>
      </c>
      <c r="K551" s="41" t="s">
        <v>1554</v>
      </c>
      <c r="L551" s="41" t="s">
        <v>19</v>
      </c>
      <c r="M551">
        <f t="shared" si="33"/>
        <v>132</v>
      </c>
      <c r="N551">
        <f t="shared" si="34"/>
        <v>32</v>
      </c>
      <c r="O551">
        <f t="shared" si="35"/>
        <v>38</v>
      </c>
      <c r="P551">
        <f t="shared" si="36"/>
        <v>23</v>
      </c>
    </row>
    <row r="552" spans="8:16" ht="15" customHeight="1" x14ac:dyDescent="0.25">
      <c r="H552" s="42" t="s">
        <v>1595</v>
      </c>
      <c r="I552" s="43" t="s">
        <v>340</v>
      </c>
      <c r="J552" s="43" t="s">
        <v>11</v>
      </c>
      <c r="K552" s="43" t="s">
        <v>1559</v>
      </c>
      <c r="L552" s="43" t="s">
        <v>43</v>
      </c>
      <c r="M552">
        <f t="shared" si="33"/>
        <v>129</v>
      </c>
      <c r="N552">
        <f t="shared" si="34"/>
        <v>32</v>
      </c>
      <c r="O552">
        <f t="shared" si="35"/>
        <v>43</v>
      </c>
      <c r="P552">
        <f t="shared" si="36"/>
        <v>25</v>
      </c>
    </row>
    <row r="553" spans="8:16" ht="15" customHeight="1" x14ac:dyDescent="0.25">
      <c r="H553" s="42" t="s">
        <v>1595</v>
      </c>
      <c r="I553" s="41" t="s">
        <v>10</v>
      </c>
      <c r="J553" s="41" t="s">
        <v>11</v>
      </c>
      <c r="K553" s="41" t="s">
        <v>1554</v>
      </c>
      <c r="L553" s="41" t="s">
        <v>339</v>
      </c>
      <c r="M553">
        <f t="shared" si="33"/>
        <v>143</v>
      </c>
      <c r="N553">
        <f t="shared" si="34"/>
        <v>32</v>
      </c>
      <c r="O553">
        <f t="shared" si="35"/>
        <v>38</v>
      </c>
      <c r="P553">
        <f t="shared" si="36"/>
        <v>0</v>
      </c>
    </row>
    <row r="554" spans="8:16" ht="15" customHeight="1" x14ac:dyDescent="0.25">
      <c r="H554" s="42" t="s">
        <v>1595</v>
      </c>
      <c r="I554" s="43" t="s">
        <v>344</v>
      </c>
      <c r="J554" s="43" t="s">
        <v>24</v>
      </c>
      <c r="K554" s="43" t="s">
        <v>1559</v>
      </c>
      <c r="L554" s="43" t="s">
        <v>345</v>
      </c>
      <c r="M554">
        <f t="shared" si="33"/>
        <v>131</v>
      </c>
      <c r="N554">
        <f t="shared" si="34"/>
        <v>9</v>
      </c>
      <c r="O554">
        <f t="shared" si="35"/>
        <v>43</v>
      </c>
      <c r="P554">
        <f t="shared" si="36"/>
        <v>2</v>
      </c>
    </row>
    <row r="555" spans="8:16" ht="15" customHeight="1" x14ac:dyDescent="0.25">
      <c r="H555" s="42" t="s">
        <v>1595</v>
      </c>
      <c r="I555" s="41" t="s">
        <v>338</v>
      </c>
      <c r="J555" s="41" t="s">
        <v>11</v>
      </c>
      <c r="K555" s="41" t="s">
        <v>1553</v>
      </c>
      <c r="L555" s="41" t="s">
        <v>33</v>
      </c>
      <c r="M555">
        <f t="shared" si="33"/>
        <v>135</v>
      </c>
      <c r="N555">
        <f t="shared" si="34"/>
        <v>32</v>
      </c>
      <c r="O555">
        <f t="shared" si="35"/>
        <v>39</v>
      </c>
      <c r="P555">
        <f t="shared" si="36"/>
        <v>30</v>
      </c>
    </row>
    <row r="556" spans="8:16" ht="15" customHeight="1" x14ac:dyDescent="0.25">
      <c r="H556" s="42" t="s">
        <v>1595</v>
      </c>
      <c r="I556" s="43" t="s">
        <v>23</v>
      </c>
      <c r="J556" s="43" t="s">
        <v>11</v>
      </c>
      <c r="K556" s="43" t="s">
        <v>1556</v>
      </c>
      <c r="L556" s="43" t="s">
        <v>13</v>
      </c>
      <c r="M556">
        <f t="shared" si="33"/>
        <v>136</v>
      </c>
      <c r="N556">
        <f t="shared" si="34"/>
        <v>32</v>
      </c>
      <c r="O556">
        <f t="shared" si="35"/>
        <v>42</v>
      </c>
      <c r="P556">
        <f t="shared" si="36"/>
        <v>21</v>
      </c>
    </row>
    <row r="557" spans="8:16" ht="15" customHeight="1" x14ac:dyDescent="0.25">
      <c r="H557" s="42" t="s">
        <v>1595</v>
      </c>
      <c r="I557" s="41" t="s">
        <v>17</v>
      </c>
      <c r="J557" s="41" t="s">
        <v>24</v>
      </c>
      <c r="K557" s="41" t="s">
        <v>1558</v>
      </c>
      <c r="L557" s="41" t="s">
        <v>19</v>
      </c>
      <c r="M557">
        <f t="shared" si="33"/>
        <v>141</v>
      </c>
      <c r="N557">
        <f t="shared" si="34"/>
        <v>9</v>
      </c>
      <c r="O557">
        <f t="shared" si="35"/>
        <v>48</v>
      </c>
      <c r="P557">
        <f t="shared" si="36"/>
        <v>23</v>
      </c>
    </row>
    <row r="558" spans="8:16" ht="15" customHeight="1" x14ac:dyDescent="0.25">
      <c r="H558" s="42" t="s">
        <v>1595</v>
      </c>
      <c r="I558" s="43" t="s">
        <v>10</v>
      </c>
      <c r="J558" s="43" t="s">
        <v>11</v>
      </c>
      <c r="K558" s="43" t="s">
        <v>1561</v>
      </c>
      <c r="L558" s="43" t="s">
        <v>43</v>
      </c>
      <c r="M558">
        <f t="shared" si="33"/>
        <v>143</v>
      </c>
      <c r="N558">
        <f t="shared" si="34"/>
        <v>32</v>
      </c>
      <c r="O558">
        <f t="shared" si="35"/>
        <v>51</v>
      </c>
      <c r="P558">
        <f t="shared" si="36"/>
        <v>25</v>
      </c>
    </row>
    <row r="559" spans="8:16" ht="15" customHeight="1" x14ac:dyDescent="0.25">
      <c r="H559" s="42" t="s">
        <v>1595</v>
      </c>
      <c r="I559" s="41" t="s">
        <v>337</v>
      </c>
      <c r="J559" s="41" t="s">
        <v>24</v>
      </c>
      <c r="K559" s="41" t="s">
        <v>1552</v>
      </c>
      <c r="L559" s="41" t="s">
        <v>339</v>
      </c>
      <c r="M559">
        <f t="shared" si="33"/>
        <v>137</v>
      </c>
      <c r="N559">
        <f t="shared" si="34"/>
        <v>9</v>
      </c>
      <c r="O559">
        <f t="shared" si="35"/>
        <v>37</v>
      </c>
      <c r="P559">
        <f t="shared" si="36"/>
        <v>0</v>
      </c>
    </row>
    <row r="560" spans="8:16" ht="15" customHeight="1" x14ac:dyDescent="0.25">
      <c r="H560" s="42" t="s">
        <v>1595</v>
      </c>
      <c r="I560" s="43" t="s">
        <v>338</v>
      </c>
      <c r="J560" s="43" t="s">
        <v>11</v>
      </c>
      <c r="K560" s="43" t="s">
        <v>1555</v>
      </c>
      <c r="L560" s="43" t="s">
        <v>345</v>
      </c>
      <c r="M560">
        <f t="shared" si="33"/>
        <v>135</v>
      </c>
      <c r="N560">
        <f t="shared" si="34"/>
        <v>32</v>
      </c>
      <c r="O560">
        <f t="shared" si="35"/>
        <v>41</v>
      </c>
      <c r="P560">
        <f t="shared" si="36"/>
        <v>2</v>
      </c>
    </row>
    <row r="561" spans="8:16" ht="15" customHeight="1" x14ac:dyDescent="0.25">
      <c r="H561" s="42" t="s">
        <v>1595</v>
      </c>
      <c r="I561" s="41" t="s">
        <v>338</v>
      </c>
      <c r="J561" s="41" t="s">
        <v>24</v>
      </c>
      <c r="K561" s="41" t="s">
        <v>1557</v>
      </c>
      <c r="L561" s="41" t="s">
        <v>33</v>
      </c>
      <c r="M561">
        <f t="shared" si="33"/>
        <v>135</v>
      </c>
      <c r="N561">
        <f t="shared" si="34"/>
        <v>9</v>
      </c>
      <c r="O561">
        <f t="shared" si="35"/>
        <v>47</v>
      </c>
      <c r="P561">
        <f t="shared" si="36"/>
        <v>30</v>
      </c>
    </row>
    <row r="562" spans="8:16" ht="15" customHeight="1" x14ac:dyDescent="0.25">
      <c r="H562" s="42" t="s">
        <v>1595</v>
      </c>
      <c r="I562" s="43" t="s">
        <v>335</v>
      </c>
      <c r="J562" s="43" t="s">
        <v>11</v>
      </c>
      <c r="K562" s="43" t="s">
        <v>1560</v>
      </c>
      <c r="L562" s="43" t="s">
        <v>13</v>
      </c>
      <c r="M562">
        <f t="shared" si="33"/>
        <v>139</v>
      </c>
      <c r="N562">
        <f t="shared" si="34"/>
        <v>32</v>
      </c>
      <c r="O562">
        <f t="shared" si="35"/>
        <v>49</v>
      </c>
      <c r="P562">
        <f t="shared" si="36"/>
        <v>21</v>
      </c>
    </row>
    <row r="563" spans="8:16" ht="15" customHeight="1" x14ac:dyDescent="0.25">
      <c r="H563" s="42" t="s">
        <v>1595</v>
      </c>
      <c r="I563" s="41" t="s">
        <v>335</v>
      </c>
      <c r="J563" s="41" t="s">
        <v>24</v>
      </c>
      <c r="K563" s="41" t="s">
        <v>12</v>
      </c>
      <c r="L563" s="41" t="s">
        <v>19</v>
      </c>
      <c r="M563">
        <f t="shared" si="33"/>
        <v>139</v>
      </c>
      <c r="N563">
        <f t="shared" si="34"/>
        <v>9</v>
      </c>
      <c r="O563">
        <f t="shared" si="35"/>
        <v>0</v>
      </c>
      <c r="P563">
        <f t="shared" si="36"/>
        <v>23</v>
      </c>
    </row>
    <row r="564" spans="8:16" ht="15" customHeight="1" x14ac:dyDescent="0.25">
      <c r="H564" s="42" t="s">
        <v>1595</v>
      </c>
      <c r="I564" s="43" t="s">
        <v>342</v>
      </c>
      <c r="J564" s="43" t="s">
        <v>24</v>
      </c>
      <c r="K564" s="43" t="s">
        <v>12</v>
      </c>
      <c r="L564" s="43" t="s">
        <v>43</v>
      </c>
      <c r="M564">
        <f t="shared" si="33"/>
        <v>134</v>
      </c>
      <c r="N564">
        <f t="shared" si="34"/>
        <v>9</v>
      </c>
      <c r="O564">
        <f t="shared" si="35"/>
        <v>0</v>
      </c>
      <c r="P564">
        <f t="shared" si="36"/>
        <v>25</v>
      </c>
    </row>
    <row r="565" spans="8:16" ht="15" customHeight="1" x14ac:dyDescent="0.25">
      <c r="H565" s="42" t="s">
        <v>1595</v>
      </c>
      <c r="I565" s="41" t="s">
        <v>342</v>
      </c>
      <c r="J565" s="41" t="s">
        <v>24</v>
      </c>
      <c r="K565" s="41" t="s">
        <v>1552</v>
      </c>
      <c r="L565" s="41" t="s">
        <v>339</v>
      </c>
      <c r="M565">
        <f t="shared" si="33"/>
        <v>134</v>
      </c>
      <c r="N565">
        <f t="shared" si="34"/>
        <v>9</v>
      </c>
      <c r="O565">
        <f t="shared" si="35"/>
        <v>37</v>
      </c>
      <c r="P565">
        <f t="shared" si="36"/>
        <v>0</v>
      </c>
    </row>
    <row r="566" spans="8:16" ht="15" customHeight="1" x14ac:dyDescent="0.25">
      <c r="H566" s="42" t="s">
        <v>1595</v>
      </c>
      <c r="I566" s="43" t="s">
        <v>10</v>
      </c>
      <c r="J566" s="43" t="s">
        <v>11</v>
      </c>
      <c r="K566" s="43" t="s">
        <v>1553</v>
      </c>
      <c r="L566" s="43" t="s">
        <v>345</v>
      </c>
      <c r="M566">
        <f t="shared" si="33"/>
        <v>143</v>
      </c>
      <c r="N566">
        <f t="shared" si="34"/>
        <v>32</v>
      </c>
      <c r="O566">
        <f t="shared" si="35"/>
        <v>39</v>
      </c>
      <c r="P566">
        <f t="shared" si="36"/>
        <v>2</v>
      </c>
    </row>
    <row r="567" spans="8:16" ht="15" customHeight="1" x14ac:dyDescent="0.25">
      <c r="H567" s="42" t="s">
        <v>1595</v>
      </c>
      <c r="I567" s="41" t="s">
        <v>17</v>
      </c>
      <c r="J567" s="41" t="s">
        <v>24</v>
      </c>
      <c r="K567" s="41" t="s">
        <v>1554</v>
      </c>
      <c r="L567" s="41" t="s">
        <v>33</v>
      </c>
      <c r="M567">
        <f t="shared" si="33"/>
        <v>141</v>
      </c>
      <c r="N567">
        <f t="shared" si="34"/>
        <v>9</v>
      </c>
      <c r="O567">
        <f t="shared" si="35"/>
        <v>38</v>
      </c>
      <c r="P567">
        <f t="shared" si="36"/>
        <v>30</v>
      </c>
    </row>
    <row r="568" spans="8:16" ht="15" customHeight="1" x14ac:dyDescent="0.25">
      <c r="I568" s="43" t="s">
        <v>10</v>
      </c>
      <c r="J568" s="43" t="s">
        <v>11</v>
      </c>
      <c r="K568" s="43" t="s">
        <v>1555</v>
      </c>
      <c r="L568" s="43" t="s">
        <v>13</v>
      </c>
      <c r="M568">
        <f t="shared" si="33"/>
        <v>143</v>
      </c>
      <c r="N568">
        <f t="shared" si="34"/>
        <v>32</v>
      </c>
      <c r="O568">
        <f t="shared" si="35"/>
        <v>41</v>
      </c>
      <c r="P568">
        <f t="shared" si="36"/>
        <v>21</v>
      </c>
    </row>
    <row r="569" spans="8:16" ht="15" customHeight="1" x14ac:dyDescent="0.25">
      <c r="I569" s="41" t="s">
        <v>23</v>
      </c>
      <c r="J569" s="41" t="s">
        <v>24</v>
      </c>
      <c r="K569" s="41" t="s">
        <v>1556</v>
      </c>
      <c r="L569" s="41" t="s">
        <v>19</v>
      </c>
      <c r="M569">
        <f t="shared" si="33"/>
        <v>136</v>
      </c>
      <c r="N569">
        <f t="shared" si="34"/>
        <v>9</v>
      </c>
      <c r="O569">
        <f t="shared" si="35"/>
        <v>42</v>
      </c>
      <c r="P569">
        <f t="shared" si="36"/>
        <v>23</v>
      </c>
    </row>
    <row r="570" spans="8:16" ht="15" customHeight="1" x14ac:dyDescent="0.25">
      <c r="I570" s="43" t="s">
        <v>17</v>
      </c>
      <c r="J570" s="43" t="s">
        <v>11</v>
      </c>
      <c r="K570" s="43" t="s">
        <v>1559</v>
      </c>
      <c r="L570" s="43" t="s">
        <v>43</v>
      </c>
      <c r="M570">
        <f t="shared" si="33"/>
        <v>141</v>
      </c>
      <c r="N570">
        <f t="shared" si="34"/>
        <v>32</v>
      </c>
      <c r="O570">
        <f t="shared" si="35"/>
        <v>43</v>
      </c>
      <c r="P570">
        <f t="shared" si="36"/>
        <v>25</v>
      </c>
    </row>
    <row r="571" spans="8:16" ht="15" customHeight="1" x14ac:dyDescent="0.25">
      <c r="I571" s="41" t="s">
        <v>337</v>
      </c>
      <c r="J571" s="41" t="s">
        <v>24</v>
      </c>
      <c r="K571" s="41" t="s">
        <v>1557</v>
      </c>
      <c r="L571" s="41" t="s">
        <v>339</v>
      </c>
      <c r="M571">
        <f t="shared" si="33"/>
        <v>137</v>
      </c>
      <c r="N571">
        <f t="shared" si="34"/>
        <v>9</v>
      </c>
      <c r="O571">
        <f t="shared" si="35"/>
        <v>47</v>
      </c>
      <c r="P571">
        <f t="shared" si="36"/>
        <v>0</v>
      </c>
    </row>
    <row r="572" spans="8:16" ht="15" customHeight="1" x14ac:dyDescent="0.25">
      <c r="I572" s="43" t="s">
        <v>338</v>
      </c>
      <c r="J572" s="43" t="s">
        <v>11</v>
      </c>
      <c r="K572" s="43" t="s">
        <v>1558</v>
      </c>
      <c r="L572" s="43" t="s">
        <v>345</v>
      </c>
      <c r="M572">
        <f t="shared" si="33"/>
        <v>135</v>
      </c>
      <c r="N572">
        <f t="shared" si="34"/>
        <v>32</v>
      </c>
      <c r="O572">
        <f t="shared" si="35"/>
        <v>48</v>
      </c>
      <c r="P572">
        <f t="shared" si="36"/>
        <v>2</v>
      </c>
    </row>
    <row r="573" spans="8:16" ht="15" customHeight="1" x14ac:dyDescent="0.25">
      <c r="I573" s="41" t="s">
        <v>335</v>
      </c>
      <c r="J573" s="41" t="s">
        <v>11</v>
      </c>
      <c r="K573" s="41" t="s">
        <v>1560</v>
      </c>
      <c r="L573" s="41" t="s">
        <v>33</v>
      </c>
      <c r="M573">
        <f t="shared" si="33"/>
        <v>139</v>
      </c>
      <c r="N573">
        <f t="shared" si="34"/>
        <v>32</v>
      </c>
      <c r="O573">
        <f t="shared" si="35"/>
        <v>49</v>
      </c>
      <c r="P573">
        <f t="shared" si="36"/>
        <v>30</v>
      </c>
    </row>
    <row r="574" spans="8:16" ht="15" customHeight="1" x14ac:dyDescent="0.25">
      <c r="I574" s="43" t="s">
        <v>342</v>
      </c>
      <c r="J574" s="43" t="s">
        <v>24</v>
      </c>
      <c r="K574" s="43" t="s">
        <v>1561</v>
      </c>
      <c r="L574" s="43" t="s">
        <v>13</v>
      </c>
      <c r="M574">
        <f t="shared" si="33"/>
        <v>134</v>
      </c>
      <c r="N574">
        <f t="shared" si="34"/>
        <v>9</v>
      </c>
      <c r="O574">
        <f t="shared" si="35"/>
        <v>51</v>
      </c>
      <c r="P574">
        <f t="shared" si="36"/>
        <v>21</v>
      </c>
    </row>
    <row r="575" spans="8:16" ht="15" customHeight="1" x14ac:dyDescent="0.25">
      <c r="I575" s="41" t="s">
        <v>23</v>
      </c>
      <c r="J575" s="41" t="s">
        <v>11</v>
      </c>
      <c r="K575" s="41" t="s">
        <v>1561</v>
      </c>
      <c r="L575" s="41" t="s">
        <v>19</v>
      </c>
      <c r="M575">
        <f t="shared" si="33"/>
        <v>136</v>
      </c>
      <c r="N575">
        <f t="shared" si="34"/>
        <v>32</v>
      </c>
      <c r="O575">
        <f t="shared" si="35"/>
        <v>51</v>
      </c>
      <c r="P575">
        <f t="shared" si="36"/>
        <v>23</v>
      </c>
    </row>
    <row r="576" spans="8:16" ht="15" customHeight="1" x14ac:dyDescent="0.25">
      <c r="I576" s="43" t="s">
        <v>17</v>
      </c>
      <c r="J576" s="43" t="s">
        <v>24</v>
      </c>
      <c r="K576" s="43" t="s">
        <v>1560</v>
      </c>
      <c r="L576" s="43" t="s">
        <v>43</v>
      </c>
      <c r="M576">
        <f t="shared" si="33"/>
        <v>141</v>
      </c>
      <c r="N576">
        <f t="shared" si="34"/>
        <v>9</v>
      </c>
      <c r="O576">
        <f t="shared" si="35"/>
        <v>49</v>
      </c>
      <c r="P576">
        <f t="shared" si="36"/>
        <v>25</v>
      </c>
    </row>
    <row r="577" spans="9:16" ht="15" customHeight="1" x14ac:dyDescent="0.25">
      <c r="I577" s="41" t="s">
        <v>10</v>
      </c>
      <c r="J577" s="41" t="s">
        <v>24</v>
      </c>
      <c r="K577" s="41" t="s">
        <v>1558</v>
      </c>
      <c r="L577" s="41" t="s">
        <v>339</v>
      </c>
      <c r="M577">
        <f t="shared" si="33"/>
        <v>143</v>
      </c>
      <c r="N577">
        <f t="shared" si="34"/>
        <v>9</v>
      </c>
      <c r="O577">
        <f t="shared" si="35"/>
        <v>48</v>
      </c>
      <c r="P577">
        <f t="shared" si="36"/>
        <v>0</v>
      </c>
    </row>
    <row r="578" spans="9:16" ht="15" customHeight="1" x14ac:dyDescent="0.25">
      <c r="I578" s="43" t="s">
        <v>343</v>
      </c>
      <c r="J578" s="43" t="s">
        <v>11</v>
      </c>
      <c r="K578" s="43" t="s">
        <v>1557</v>
      </c>
      <c r="L578" s="43" t="s">
        <v>345</v>
      </c>
      <c r="M578">
        <f t="shared" si="33"/>
        <v>132</v>
      </c>
      <c r="N578">
        <f t="shared" si="34"/>
        <v>32</v>
      </c>
      <c r="O578">
        <f t="shared" si="35"/>
        <v>47</v>
      </c>
      <c r="P578">
        <f t="shared" si="36"/>
        <v>2</v>
      </c>
    </row>
    <row r="579" spans="9:16" ht="15" customHeight="1" x14ac:dyDescent="0.25">
      <c r="I579" s="41" t="s">
        <v>340</v>
      </c>
      <c r="J579" s="41" t="s">
        <v>11</v>
      </c>
      <c r="K579" s="41" t="s">
        <v>1559</v>
      </c>
      <c r="L579" s="41" t="s">
        <v>33</v>
      </c>
      <c r="M579">
        <f t="shared" si="33"/>
        <v>129</v>
      </c>
      <c r="N579">
        <f t="shared" si="34"/>
        <v>32</v>
      </c>
      <c r="O579">
        <f t="shared" si="35"/>
        <v>43</v>
      </c>
      <c r="P579">
        <f t="shared" si="36"/>
        <v>30</v>
      </c>
    </row>
    <row r="580" spans="9:16" ht="15" customHeight="1" x14ac:dyDescent="0.25">
      <c r="I580" s="43" t="s">
        <v>344</v>
      </c>
      <c r="J580" s="43" t="s">
        <v>11</v>
      </c>
      <c r="K580" s="43" t="s">
        <v>1556</v>
      </c>
      <c r="L580" s="43" t="s">
        <v>13</v>
      </c>
      <c r="M580">
        <f t="shared" si="33"/>
        <v>131</v>
      </c>
      <c r="N580">
        <f t="shared" si="34"/>
        <v>32</v>
      </c>
      <c r="O580">
        <f t="shared" si="35"/>
        <v>42</v>
      </c>
      <c r="P580">
        <f t="shared" si="36"/>
        <v>21</v>
      </c>
    </row>
    <row r="581" spans="9:16" ht="15" customHeight="1" x14ac:dyDescent="0.25">
      <c r="I581" s="41" t="s">
        <v>335</v>
      </c>
      <c r="J581" s="41" t="s">
        <v>11</v>
      </c>
      <c r="K581" s="41" t="s">
        <v>1555</v>
      </c>
      <c r="L581" s="41" t="s">
        <v>19</v>
      </c>
      <c r="M581">
        <f t="shared" si="33"/>
        <v>139</v>
      </c>
      <c r="N581">
        <f t="shared" si="34"/>
        <v>32</v>
      </c>
      <c r="O581">
        <f t="shared" si="35"/>
        <v>41</v>
      </c>
      <c r="P581">
        <f t="shared" si="36"/>
        <v>23</v>
      </c>
    </row>
    <row r="582" spans="9:16" ht="15" customHeight="1" x14ac:dyDescent="0.25">
      <c r="I582" s="43" t="s">
        <v>343</v>
      </c>
      <c r="J582" s="43" t="s">
        <v>11</v>
      </c>
      <c r="K582" s="43" t="s">
        <v>1554</v>
      </c>
      <c r="L582" s="43" t="s">
        <v>43</v>
      </c>
      <c r="M582">
        <f t="shared" si="33"/>
        <v>132</v>
      </c>
      <c r="N582">
        <f t="shared" si="34"/>
        <v>32</v>
      </c>
      <c r="O582">
        <f t="shared" si="35"/>
        <v>38</v>
      </c>
      <c r="P582">
        <f t="shared" si="36"/>
        <v>25</v>
      </c>
    </row>
    <row r="583" spans="9:16" ht="15" customHeight="1" x14ac:dyDescent="0.25">
      <c r="I583" s="41" t="s">
        <v>340</v>
      </c>
      <c r="J583" s="41" t="s">
        <v>11</v>
      </c>
      <c r="K583" s="41" t="s">
        <v>1553</v>
      </c>
      <c r="L583" s="41" t="s">
        <v>339</v>
      </c>
      <c r="M583">
        <f t="shared" si="33"/>
        <v>129</v>
      </c>
      <c r="N583">
        <f t="shared" si="34"/>
        <v>32</v>
      </c>
      <c r="O583">
        <f t="shared" si="35"/>
        <v>39</v>
      </c>
      <c r="P583">
        <f t="shared" si="36"/>
        <v>0</v>
      </c>
    </row>
    <row r="584" spans="9:16" ht="15" customHeight="1" x14ac:dyDescent="0.25">
      <c r="I584" s="43" t="s">
        <v>344</v>
      </c>
      <c r="J584" s="43" t="s">
        <v>24</v>
      </c>
      <c r="K584" s="43" t="s">
        <v>1552</v>
      </c>
      <c r="L584" s="43" t="s">
        <v>345</v>
      </c>
      <c r="M584">
        <f t="shared" si="33"/>
        <v>131</v>
      </c>
      <c r="N584">
        <f t="shared" si="34"/>
        <v>9</v>
      </c>
      <c r="O584">
        <f t="shared" si="35"/>
        <v>37</v>
      </c>
      <c r="P584">
        <f t="shared" si="36"/>
        <v>2</v>
      </c>
    </row>
    <row r="585" spans="9:16" ht="15" customHeight="1" x14ac:dyDescent="0.25">
      <c r="I585" s="41" t="s">
        <v>337</v>
      </c>
      <c r="J585" s="41" t="s">
        <v>11</v>
      </c>
      <c r="K585" s="41" t="s">
        <v>12</v>
      </c>
      <c r="L585" s="41" t="s">
        <v>33</v>
      </c>
      <c r="M585">
        <f t="shared" si="33"/>
        <v>137</v>
      </c>
      <c r="N585">
        <f t="shared" si="34"/>
        <v>32</v>
      </c>
      <c r="O585">
        <f t="shared" si="35"/>
        <v>0</v>
      </c>
      <c r="P585">
        <f t="shared" si="36"/>
        <v>30</v>
      </c>
    </row>
    <row r="586" spans="9:16" ht="15" customHeight="1" x14ac:dyDescent="0.25">
      <c r="I586" s="43" t="s">
        <v>338</v>
      </c>
      <c r="J586" s="43" t="s">
        <v>11</v>
      </c>
      <c r="K586" s="43" t="s">
        <v>12</v>
      </c>
      <c r="L586" s="43" t="s">
        <v>13</v>
      </c>
      <c r="M586">
        <f t="shared" si="33"/>
        <v>135</v>
      </c>
      <c r="N586">
        <f t="shared" si="34"/>
        <v>32</v>
      </c>
      <c r="O586">
        <f t="shared" si="35"/>
        <v>0</v>
      </c>
      <c r="P586">
        <f t="shared" si="36"/>
        <v>21</v>
      </c>
    </row>
    <row r="587" spans="9:16" ht="15" customHeight="1" x14ac:dyDescent="0.25">
      <c r="I587" s="41" t="s">
        <v>335</v>
      </c>
      <c r="J587" s="41" t="s">
        <v>11</v>
      </c>
      <c r="K587" s="41" t="s">
        <v>1552</v>
      </c>
      <c r="L587" s="41" t="s">
        <v>19</v>
      </c>
      <c r="M587">
        <f t="shared" si="33"/>
        <v>139</v>
      </c>
      <c r="N587">
        <f t="shared" si="34"/>
        <v>32</v>
      </c>
      <c r="O587">
        <f t="shared" si="35"/>
        <v>37</v>
      </c>
      <c r="P587">
        <f t="shared" si="36"/>
        <v>23</v>
      </c>
    </row>
    <row r="588" spans="9:16" ht="15" customHeight="1" x14ac:dyDescent="0.25">
      <c r="I588" s="43" t="s">
        <v>343</v>
      </c>
      <c r="J588" s="43" t="s">
        <v>11</v>
      </c>
      <c r="K588" s="43" t="s">
        <v>1555</v>
      </c>
      <c r="L588" s="43" t="s">
        <v>43</v>
      </c>
      <c r="M588">
        <f t="shared" ref="M588:M651" si="37">_xlfn.XLOOKUP(I588,$C$9:$C$37,$D$9:$D$37,2,0)</f>
        <v>132</v>
      </c>
      <c r="N588">
        <f t="shared" ref="N588:N651" si="38">_xlfn.XLOOKUP(J588,$C$9:$C$37,$D$9:$D$37,2,0)</f>
        <v>32</v>
      </c>
      <c r="O588">
        <f t="shared" ref="O588:O651" si="39">_xlfn.XLOOKUP(K588,$C$9:$C$37,$D$9:$D$37,2,0)</f>
        <v>41</v>
      </c>
      <c r="P588">
        <f t="shared" ref="P588:P651" si="40">_xlfn.XLOOKUP(L588,$C$9:$C$37,$D$9:$D$37,2,0)</f>
        <v>25</v>
      </c>
    </row>
    <row r="589" spans="9:16" ht="15" customHeight="1" x14ac:dyDescent="0.25">
      <c r="I589" s="41" t="s">
        <v>340</v>
      </c>
      <c r="J589" s="41" t="s">
        <v>24</v>
      </c>
      <c r="K589" s="41" t="s">
        <v>1557</v>
      </c>
      <c r="L589" s="41" t="s">
        <v>339</v>
      </c>
      <c r="M589">
        <f t="shared" si="37"/>
        <v>129</v>
      </c>
      <c r="N589">
        <f t="shared" si="38"/>
        <v>9</v>
      </c>
      <c r="O589">
        <f t="shared" si="39"/>
        <v>47</v>
      </c>
      <c r="P589">
        <f t="shared" si="40"/>
        <v>0</v>
      </c>
    </row>
    <row r="590" spans="9:16" ht="15" customHeight="1" x14ac:dyDescent="0.25">
      <c r="I590" s="43" t="s">
        <v>342</v>
      </c>
      <c r="J590" s="43" t="s">
        <v>11</v>
      </c>
      <c r="K590" s="43" t="s">
        <v>1560</v>
      </c>
      <c r="L590" s="43" t="s">
        <v>345</v>
      </c>
      <c r="M590">
        <f t="shared" si="37"/>
        <v>134</v>
      </c>
      <c r="N590">
        <f t="shared" si="38"/>
        <v>32</v>
      </c>
      <c r="O590">
        <f t="shared" si="39"/>
        <v>49</v>
      </c>
      <c r="P590">
        <f t="shared" si="40"/>
        <v>2</v>
      </c>
    </row>
    <row r="591" spans="9:16" ht="15" customHeight="1" x14ac:dyDescent="0.25">
      <c r="I591" s="41" t="s">
        <v>23</v>
      </c>
      <c r="J591" s="41" t="s">
        <v>24</v>
      </c>
      <c r="K591" s="41" t="s">
        <v>1553</v>
      </c>
      <c r="L591" s="41" t="s">
        <v>33</v>
      </c>
      <c r="M591">
        <f t="shared" si="37"/>
        <v>136</v>
      </c>
      <c r="N591">
        <f t="shared" si="38"/>
        <v>9</v>
      </c>
      <c r="O591">
        <f t="shared" si="39"/>
        <v>39</v>
      </c>
      <c r="P591">
        <f t="shared" si="40"/>
        <v>30</v>
      </c>
    </row>
    <row r="592" spans="9:16" ht="15" customHeight="1" x14ac:dyDescent="0.25">
      <c r="I592" s="43" t="s">
        <v>17</v>
      </c>
      <c r="J592" s="43" t="s">
        <v>11</v>
      </c>
      <c r="K592" s="43" t="s">
        <v>1556</v>
      </c>
      <c r="L592" s="43" t="s">
        <v>13</v>
      </c>
      <c r="M592">
        <f t="shared" si="37"/>
        <v>141</v>
      </c>
      <c r="N592">
        <f t="shared" si="38"/>
        <v>32</v>
      </c>
      <c r="O592">
        <f t="shared" si="39"/>
        <v>42</v>
      </c>
      <c r="P592">
        <f t="shared" si="40"/>
        <v>21</v>
      </c>
    </row>
    <row r="593" spans="9:16" ht="15" customHeight="1" x14ac:dyDescent="0.25">
      <c r="I593" s="41" t="s">
        <v>10</v>
      </c>
      <c r="J593" s="41" t="s">
        <v>24</v>
      </c>
      <c r="K593" s="41" t="s">
        <v>1558</v>
      </c>
      <c r="L593" s="41" t="s">
        <v>19</v>
      </c>
      <c r="M593">
        <f t="shared" si="37"/>
        <v>143</v>
      </c>
      <c r="N593">
        <f t="shared" si="38"/>
        <v>9</v>
      </c>
      <c r="O593">
        <f t="shared" si="39"/>
        <v>48</v>
      </c>
      <c r="P593">
        <f t="shared" si="40"/>
        <v>23</v>
      </c>
    </row>
    <row r="594" spans="9:16" ht="15" customHeight="1" x14ac:dyDescent="0.25">
      <c r="I594" s="43" t="s">
        <v>344</v>
      </c>
      <c r="J594" s="43" t="s">
        <v>11</v>
      </c>
      <c r="K594" s="43" t="s">
        <v>1561</v>
      </c>
      <c r="L594" s="43" t="s">
        <v>43</v>
      </c>
      <c r="M594">
        <f t="shared" si="37"/>
        <v>131</v>
      </c>
      <c r="N594">
        <f t="shared" si="38"/>
        <v>32</v>
      </c>
      <c r="O594">
        <f t="shared" si="39"/>
        <v>51</v>
      </c>
      <c r="P594">
        <f t="shared" si="40"/>
        <v>25</v>
      </c>
    </row>
    <row r="595" spans="9:16" ht="15" customHeight="1" x14ac:dyDescent="0.25">
      <c r="I595" s="41" t="s">
        <v>344</v>
      </c>
      <c r="J595" s="41" t="s">
        <v>24</v>
      </c>
      <c r="K595" s="41" t="s">
        <v>1554</v>
      </c>
      <c r="L595" s="41" t="s">
        <v>339</v>
      </c>
      <c r="M595">
        <f t="shared" si="37"/>
        <v>131</v>
      </c>
      <c r="N595">
        <f t="shared" si="38"/>
        <v>9</v>
      </c>
      <c r="O595">
        <f t="shared" si="39"/>
        <v>38</v>
      </c>
      <c r="P595">
        <f t="shared" si="40"/>
        <v>0</v>
      </c>
    </row>
    <row r="596" spans="9:16" ht="15" customHeight="1" x14ac:dyDescent="0.25">
      <c r="I596" s="43" t="s">
        <v>10</v>
      </c>
      <c r="J596" s="43" t="s">
        <v>24</v>
      </c>
      <c r="K596" s="43" t="s">
        <v>1559</v>
      </c>
      <c r="L596" s="43" t="s">
        <v>345</v>
      </c>
      <c r="M596">
        <f t="shared" si="37"/>
        <v>143</v>
      </c>
      <c r="N596">
        <f t="shared" si="38"/>
        <v>9</v>
      </c>
      <c r="O596">
        <f t="shared" si="39"/>
        <v>43</v>
      </c>
      <c r="P596">
        <f t="shared" si="40"/>
        <v>2</v>
      </c>
    </row>
    <row r="597" spans="9:16" ht="15" customHeight="1" x14ac:dyDescent="0.25">
      <c r="I597" s="41" t="s">
        <v>17</v>
      </c>
      <c r="J597" s="41" t="s">
        <v>24</v>
      </c>
      <c r="K597" s="41" t="s">
        <v>1554</v>
      </c>
      <c r="L597" s="41" t="s">
        <v>33</v>
      </c>
      <c r="M597">
        <f t="shared" si="37"/>
        <v>141</v>
      </c>
      <c r="N597">
        <f t="shared" si="38"/>
        <v>9</v>
      </c>
      <c r="O597">
        <f t="shared" si="39"/>
        <v>38</v>
      </c>
      <c r="P597">
        <f t="shared" si="40"/>
        <v>30</v>
      </c>
    </row>
    <row r="598" spans="9:16" ht="15" customHeight="1" x14ac:dyDescent="0.25">
      <c r="I598" s="43" t="s">
        <v>23</v>
      </c>
      <c r="J598" s="43" t="s">
        <v>11</v>
      </c>
      <c r="K598" s="43" t="s">
        <v>1559</v>
      </c>
      <c r="L598" s="43" t="s">
        <v>13</v>
      </c>
      <c r="M598">
        <f t="shared" si="37"/>
        <v>136</v>
      </c>
      <c r="N598">
        <f t="shared" si="38"/>
        <v>32</v>
      </c>
      <c r="O598">
        <f t="shared" si="39"/>
        <v>43</v>
      </c>
      <c r="P598">
        <f t="shared" si="40"/>
        <v>21</v>
      </c>
    </row>
    <row r="599" spans="9:16" ht="15" customHeight="1" x14ac:dyDescent="0.25">
      <c r="I599" s="41" t="s">
        <v>342</v>
      </c>
      <c r="J599" s="41" t="s">
        <v>11</v>
      </c>
      <c r="K599" s="41" t="s">
        <v>1553</v>
      </c>
      <c r="L599" s="41" t="s">
        <v>19</v>
      </c>
      <c r="M599">
        <f t="shared" si="37"/>
        <v>134</v>
      </c>
      <c r="N599">
        <f t="shared" si="38"/>
        <v>32</v>
      </c>
      <c r="O599">
        <f t="shared" si="39"/>
        <v>39</v>
      </c>
      <c r="P599">
        <f t="shared" si="40"/>
        <v>23</v>
      </c>
    </row>
    <row r="600" spans="9:16" ht="15" customHeight="1" x14ac:dyDescent="0.25">
      <c r="I600" s="43" t="s">
        <v>340</v>
      </c>
      <c r="J600" s="43" t="s">
        <v>11</v>
      </c>
      <c r="K600" s="43" t="s">
        <v>1556</v>
      </c>
      <c r="L600" s="43" t="s">
        <v>43</v>
      </c>
      <c r="M600">
        <f t="shared" si="37"/>
        <v>129</v>
      </c>
      <c r="N600">
        <f t="shared" si="38"/>
        <v>32</v>
      </c>
      <c r="O600">
        <f t="shared" si="39"/>
        <v>42</v>
      </c>
      <c r="P600">
        <f t="shared" si="40"/>
        <v>25</v>
      </c>
    </row>
    <row r="601" spans="9:16" ht="15" customHeight="1" x14ac:dyDescent="0.25">
      <c r="I601" s="41" t="s">
        <v>343</v>
      </c>
      <c r="J601" s="41" t="s">
        <v>11</v>
      </c>
      <c r="K601" s="41" t="s">
        <v>1558</v>
      </c>
      <c r="L601" s="41" t="s">
        <v>339</v>
      </c>
      <c r="M601">
        <f t="shared" si="37"/>
        <v>132</v>
      </c>
      <c r="N601">
        <f t="shared" si="38"/>
        <v>32</v>
      </c>
      <c r="O601">
        <f t="shared" si="39"/>
        <v>48</v>
      </c>
      <c r="P601">
        <f t="shared" si="40"/>
        <v>0</v>
      </c>
    </row>
    <row r="602" spans="9:16" ht="15" customHeight="1" x14ac:dyDescent="0.25">
      <c r="I602" s="43" t="s">
        <v>335</v>
      </c>
      <c r="J602" s="43" t="s">
        <v>11</v>
      </c>
      <c r="K602" s="43" t="s">
        <v>1561</v>
      </c>
      <c r="L602" s="43" t="s">
        <v>345</v>
      </c>
      <c r="M602">
        <f t="shared" si="37"/>
        <v>139</v>
      </c>
      <c r="N602">
        <f t="shared" si="38"/>
        <v>32</v>
      </c>
      <c r="O602">
        <f t="shared" si="39"/>
        <v>51</v>
      </c>
      <c r="P602">
        <f t="shared" si="40"/>
        <v>2</v>
      </c>
    </row>
    <row r="603" spans="9:16" ht="15" customHeight="1" x14ac:dyDescent="0.25">
      <c r="I603" s="41" t="s">
        <v>338</v>
      </c>
      <c r="J603" s="41" t="s">
        <v>11</v>
      </c>
      <c r="K603" s="41" t="s">
        <v>1552</v>
      </c>
      <c r="L603" s="41" t="s">
        <v>33</v>
      </c>
      <c r="M603">
        <f t="shared" si="37"/>
        <v>135</v>
      </c>
      <c r="N603">
        <f t="shared" si="38"/>
        <v>32</v>
      </c>
      <c r="O603">
        <f t="shared" si="39"/>
        <v>37</v>
      </c>
      <c r="P603">
        <f t="shared" si="40"/>
        <v>30</v>
      </c>
    </row>
    <row r="604" spans="9:16" ht="15" customHeight="1" x14ac:dyDescent="0.25">
      <c r="I604" s="43" t="s">
        <v>337</v>
      </c>
      <c r="J604" s="43" t="s">
        <v>24</v>
      </c>
      <c r="K604" s="43" t="s">
        <v>1555</v>
      </c>
      <c r="L604" s="43" t="s">
        <v>13</v>
      </c>
      <c r="M604">
        <f t="shared" si="37"/>
        <v>137</v>
      </c>
      <c r="N604">
        <f t="shared" si="38"/>
        <v>9</v>
      </c>
      <c r="O604">
        <f t="shared" si="39"/>
        <v>41</v>
      </c>
      <c r="P604">
        <f t="shared" si="40"/>
        <v>21</v>
      </c>
    </row>
    <row r="605" spans="9:16" ht="15" customHeight="1" x14ac:dyDescent="0.25">
      <c r="I605" s="41" t="s">
        <v>343</v>
      </c>
      <c r="J605" s="41" t="s">
        <v>11</v>
      </c>
      <c r="K605" s="41" t="s">
        <v>1557</v>
      </c>
      <c r="L605" s="41" t="s">
        <v>19</v>
      </c>
      <c r="M605">
        <f t="shared" si="37"/>
        <v>132</v>
      </c>
      <c r="N605">
        <f t="shared" si="38"/>
        <v>32</v>
      </c>
      <c r="O605">
        <f t="shared" si="39"/>
        <v>47</v>
      </c>
      <c r="P605">
        <f t="shared" si="40"/>
        <v>23</v>
      </c>
    </row>
    <row r="606" spans="9:16" ht="15" customHeight="1" x14ac:dyDescent="0.25">
      <c r="I606" s="43" t="s">
        <v>340</v>
      </c>
      <c r="J606" s="43" t="s">
        <v>24</v>
      </c>
      <c r="K606" s="43" t="s">
        <v>1560</v>
      </c>
      <c r="L606" s="43" t="s">
        <v>43</v>
      </c>
      <c r="M606">
        <f t="shared" si="37"/>
        <v>129</v>
      </c>
      <c r="N606">
        <f t="shared" si="38"/>
        <v>9</v>
      </c>
      <c r="O606">
        <f t="shared" si="39"/>
        <v>49</v>
      </c>
      <c r="P606">
        <f t="shared" si="40"/>
        <v>25</v>
      </c>
    </row>
    <row r="607" spans="9:16" ht="15" customHeight="1" x14ac:dyDescent="0.25">
      <c r="I607" s="41" t="s">
        <v>10</v>
      </c>
      <c r="J607" s="41" t="s">
        <v>24</v>
      </c>
      <c r="K607" s="41" t="s">
        <v>12</v>
      </c>
      <c r="L607" s="41" t="s">
        <v>339</v>
      </c>
      <c r="M607">
        <f t="shared" si="37"/>
        <v>143</v>
      </c>
      <c r="N607">
        <f t="shared" si="38"/>
        <v>9</v>
      </c>
      <c r="O607">
        <f t="shared" si="39"/>
        <v>0</v>
      </c>
      <c r="P607">
        <f t="shared" si="40"/>
        <v>0</v>
      </c>
    </row>
    <row r="608" spans="9:16" ht="15" customHeight="1" x14ac:dyDescent="0.25">
      <c r="I608" s="43" t="s">
        <v>344</v>
      </c>
      <c r="J608" s="43" t="s">
        <v>11</v>
      </c>
      <c r="K608" s="43" t="s">
        <v>12</v>
      </c>
      <c r="L608" s="43" t="s">
        <v>345</v>
      </c>
      <c r="M608">
        <f t="shared" si="37"/>
        <v>131</v>
      </c>
      <c r="N608">
        <f t="shared" si="38"/>
        <v>32</v>
      </c>
      <c r="O608">
        <f t="shared" si="39"/>
        <v>0</v>
      </c>
      <c r="P608">
        <f t="shared" si="40"/>
        <v>2</v>
      </c>
    </row>
    <row r="609" spans="9:16" ht="15" customHeight="1" x14ac:dyDescent="0.25">
      <c r="I609" s="41" t="s">
        <v>338</v>
      </c>
      <c r="J609" s="41" t="s">
        <v>24</v>
      </c>
      <c r="K609" s="41" t="s">
        <v>1552</v>
      </c>
      <c r="L609" s="41" t="s">
        <v>33</v>
      </c>
      <c r="M609">
        <f t="shared" si="37"/>
        <v>135</v>
      </c>
      <c r="N609">
        <f t="shared" si="38"/>
        <v>9</v>
      </c>
      <c r="O609">
        <f t="shared" si="39"/>
        <v>37</v>
      </c>
      <c r="P609">
        <f t="shared" si="40"/>
        <v>30</v>
      </c>
    </row>
    <row r="610" spans="9:16" ht="15" customHeight="1" x14ac:dyDescent="0.25">
      <c r="I610" s="43" t="s">
        <v>23</v>
      </c>
      <c r="J610" s="43" t="s">
        <v>11</v>
      </c>
      <c r="K610" s="43" t="s">
        <v>1553</v>
      </c>
      <c r="L610" s="43" t="s">
        <v>13</v>
      </c>
      <c r="M610">
        <f t="shared" si="37"/>
        <v>136</v>
      </c>
      <c r="N610">
        <f t="shared" si="38"/>
        <v>32</v>
      </c>
      <c r="O610">
        <f t="shared" si="39"/>
        <v>39</v>
      </c>
      <c r="P610">
        <f t="shared" si="40"/>
        <v>21</v>
      </c>
    </row>
    <row r="611" spans="9:16" ht="15" customHeight="1" x14ac:dyDescent="0.25">
      <c r="I611" s="41" t="s">
        <v>17</v>
      </c>
      <c r="J611" s="41" t="s">
        <v>11</v>
      </c>
      <c r="K611" s="41" t="s">
        <v>1554</v>
      </c>
      <c r="L611" s="41" t="s">
        <v>19</v>
      </c>
      <c r="M611">
        <f t="shared" si="37"/>
        <v>141</v>
      </c>
      <c r="N611">
        <f t="shared" si="38"/>
        <v>32</v>
      </c>
      <c r="O611">
        <f t="shared" si="39"/>
        <v>38</v>
      </c>
      <c r="P611">
        <f t="shared" si="40"/>
        <v>23</v>
      </c>
    </row>
    <row r="612" spans="9:16" ht="15" customHeight="1" x14ac:dyDescent="0.25">
      <c r="I612" s="43" t="s">
        <v>10</v>
      </c>
      <c r="J612" s="43" t="s">
        <v>11</v>
      </c>
      <c r="K612" s="43" t="s">
        <v>1555</v>
      </c>
      <c r="L612" s="43" t="s">
        <v>43</v>
      </c>
      <c r="M612">
        <f t="shared" si="37"/>
        <v>143</v>
      </c>
      <c r="N612">
        <f t="shared" si="38"/>
        <v>32</v>
      </c>
      <c r="O612">
        <f t="shared" si="39"/>
        <v>41</v>
      </c>
      <c r="P612">
        <f t="shared" si="40"/>
        <v>25</v>
      </c>
    </row>
    <row r="613" spans="9:16" ht="15" customHeight="1" x14ac:dyDescent="0.25">
      <c r="I613" s="41" t="s">
        <v>337</v>
      </c>
      <c r="J613" s="41" t="s">
        <v>11</v>
      </c>
      <c r="K613" s="41" t="s">
        <v>1556</v>
      </c>
      <c r="L613" s="41" t="s">
        <v>339</v>
      </c>
      <c r="M613">
        <f t="shared" si="37"/>
        <v>137</v>
      </c>
      <c r="N613">
        <f t="shared" si="38"/>
        <v>32</v>
      </c>
      <c r="O613">
        <f t="shared" si="39"/>
        <v>42</v>
      </c>
      <c r="P613">
        <f t="shared" si="40"/>
        <v>0</v>
      </c>
    </row>
    <row r="614" spans="9:16" ht="15" customHeight="1" x14ac:dyDescent="0.25">
      <c r="I614" s="43" t="s">
        <v>338</v>
      </c>
      <c r="J614" s="43" t="s">
        <v>24</v>
      </c>
      <c r="K614" s="43" t="s">
        <v>1559</v>
      </c>
      <c r="L614" s="43" t="s">
        <v>345</v>
      </c>
      <c r="M614">
        <f t="shared" si="37"/>
        <v>135</v>
      </c>
      <c r="N614">
        <f t="shared" si="38"/>
        <v>9</v>
      </c>
      <c r="O614">
        <f t="shared" si="39"/>
        <v>43</v>
      </c>
      <c r="P614">
        <f t="shared" si="40"/>
        <v>2</v>
      </c>
    </row>
    <row r="615" spans="9:16" ht="15" customHeight="1" x14ac:dyDescent="0.25">
      <c r="I615" s="41" t="s">
        <v>338</v>
      </c>
      <c r="J615" s="41" t="s">
        <v>11</v>
      </c>
      <c r="K615" s="41" t="s">
        <v>1557</v>
      </c>
      <c r="L615" s="41" t="s">
        <v>33</v>
      </c>
      <c r="M615">
        <f t="shared" si="37"/>
        <v>135</v>
      </c>
      <c r="N615">
        <f t="shared" si="38"/>
        <v>32</v>
      </c>
      <c r="O615">
        <f t="shared" si="39"/>
        <v>47</v>
      </c>
      <c r="P615">
        <f t="shared" si="40"/>
        <v>30</v>
      </c>
    </row>
    <row r="616" spans="9:16" ht="15" customHeight="1" x14ac:dyDescent="0.25">
      <c r="I616" s="43" t="s">
        <v>335</v>
      </c>
      <c r="J616" s="43" t="s">
        <v>24</v>
      </c>
      <c r="K616" s="43" t="s">
        <v>1558</v>
      </c>
      <c r="L616" s="43" t="s">
        <v>13</v>
      </c>
      <c r="M616">
        <f t="shared" si="37"/>
        <v>139</v>
      </c>
      <c r="N616">
        <f t="shared" si="38"/>
        <v>9</v>
      </c>
      <c r="O616">
        <f t="shared" si="39"/>
        <v>48</v>
      </c>
      <c r="P616">
        <f t="shared" si="40"/>
        <v>21</v>
      </c>
    </row>
    <row r="617" spans="9:16" ht="15" customHeight="1" x14ac:dyDescent="0.25">
      <c r="I617" s="41" t="s">
        <v>335</v>
      </c>
      <c r="J617" s="41" t="s">
        <v>11</v>
      </c>
      <c r="K617" s="41" t="s">
        <v>1560</v>
      </c>
      <c r="L617" s="41" t="s">
        <v>19</v>
      </c>
      <c r="M617">
        <f t="shared" si="37"/>
        <v>139</v>
      </c>
      <c r="N617">
        <f t="shared" si="38"/>
        <v>32</v>
      </c>
      <c r="O617">
        <f t="shared" si="39"/>
        <v>49</v>
      </c>
      <c r="P617">
        <f t="shared" si="40"/>
        <v>23</v>
      </c>
    </row>
    <row r="618" spans="9:16" ht="15" customHeight="1" x14ac:dyDescent="0.25">
      <c r="I618" s="43" t="s">
        <v>342</v>
      </c>
      <c r="J618" s="43" t="s">
        <v>11</v>
      </c>
      <c r="K618" s="43" t="s">
        <v>1561</v>
      </c>
      <c r="L618" s="43" t="s">
        <v>43</v>
      </c>
      <c r="M618">
        <f t="shared" si="37"/>
        <v>134</v>
      </c>
      <c r="N618">
        <f t="shared" si="38"/>
        <v>32</v>
      </c>
      <c r="O618">
        <f t="shared" si="39"/>
        <v>51</v>
      </c>
      <c r="P618">
        <f t="shared" si="40"/>
        <v>25</v>
      </c>
    </row>
    <row r="619" spans="9:16" ht="15" customHeight="1" x14ac:dyDescent="0.25">
      <c r="I619" s="41" t="s">
        <v>342</v>
      </c>
      <c r="J619" s="41" t="s">
        <v>11</v>
      </c>
      <c r="K619" s="41" t="s">
        <v>1561</v>
      </c>
      <c r="L619" s="41" t="s">
        <v>339</v>
      </c>
      <c r="M619">
        <f t="shared" si="37"/>
        <v>134</v>
      </c>
      <c r="N619">
        <f t="shared" si="38"/>
        <v>32</v>
      </c>
      <c r="O619">
        <f t="shared" si="39"/>
        <v>51</v>
      </c>
      <c r="P619">
        <f t="shared" si="40"/>
        <v>0</v>
      </c>
    </row>
    <row r="620" spans="9:16" ht="15" customHeight="1" x14ac:dyDescent="0.25">
      <c r="I620" s="43" t="s">
        <v>10</v>
      </c>
      <c r="J620" s="43" t="s">
        <v>24</v>
      </c>
      <c r="K620" s="43" t="s">
        <v>1560</v>
      </c>
      <c r="L620" s="43" t="s">
        <v>345</v>
      </c>
      <c r="M620">
        <f t="shared" si="37"/>
        <v>143</v>
      </c>
      <c r="N620">
        <f t="shared" si="38"/>
        <v>9</v>
      </c>
      <c r="O620">
        <f t="shared" si="39"/>
        <v>49</v>
      </c>
      <c r="P620">
        <f t="shared" si="40"/>
        <v>2</v>
      </c>
    </row>
    <row r="621" spans="9:16" ht="15" customHeight="1" x14ac:dyDescent="0.25">
      <c r="I621" s="41" t="s">
        <v>17</v>
      </c>
      <c r="J621" s="41" t="s">
        <v>11</v>
      </c>
      <c r="K621" s="41" t="s">
        <v>1558</v>
      </c>
      <c r="L621" s="41" t="s">
        <v>33</v>
      </c>
      <c r="M621">
        <f t="shared" si="37"/>
        <v>141</v>
      </c>
      <c r="N621">
        <f t="shared" si="38"/>
        <v>32</v>
      </c>
      <c r="O621">
        <f t="shared" si="39"/>
        <v>48</v>
      </c>
      <c r="P621">
        <f t="shared" si="40"/>
        <v>30</v>
      </c>
    </row>
    <row r="622" spans="9:16" ht="15" customHeight="1" x14ac:dyDescent="0.25">
      <c r="I622" s="43" t="s">
        <v>10</v>
      </c>
      <c r="J622" s="43" t="s">
        <v>11</v>
      </c>
      <c r="K622" s="43" t="s">
        <v>1557</v>
      </c>
      <c r="L622" s="43" t="s">
        <v>13</v>
      </c>
      <c r="M622">
        <f t="shared" si="37"/>
        <v>143</v>
      </c>
      <c r="N622">
        <f t="shared" si="38"/>
        <v>32</v>
      </c>
      <c r="O622">
        <f t="shared" si="39"/>
        <v>47</v>
      </c>
      <c r="P622">
        <f t="shared" si="40"/>
        <v>21</v>
      </c>
    </row>
    <row r="623" spans="9:16" ht="15" customHeight="1" x14ac:dyDescent="0.25">
      <c r="I623" s="41" t="s">
        <v>23</v>
      </c>
      <c r="J623" s="41" t="s">
        <v>11</v>
      </c>
      <c r="K623" s="41" t="s">
        <v>1559</v>
      </c>
      <c r="L623" s="41" t="s">
        <v>19</v>
      </c>
      <c r="M623">
        <f t="shared" si="37"/>
        <v>136</v>
      </c>
      <c r="N623">
        <f t="shared" si="38"/>
        <v>32</v>
      </c>
      <c r="O623">
        <f t="shared" si="39"/>
        <v>43</v>
      </c>
      <c r="P623">
        <f t="shared" si="40"/>
        <v>23</v>
      </c>
    </row>
    <row r="624" spans="9:16" ht="15" customHeight="1" x14ac:dyDescent="0.25">
      <c r="I624" s="43" t="s">
        <v>17</v>
      </c>
      <c r="J624" s="43" t="s">
        <v>11</v>
      </c>
      <c r="K624" s="43" t="s">
        <v>1556</v>
      </c>
      <c r="L624" s="43" t="s">
        <v>43</v>
      </c>
      <c r="M624">
        <f t="shared" si="37"/>
        <v>141</v>
      </c>
      <c r="N624">
        <f t="shared" si="38"/>
        <v>32</v>
      </c>
      <c r="O624">
        <f t="shared" si="39"/>
        <v>42</v>
      </c>
      <c r="P624">
        <f t="shared" si="40"/>
        <v>25</v>
      </c>
    </row>
    <row r="625" spans="9:16" ht="15" customHeight="1" x14ac:dyDescent="0.25">
      <c r="I625" s="41" t="s">
        <v>337</v>
      </c>
      <c r="J625" s="41" t="s">
        <v>24</v>
      </c>
      <c r="K625" s="41" t="s">
        <v>1555</v>
      </c>
      <c r="L625" s="41" t="s">
        <v>339</v>
      </c>
      <c r="M625">
        <f t="shared" si="37"/>
        <v>137</v>
      </c>
      <c r="N625">
        <f t="shared" si="38"/>
        <v>9</v>
      </c>
      <c r="O625">
        <f t="shared" si="39"/>
        <v>41</v>
      </c>
      <c r="P625">
        <f t="shared" si="40"/>
        <v>0</v>
      </c>
    </row>
    <row r="626" spans="9:16" ht="15" customHeight="1" x14ac:dyDescent="0.25">
      <c r="I626" s="43" t="s">
        <v>338</v>
      </c>
      <c r="J626" s="43" t="s">
        <v>11</v>
      </c>
      <c r="K626" s="43" t="s">
        <v>1554</v>
      </c>
      <c r="L626" s="43" t="s">
        <v>345</v>
      </c>
      <c r="M626">
        <f t="shared" si="37"/>
        <v>135</v>
      </c>
      <c r="N626">
        <f t="shared" si="38"/>
        <v>32</v>
      </c>
      <c r="O626">
        <f t="shared" si="39"/>
        <v>38</v>
      </c>
      <c r="P626">
        <f t="shared" si="40"/>
        <v>2</v>
      </c>
    </row>
    <row r="627" spans="9:16" ht="15" customHeight="1" x14ac:dyDescent="0.25">
      <c r="I627" s="41" t="s">
        <v>335</v>
      </c>
      <c r="J627" s="41" t="s">
        <v>24</v>
      </c>
      <c r="K627" s="41" t="s">
        <v>1553</v>
      </c>
      <c r="L627" s="41" t="s">
        <v>33</v>
      </c>
      <c r="M627">
        <f t="shared" si="37"/>
        <v>139</v>
      </c>
      <c r="N627">
        <f t="shared" si="38"/>
        <v>9</v>
      </c>
      <c r="O627">
        <f t="shared" si="39"/>
        <v>39</v>
      </c>
      <c r="P627">
        <f t="shared" si="40"/>
        <v>30</v>
      </c>
    </row>
    <row r="628" spans="9:16" ht="15" customHeight="1" x14ac:dyDescent="0.25">
      <c r="I628" s="43" t="s">
        <v>342</v>
      </c>
      <c r="J628" s="43" t="s">
        <v>11</v>
      </c>
      <c r="K628" s="43" t="s">
        <v>1552</v>
      </c>
      <c r="L628" s="43" t="s">
        <v>13</v>
      </c>
      <c r="M628">
        <f t="shared" si="37"/>
        <v>134</v>
      </c>
      <c r="N628">
        <f t="shared" si="38"/>
        <v>32</v>
      </c>
      <c r="O628">
        <f t="shared" si="39"/>
        <v>37</v>
      </c>
      <c r="P628">
        <f t="shared" si="40"/>
        <v>21</v>
      </c>
    </row>
    <row r="629" spans="9:16" ht="15" customHeight="1" x14ac:dyDescent="0.25">
      <c r="I629" s="41" t="s">
        <v>23</v>
      </c>
      <c r="J629" s="41" t="s">
        <v>11</v>
      </c>
      <c r="K629" s="41" t="s">
        <v>12</v>
      </c>
      <c r="L629" s="41" t="s">
        <v>19</v>
      </c>
      <c r="M629">
        <f t="shared" si="37"/>
        <v>136</v>
      </c>
      <c r="N629">
        <f t="shared" si="38"/>
        <v>32</v>
      </c>
      <c r="O629">
        <f t="shared" si="39"/>
        <v>0</v>
      </c>
      <c r="P629">
        <f t="shared" si="40"/>
        <v>23</v>
      </c>
    </row>
    <row r="630" spans="9:16" ht="15" customHeight="1" x14ac:dyDescent="0.25">
      <c r="I630" s="43" t="s">
        <v>17</v>
      </c>
      <c r="J630" s="43" t="s">
        <v>11</v>
      </c>
      <c r="K630" s="43" t="s">
        <v>12</v>
      </c>
      <c r="L630" s="43" t="s">
        <v>43</v>
      </c>
      <c r="M630">
        <f t="shared" si="37"/>
        <v>141</v>
      </c>
      <c r="N630">
        <f t="shared" si="38"/>
        <v>32</v>
      </c>
      <c r="O630">
        <f t="shared" si="39"/>
        <v>0</v>
      </c>
      <c r="P630">
        <f t="shared" si="40"/>
        <v>25</v>
      </c>
    </row>
    <row r="631" spans="9:16" ht="15" customHeight="1" x14ac:dyDescent="0.25">
      <c r="I631" s="41" t="s">
        <v>10</v>
      </c>
      <c r="J631" s="41" t="s">
        <v>24</v>
      </c>
      <c r="K631" s="41" t="s">
        <v>1552</v>
      </c>
      <c r="L631" s="41" t="s">
        <v>339</v>
      </c>
      <c r="M631">
        <f t="shared" si="37"/>
        <v>143</v>
      </c>
      <c r="N631">
        <f t="shared" si="38"/>
        <v>9</v>
      </c>
      <c r="O631">
        <f t="shared" si="39"/>
        <v>37</v>
      </c>
      <c r="P631">
        <f t="shared" si="40"/>
        <v>0</v>
      </c>
    </row>
    <row r="632" spans="9:16" ht="15" customHeight="1" x14ac:dyDescent="0.25">
      <c r="I632" s="43" t="s">
        <v>343</v>
      </c>
      <c r="J632" s="43" t="s">
        <v>11</v>
      </c>
      <c r="K632" s="43" t="s">
        <v>1555</v>
      </c>
      <c r="L632" s="43" t="s">
        <v>345</v>
      </c>
      <c r="M632">
        <f t="shared" si="37"/>
        <v>132</v>
      </c>
      <c r="N632">
        <f t="shared" si="38"/>
        <v>32</v>
      </c>
      <c r="O632">
        <f t="shared" si="39"/>
        <v>41</v>
      </c>
      <c r="P632">
        <f t="shared" si="40"/>
        <v>2</v>
      </c>
    </row>
    <row r="633" spans="9:16" ht="15" customHeight="1" x14ac:dyDescent="0.25">
      <c r="I633" s="41" t="s">
        <v>340</v>
      </c>
      <c r="J633" s="41" t="s">
        <v>24</v>
      </c>
      <c r="K633" s="41" t="s">
        <v>1557</v>
      </c>
      <c r="L633" s="41" t="s">
        <v>33</v>
      </c>
      <c r="M633">
        <f t="shared" si="37"/>
        <v>129</v>
      </c>
      <c r="N633">
        <f t="shared" si="38"/>
        <v>9</v>
      </c>
      <c r="O633">
        <f t="shared" si="39"/>
        <v>47</v>
      </c>
      <c r="P633">
        <f t="shared" si="40"/>
        <v>30</v>
      </c>
    </row>
    <row r="634" spans="9:16" ht="15" customHeight="1" x14ac:dyDescent="0.25">
      <c r="I634" s="43" t="s">
        <v>344</v>
      </c>
      <c r="J634" s="43" t="s">
        <v>11</v>
      </c>
      <c r="K634" s="43" t="s">
        <v>1560</v>
      </c>
      <c r="L634" s="43" t="s">
        <v>13</v>
      </c>
      <c r="M634">
        <f t="shared" si="37"/>
        <v>131</v>
      </c>
      <c r="N634">
        <f t="shared" si="38"/>
        <v>32</v>
      </c>
      <c r="O634">
        <f t="shared" si="39"/>
        <v>49</v>
      </c>
      <c r="P634">
        <f t="shared" si="40"/>
        <v>21</v>
      </c>
    </row>
    <row r="635" spans="9:16" ht="15" customHeight="1" x14ac:dyDescent="0.25">
      <c r="I635" s="41" t="s">
        <v>335</v>
      </c>
      <c r="J635" s="41" t="s">
        <v>24</v>
      </c>
      <c r="K635" s="41" t="s">
        <v>1553</v>
      </c>
      <c r="L635" s="41" t="s">
        <v>19</v>
      </c>
      <c r="M635">
        <f t="shared" si="37"/>
        <v>139</v>
      </c>
      <c r="N635">
        <f t="shared" si="38"/>
        <v>9</v>
      </c>
      <c r="O635">
        <f t="shared" si="39"/>
        <v>39</v>
      </c>
      <c r="P635">
        <f t="shared" si="40"/>
        <v>23</v>
      </c>
    </row>
    <row r="636" spans="9:16" ht="15" customHeight="1" x14ac:dyDescent="0.25">
      <c r="I636" s="43" t="s">
        <v>343</v>
      </c>
      <c r="J636" s="43" t="s">
        <v>11</v>
      </c>
      <c r="K636" s="43" t="s">
        <v>1556</v>
      </c>
      <c r="L636" s="43" t="s">
        <v>43</v>
      </c>
      <c r="M636">
        <f t="shared" si="37"/>
        <v>132</v>
      </c>
      <c r="N636">
        <f t="shared" si="38"/>
        <v>32</v>
      </c>
      <c r="O636">
        <f t="shared" si="39"/>
        <v>42</v>
      </c>
      <c r="P636">
        <f t="shared" si="40"/>
        <v>25</v>
      </c>
    </row>
    <row r="637" spans="9:16" ht="15" customHeight="1" x14ac:dyDescent="0.25">
      <c r="I637" s="41" t="s">
        <v>340</v>
      </c>
      <c r="J637" s="41" t="s">
        <v>24</v>
      </c>
      <c r="K637" s="41" t="s">
        <v>1558</v>
      </c>
      <c r="L637" s="41" t="s">
        <v>339</v>
      </c>
      <c r="M637">
        <f t="shared" si="37"/>
        <v>129</v>
      </c>
      <c r="N637">
        <f t="shared" si="38"/>
        <v>9</v>
      </c>
      <c r="O637">
        <f t="shared" si="39"/>
        <v>48</v>
      </c>
      <c r="P637">
        <f t="shared" si="40"/>
        <v>0</v>
      </c>
    </row>
    <row r="638" spans="9:16" ht="15" customHeight="1" x14ac:dyDescent="0.25">
      <c r="I638" s="43" t="s">
        <v>344</v>
      </c>
      <c r="J638" s="43" t="s">
        <v>11</v>
      </c>
      <c r="K638" s="43" t="s">
        <v>1561</v>
      </c>
      <c r="L638" s="43" t="s">
        <v>345</v>
      </c>
      <c r="M638">
        <f t="shared" si="37"/>
        <v>131</v>
      </c>
      <c r="N638">
        <f t="shared" si="38"/>
        <v>32</v>
      </c>
      <c r="O638">
        <f t="shared" si="39"/>
        <v>51</v>
      </c>
      <c r="P638">
        <f t="shared" si="40"/>
        <v>2</v>
      </c>
    </row>
    <row r="639" spans="9:16" ht="15" customHeight="1" x14ac:dyDescent="0.25">
      <c r="I639" s="41" t="s">
        <v>337</v>
      </c>
      <c r="J639" s="41" t="s">
        <v>24</v>
      </c>
      <c r="K639" s="41" t="s">
        <v>1554</v>
      </c>
      <c r="L639" s="41" t="s">
        <v>33</v>
      </c>
      <c r="M639">
        <f t="shared" si="37"/>
        <v>137</v>
      </c>
      <c r="N639">
        <f t="shared" si="38"/>
        <v>9</v>
      </c>
      <c r="O639">
        <f t="shared" si="39"/>
        <v>38</v>
      </c>
      <c r="P639">
        <f t="shared" si="40"/>
        <v>30</v>
      </c>
    </row>
    <row r="640" spans="9:16" ht="15" customHeight="1" x14ac:dyDescent="0.25">
      <c r="I640" s="43" t="s">
        <v>338</v>
      </c>
      <c r="J640" s="43" t="s">
        <v>11</v>
      </c>
      <c r="K640" s="43" t="s">
        <v>1559</v>
      </c>
      <c r="L640" s="43" t="s">
        <v>13</v>
      </c>
      <c r="M640">
        <f t="shared" si="37"/>
        <v>135</v>
      </c>
      <c r="N640">
        <f t="shared" si="38"/>
        <v>32</v>
      </c>
      <c r="O640">
        <f t="shared" si="39"/>
        <v>43</v>
      </c>
      <c r="P640">
        <f t="shared" si="40"/>
        <v>21</v>
      </c>
    </row>
    <row r="641" spans="9:16" ht="15" customHeight="1" x14ac:dyDescent="0.25">
      <c r="I641" s="41" t="s">
        <v>335</v>
      </c>
      <c r="J641" s="41" t="s">
        <v>24</v>
      </c>
      <c r="K641" s="41" t="s">
        <v>1554</v>
      </c>
      <c r="L641" s="41" t="s">
        <v>19</v>
      </c>
      <c r="M641">
        <f t="shared" si="37"/>
        <v>139</v>
      </c>
      <c r="N641">
        <f t="shared" si="38"/>
        <v>9</v>
      </c>
      <c r="O641">
        <f t="shared" si="39"/>
        <v>38</v>
      </c>
      <c r="P641">
        <f t="shared" si="40"/>
        <v>23</v>
      </c>
    </row>
    <row r="642" spans="9:16" ht="15" customHeight="1" x14ac:dyDescent="0.25">
      <c r="I642" s="43" t="s">
        <v>343</v>
      </c>
      <c r="J642" s="43" t="s">
        <v>11</v>
      </c>
      <c r="K642" s="43" t="s">
        <v>1559</v>
      </c>
      <c r="L642" s="43" t="s">
        <v>43</v>
      </c>
      <c r="M642">
        <f t="shared" si="37"/>
        <v>132</v>
      </c>
      <c r="N642">
        <f t="shared" si="38"/>
        <v>32</v>
      </c>
      <c r="O642">
        <f t="shared" si="39"/>
        <v>43</v>
      </c>
      <c r="P642">
        <f t="shared" si="40"/>
        <v>25</v>
      </c>
    </row>
    <row r="643" spans="9:16" ht="15" customHeight="1" x14ac:dyDescent="0.25">
      <c r="I643" s="41" t="s">
        <v>340</v>
      </c>
      <c r="J643" s="41" t="s">
        <v>24</v>
      </c>
      <c r="K643" s="41" t="s">
        <v>1553</v>
      </c>
      <c r="L643" s="41" t="s">
        <v>339</v>
      </c>
      <c r="M643">
        <f t="shared" si="37"/>
        <v>129</v>
      </c>
      <c r="N643">
        <f t="shared" si="38"/>
        <v>9</v>
      </c>
      <c r="O643">
        <f t="shared" si="39"/>
        <v>39</v>
      </c>
      <c r="P643">
        <f t="shared" si="40"/>
        <v>0</v>
      </c>
    </row>
    <row r="644" spans="9:16" ht="15" customHeight="1" x14ac:dyDescent="0.25">
      <c r="I644" s="43" t="s">
        <v>342</v>
      </c>
      <c r="J644" s="43" t="s">
        <v>11</v>
      </c>
      <c r="K644" s="43" t="s">
        <v>1556</v>
      </c>
      <c r="L644" s="43" t="s">
        <v>345</v>
      </c>
      <c r="M644">
        <f t="shared" si="37"/>
        <v>134</v>
      </c>
      <c r="N644">
        <f t="shared" si="38"/>
        <v>32</v>
      </c>
      <c r="O644">
        <f t="shared" si="39"/>
        <v>42</v>
      </c>
      <c r="P644">
        <f t="shared" si="40"/>
        <v>2</v>
      </c>
    </row>
    <row r="645" spans="9:16" ht="15" customHeight="1" x14ac:dyDescent="0.25">
      <c r="I645" s="41" t="s">
        <v>23</v>
      </c>
      <c r="J645" s="41" t="s">
        <v>24</v>
      </c>
      <c r="K645" s="41" t="s">
        <v>1558</v>
      </c>
      <c r="L645" s="41" t="s">
        <v>33</v>
      </c>
      <c r="M645">
        <f t="shared" si="37"/>
        <v>136</v>
      </c>
      <c r="N645">
        <f t="shared" si="38"/>
        <v>9</v>
      </c>
      <c r="O645">
        <f t="shared" si="39"/>
        <v>48</v>
      </c>
      <c r="P645">
        <f t="shared" si="40"/>
        <v>30</v>
      </c>
    </row>
    <row r="646" spans="9:16" ht="15" customHeight="1" x14ac:dyDescent="0.25">
      <c r="I646" s="43" t="s">
        <v>17</v>
      </c>
      <c r="J646" s="43" t="s">
        <v>11</v>
      </c>
      <c r="K646" s="43" t="s">
        <v>1561</v>
      </c>
      <c r="L646" s="43" t="s">
        <v>13</v>
      </c>
      <c r="M646">
        <f t="shared" si="37"/>
        <v>141</v>
      </c>
      <c r="N646">
        <f t="shared" si="38"/>
        <v>32</v>
      </c>
      <c r="O646">
        <f t="shared" si="39"/>
        <v>51</v>
      </c>
      <c r="P646">
        <f t="shared" si="40"/>
        <v>21</v>
      </c>
    </row>
    <row r="647" spans="9:16" ht="15" customHeight="1" x14ac:dyDescent="0.25">
      <c r="I647" s="41" t="s">
        <v>10</v>
      </c>
      <c r="J647" s="41" t="s">
        <v>24</v>
      </c>
      <c r="K647" s="41" t="s">
        <v>1552</v>
      </c>
      <c r="L647" s="41" t="s">
        <v>19</v>
      </c>
      <c r="M647">
        <f t="shared" si="37"/>
        <v>143</v>
      </c>
      <c r="N647">
        <f t="shared" si="38"/>
        <v>9</v>
      </c>
      <c r="O647">
        <f t="shared" si="39"/>
        <v>37</v>
      </c>
      <c r="P647">
        <f t="shared" si="40"/>
        <v>23</v>
      </c>
    </row>
    <row r="648" spans="9:16" ht="15" customHeight="1" x14ac:dyDescent="0.25">
      <c r="I648" s="43" t="s">
        <v>344</v>
      </c>
      <c r="J648" s="43" t="s">
        <v>11</v>
      </c>
      <c r="K648" s="43" t="s">
        <v>1555</v>
      </c>
      <c r="L648" s="43" t="s">
        <v>43</v>
      </c>
      <c r="M648">
        <f t="shared" si="37"/>
        <v>131</v>
      </c>
      <c r="N648">
        <f t="shared" si="38"/>
        <v>32</v>
      </c>
      <c r="O648">
        <f t="shared" si="39"/>
        <v>41</v>
      </c>
      <c r="P648">
        <f t="shared" si="40"/>
        <v>25</v>
      </c>
    </row>
    <row r="649" spans="9:16" ht="15" customHeight="1" x14ac:dyDescent="0.25">
      <c r="I649" s="41" t="s">
        <v>344</v>
      </c>
      <c r="J649" s="41" t="s">
        <v>24</v>
      </c>
      <c r="K649" s="41" t="s">
        <v>1557</v>
      </c>
      <c r="L649" s="41" t="s">
        <v>339</v>
      </c>
      <c r="M649">
        <f t="shared" si="37"/>
        <v>131</v>
      </c>
      <c r="N649">
        <f t="shared" si="38"/>
        <v>9</v>
      </c>
      <c r="O649">
        <f t="shared" si="39"/>
        <v>47</v>
      </c>
      <c r="P649">
        <f t="shared" si="40"/>
        <v>0</v>
      </c>
    </row>
    <row r="650" spans="9:16" ht="15" customHeight="1" x14ac:dyDescent="0.25">
      <c r="I650" s="43" t="s">
        <v>10</v>
      </c>
      <c r="J650" s="43" t="s">
        <v>11</v>
      </c>
      <c r="K650" s="43" t="s">
        <v>1560</v>
      </c>
      <c r="L650" s="43" t="s">
        <v>345</v>
      </c>
      <c r="M650">
        <f t="shared" si="37"/>
        <v>143</v>
      </c>
      <c r="N650">
        <f t="shared" si="38"/>
        <v>32</v>
      </c>
      <c r="O650">
        <f t="shared" si="39"/>
        <v>49</v>
      </c>
      <c r="P650">
        <f t="shared" si="40"/>
        <v>2</v>
      </c>
    </row>
    <row r="651" spans="9:16" ht="15" customHeight="1" x14ac:dyDescent="0.25">
      <c r="I651" s="41" t="s">
        <v>17</v>
      </c>
      <c r="J651" s="41" t="s">
        <v>24</v>
      </c>
      <c r="K651" s="41" t="s">
        <v>12</v>
      </c>
      <c r="L651" s="41" t="s">
        <v>33</v>
      </c>
      <c r="M651">
        <f t="shared" si="37"/>
        <v>141</v>
      </c>
      <c r="N651">
        <f t="shared" si="38"/>
        <v>9</v>
      </c>
      <c r="O651">
        <f t="shared" si="39"/>
        <v>0</v>
      </c>
      <c r="P651">
        <f t="shared" si="40"/>
        <v>30</v>
      </c>
    </row>
    <row r="652" spans="9:16" ht="15" customHeight="1" x14ac:dyDescent="0.25">
      <c r="I652" s="43" t="s">
        <v>23</v>
      </c>
      <c r="J652" s="43" t="s">
        <v>11</v>
      </c>
      <c r="K652" s="43" t="s">
        <v>12</v>
      </c>
      <c r="L652" s="43" t="s">
        <v>13</v>
      </c>
      <c r="M652">
        <f t="shared" ref="M652:M715" si="41">_xlfn.XLOOKUP(I652,$C$9:$C$37,$D$9:$D$37,2,0)</f>
        <v>136</v>
      </c>
      <c r="N652">
        <f t="shared" ref="N652:N715" si="42">_xlfn.XLOOKUP(J652,$C$9:$C$37,$D$9:$D$37,2,0)</f>
        <v>32</v>
      </c>
      <c r="O652">
        <f t="shared" ref="O652:O715" si="43">_xlfn.XLOOKUP(K652,$C$9:$C$37,$D$9:$D$37,2,0)</f>
        <v>0</v>
      </c>
      <c r="P652">
        <f t="shared" ref="P652:P715" si="44">_xlfn.XLOOKUP(L652,$C$9:$C$37,$D$9:$D$37,2,0)</f>
        <v>21</v>
      </c>
    </row>
    <row r="653" spans="9:16" ht="15" customHeight="1" x14ac:dyDescent="0.25">
      <c r="I653" s="41" t="s">
        <v>342</v>
      </c>
      <c r="J653" s="41" t="s">
        <v>24</v>
      </c>
      <c r="K653" s="41" t="s">
        <v>1552</v>
      </c>
      <c r="L653" s="41" t="s">
        <v>19</v>
      </c>
      <c r="M653">
        <f t="shared" si="41"/>
        <v>134</v>
      </c>
      <c r="N653">
        <f t="shared" si="42"/>
        <v>9</v>
      </c>
      <c r="O653">
        <f t="shared" si="43"/>
        <v>37</v>
      </c>
      <c r="P653">
        <f t="shared" si="44"/>
        <v>23</v>
      </c>
    </row>
    <row r="654" spans="9:16" ht="15" customHeight="1" x14ac:dyDescent="0.25">
      <c r="I654" s="43" t="s">
        <v>340</v>
      </c>
      <c r="J654" s="43" t="s">
        <v>11</v>
      </c>
      <c r="K654" s="43" t="s">
        <v>1553</v>
      </c>
      <c r="L654" s="43" t="s">
        <v>43</v>
      </c>
      <c r="M654">
        <f t="shared" si="41"/>
        <v>129</v>
      </c>
      <c r="N654">
        <f t="shared" si="42"/>
        <v>32</v>
      </c>
      <c r="O654">
        <f t="shared" si="43"/>
        <v>39</v>
      </c>
      <c r="P654">
        <f t="shared" si="44"/>
        <v>25</v>
      </c>
    </row>
    <row r="655" spans="9:16" ht="15" customHeight="1" x14ac:dyDescent="0.25">
      <c r="I655" s="41" t="s">
        <v>343</v>
      </c>
      <c r="J655" s="41" t="s">
        <v>24</v>
      </c>
      <c r="K655" s="41" t="s">
        <v>1554</v>
      </c>
      <c r="L655" s="41" t="s">
        <v>339</v>
      </c>
      <c r="M655">
        <f t="shared" si="41"/>
        <v>132</v>
      </c>
      <c r="N655">
        <f t="shared" si="42"/>
        <v>9</v>
      </c>
      <c r="O655">
        <f t="shared" si="43"/>
        <v>38</v>
      </c>
      <c r="P655">
        <f t="shared" si="44"/>
        <v>0</v>
      </c>
    </row>
    <row r="656" spans="9:16" ht="15" customHeight="1" x14ac:dyDescent="0.25">
      <c r="I656" s="43" t="s">
        <v>335</v>
      </c>
      <c r="J656" s="43" t="s">
        <v>11</v>
      </c>
      <c r="K656" s="43" t="s">
        <v>1555</v>
      </c>
      <c r="L656" s="43" t="s">
        <v>345</v>
      </c>
      <c r="M656">
        <f t="shared" si="41"/>
        <v>139</v>
      </c>
      <c r="N656">
        <f t="shared" si="42"/>
        <v>32</v>
      </c>
      <c r="O656">
        <f t="shared" si="43"/>
        <v>41</v>
      </c>
      <c r="P656">
        <f t="shared" si="44"/>
        <v>2</v>
      </c>
    </row>
    <row r="657" spans="9:16" ht="15" customHeight="1" x14ac:dyDescent="0.25">
      <c r="I657" s="41" t="s">
        <v>338</v>
      </c>
      <c r="J657" s="41" t="s">
        <v>24</v>
      </c>
      <c r="K657" s="41" t="s">
        <v>1556</v>
      </c>
      <c r="L657" s="41" t="s">
        <v>33</v>
      </c>
      <c r="M657">
        <f t="shared" si="41"/>
        <v>135</v>
      </c>
      <c r="N657">
        <f t="shared" si="42"/>
        <v>9</v>
      </c>
      <c r="O657">
        <f t="shared" si="43"/>
        <v>42</v>
      </c>
      <c r="P657">
        <f t="shared" si="44"/>
        <v>30</v>
      </c>
    </row>
    <row r="658" spans="9:16" ht="15" customHeight="1" x14ac:dyDescent="0.25">
      <c r="I658" s="43" t="s">
        <v>337</v>
      </c>
      <c r="J658" s="43" t="s">
        <v>11</v>
      </c>
      <c r="K658" s="43" t="s">
        <v>1559</v>
      </c>
      <c r="L658" s="43" t="s">
        <v>13</v>
      </c>
      <c r="M658">
        <f t="shared" si="41"/>
        <v>137</v>
      </c>
      <c r="N658">
        <f t="shared" si="42"/>
        <v>32</v>
      </c>
      <c r="O658">
        <f t="shared" si="43"/>
        <v>43</v>
      </c>
      <c r="P658">
        <f t="shared" si="44"/>
        <v>21</v>
      </c>
    </row>
    <row r="659" spans="9:16" ht="15" customHeight="1" x14ac:dyDescent="0.25">
      <c r="I659" s="41" t="s">
        <v>343</v>
      </c>
      <c r="J659" s="41" t="s">
        <v>11</v>
      </c>
      <c r="K659" s="41" t="s">
        <v>1557</v>
      </c>
      <c r="L659" s="41" t="s">
        <v>19</v>
      </c>
      <c r="M659">
        <f t="shared" si="41"/>
        <v>132</v>
      </c>
      <c r="N659">
        <f t="shared" si="42"/>
        <v>32</v>
      </c>
      <c r="O659">
        <f t="shared" si="43"/>
        <v>47</v>
      </c>
      <c r="P659">
        <f t="shared" si="44"/>
        <v>23</v>
      </c>
    </row>
    <row r="660" spans="9:16" ht="15" customHeight="1" x14ac:dyDescent="0.25">
      <c r="I660" s="43" t="s">
        <v>340</v>
      </c>
      <c r="J660" s="43" t="s">
        <v>11</v>
      </c>
      <c r="K660" s="43" t="s">
        <v>1558</v>
      </c>
      <c r="L660" s="43" t="s">
        <v>43</v>
      </c>
      <c r="M660">
        <f t="shared" si="41"/>
        <v>129</v>
      </c>
      <c r="N660">
        <f t="shared" si="42"/>
        <v>32</v>
      </c>
      <c r="O660">
        <f t="shared" si="43"/>
        <v>48</v>
      </c>
      <c r="P660">
        <f t="shared" si="44"/>
        <v>25</v>
      </c>
    </row>
    <row r="661" spans="9:16" ht="15" customHeight="1" x14ac:dyDescent="0.25">
      <c r="I661" s="41" t="s">
        <v>10</v>
      </c>
      <c r="J661" s="41" t="s">
        <v>11</v>
      </c>
      <c r="K661" s="41" t="s">
        <v>1560</v>
      </c>
      <c r="L661" s="41" t="s">
        <v>339</v>
      </c>
      <c r="M661">
        <f t="shared" si="41"/>
        <v>143</v>
      </c>
      <c r="N661">
        <f t="shared" si="42"/>
        <v>32</v>
      </c>
      <c r="O661">
        <f t="shared" si="43"/>
        <v>49</v>
      </c>
      <c r="P661">
        <f t="shared" si="44"/>
        <v>0</v>
      </c>
    </row>
    <row r="662" spans="9:16" ht="15" customHeight="1" x14ac:dyDescent="0.25">
      <c r="I662" s="43" t="s">
        <v>344</v>
      </c>
      <c r="J662" s="43" t="s">
        <v>11</v>
      </c>
      <c r="K662" s="43" t="s">
        <v>1561</v>
      </c>
      <c r="L662" s="43" t="s">
        <v>345</v>
      </c>
      <c r="M662">
        <f t="shared" si="41"/>
        <v>131</v>
      </c>
      <c r="N662">
        <f t="shared" si="42"/>
        <v>32</v>
      </c>
      <c r="O662">
        <f t="shared" si="43"/>
        <v>51</v>
      </c>
      <c r="P662">
        <f t="shared" si="44"/>
        <v>2</v>
      </c>
    </row>
    <row r="663" spans="9:16" ht="15" customHeight="1" x14ac:dyDescent="0.25">
      <c r="I663" s="41" t="s">
        <v>338</v>
      </c>
      <c r="J663" s="41" t="s">
        <v>11</v>
      </c>
      <c r="K663" s="41" t="s">
        <v>1561</v>
      </c>
      <c r="L663" s="41" t="s">
        <v>33</v>
      </c>
      <c r="M663">
        <f t="shared" si="41"/>
        <v>135</v>
      </c>
      <c r="N663">
        <f t="shared" si="42"/>
        <v>32</v>
      </c>
      <c r="O663">
        <f t="shared" si="43"/>
        <v>51</v>
      </c>
      <c r="P663">
        <f t="shared" si="44"/>
        <v>30</v>
      </c>
    </row>
    <row r="664" spans="9:16" ht="15" customHeight="1" x14ac:dyDescent="0.25">
      <c r="I664" s="43" t="s">
        <v>23</v>
      </c>
      <c r="J664" s="43" t="s">
        <v>11</v>
      </c>
      <c r="K664" s="43" t="s">
        <v>1560</v>
      </c>
      <c r="L664" s="43" t="s">
        <v>13</v>
      </c>
      <c r="M664">
        <f t="shared" si="41"/>
        <v>136</v>
      </c>
      <c r="N664">
        <f t="shared" si="42"/>
        <v>32</v>
      </c>
      <c r="O664">
        <f t="shared" si="43"/>
        <v>49</v>
      </c>
      <c r="P664">
        <f t="shared" si="44"/>
        <v>21</v>
      </c>
    </row>
    <row r="665" spans="9:16" ht="15" customHeight="1" x14ac:dyDescent="0.25">
      <c r="I665" s="41" t="s">
        <v>17</v>
      </c>
      <c r="J665" s="41" t="s">
        <v>11</v>
      </c>
      <c r="K665" s="41" t="s">
        <v>1558</v>
      </c>
      <c r="L665" s="41" t="s">
        <v>19</v>
      </c>
      <c r="M665">
        <f t="shared" si="41"/>
        <v>141</v>
      </c>
      <c r="N665">
        <f t="shared" si="42"/>
        <v>32</v>
      </c>
      <c r="O665">
        <f t="shared" si="43"/>
        <v>48</v>
      </c>
      <c r="P665">
        <f t="shared" si="44"/>
        <v>23</v>
      </c>
    </row>
    <row r="666" spans="9:16" ht="15" customHeight="1" x14ac:dyDescent="0.25">
      <c r="I666" s="43" t="s">
        <v>10</v>
      </c>
      <c r="J666" s="43" t="s">
        <v>11</v>
      </c>
      <c r="K666" s="43" t="s">
        <v>1557</v>
      </c>
      <c r="L666" s="43" t="s">
        <v>43</v>
      </c>
      <c r="M666">
        <f t="shared" si="41"/>
        <v>143</v>
      </c>
      <c r="N666">
        <f t="shared" si="42"/>
        <v>32</v>
      </c>
      <c r="O666">
        <f t="shared" si="43"/>
        <v>47</v>
      </c>
      <c r="P666">
        <f t="shared" si="44"/>
        <v>25</v>
      </c>
    </row>
    <row r="667" spans="9:16" ht="15" customHeight="1" x14ac:dyDescent="0.25">
      <c r="I667" s="41" t="s">
        <v>337</v>
      </c>
      <c r="J667" s="41" t="s">
        <v>11</v>
      </c>
      <c r="K667" s="41" t="s">
        <v>1559</v>
      </c>
      <c r="L667" s="41" t="s">
        <v>339</v>
      </c>
      <c r="M667">
        <f t="shared" si="41"/>
        <v>137</v>
      </c>
      <c r="N667">
        <f t="shared" si="42"/>
        <v>32</v>
      </c>
      <c r="O667">
        <f t="shared" si="43"/>
        <v>43</v>
      </c>
      <c r="P667">
        <f t="shared" si="44"/>
        <v>0</v>
      </c>
    </row>
    <row r="668" spans="9:16" ht="15" customHeight="1" x14ac:dyDescent="0.25">
      <c r="I668" s="43" t="s">
        <v>338</v>
      </c>
      <c r="J668" s="43" t="s">
        <v>11</v>
      </c>
      <c r="K668" s="43" t="s">
        <v>1556</v>
      </c>
      <c r="L668" s="43" t="s">
        <v>345</v>
      </c>
      <c r="M668">
        <f t="shared" si="41"/>
        <v>135</v>
      </c>
      <c r="N668">
        <f t="shared" si="42"/>
        <v>32</v>
      </c>
      <c r="O668">
        <f t="shared" si="43"/>
        <v>42</v>
      </c>
      <c r="P668">
        <f t="shared" si="44"/>
        <v>2</v>
      </c>
    </row>
    <row r="669" spans="9:16" ht="15" customHeight="1" x14ac:dyDescent="0.25">
      <c r="I669" s="41" t="s">
        <v>338</v>
      </c>
      <c r="J669" s="41" t="s">
        <v>11</v>
      </c>
      <c r="K669" s="41" t="s">
        <v>1555</v>
      </c>
      <c r="L669" s="41" t="s">
        <v>33</v>
      </c>
      <c r="M669">
        <f t="shared" si="41"/>
        <v>135</v>
      </c>
      <c r="N669">
        <f t="shared" si="42"/>
        <v>32</v>
      </c>
      <c r="O669">
        <f t="shared" si="43"/>
        <v>41</v>
      </c>
      <c r="P669">
        <f t="shared" si="44"/>
        <v>30</v>
      </c>
    </row>
    <row r="670" spans="9:16" ht="15" customHeight="1" x14ac:dyDescent="0.25">
      <c r="I670" s="43" t="s">
        <v>335</v>
      </c>
      <c r="J670" s="43" t="s">
        <v>11</v>
      </c>
      <c r="K670" s="43" t="s">
        <v>1554</v>
      </c>
      <c r="L670" s="43" t="s">
        <v>13</v>
      </c>
      <c r="M670">
        <f t="shared" si="41"/>
        <v>139</v>
      </c>
      <c r="N670">
        <f t="shared" si="42"/>
        <v>32</v>
      </c>
      <c r="O670">
        <f t="shared" si="43"/>
        <v>38</v>
      </c>
      <c r="P670">
        <f t="shared" si="44"/>
        <v>21</v>
      </c>
    </row>
    <row r="671" spans="9:16" ht="15" customHeight="1" x14ac:dyDescent="0.25">
      <c r="I671" s="41" t="s">
        <v>335</v>
      </c>
      <c r="J671" s="41" t="s">
        <v>11</v>
      </c>
      <c r="K671" s="41" t="s">
        <v>1553</v>
      </c>
      <c r="L671" s="41" t="s">
        <v>19</v>
      </c>
      <c r="M671">
        <f t="shared" si="41"/>
        <v>139</v>
      </c>
      <c r="N671">
        <f t="shared" si="42"/>
        <v>32</v>
      </c>
      <c r="O671">
        <f t="shared" si="43"/>
        <v>39</v>
      </c>
      <c r="P671">
        <f t="shared" si="44"/>
        <v>23</v>
      </c>
    </row>
    <row r="672" spans="9:16" ht="15" customHeight="1" x14ac:dyDescent="0.25">
      <c r="I672" s="43" t="s">
        <v>342</v>
      </c>
      <c r="J672" s="43" t="s">
        <v>11</v>
      </c>
      <c r="K672" s="43" t="s">
        <v>1552</v>
      </c>
      <c r="L672" s="43" t="s">
        <v>43</v>
      </c>
      <c r="M672">
        <f t="shared" si="41"/>
        <v>134</v>
      </c>
      <c r="N672">
        <f t="shared" si="42"/>
        <v>32</v>
      </c>
      <c r="O672">
        <f t="shared" si="43"/>
        <v>37</v>
      </c>
      <c r="P672">
        <f t="shared" si="44"/>
        <v>25</v>
      </c>
    </row>
    <row r="673" spans="9:16" ht="15" customHeight="1" x14ac:dyDescent="0.25">
      <c r="I673" s="41" t="s">
        <v>342</v>
      </c>
      <c r="J673" s="41" t="s">
        <v>11</v>
      </c>
      <c r="K673" s="41" t="s">
        <v>12</v>
      </c>
      <c r="L673" s="41" t="s">
        <v>339</v>
      </c>
      <c r="M673">
        <f t="shared" si="41"/>
        <v>134</v>
      </c>
      <c r="N673">
        <f t="shared" si="42"/>
        <v>32</v>
      </c>
      <c r="O673">
        <f t="shared" si="43"/>
        <v>0</v>
      </c>
      <c r="P673">
        <f t="shared" si="44"/>
        <v>0</v>
      </c>
    </row>
    <row r="674" spans="9:16" ht="15" customHeight="1" x14ac:dyDescent="0.25">
      <c r="I674" s="43" t="s">
        <v>10</v>
      </c>
      <c r="J674" s="43" t="s">
        <v>11</v>
      </c>
      <c r="K674" s="43" t="s">
        <v>12</v>
      </c>
      <c r="L674" s="43" t="s">
        <v>345</v>
      </c>
      <c r="M674">
        <f t="shared" si="41"/>
        <v>143</v>
      </c>
      <c r="N674">
        <f t="shared" si="42"/>
        <v>32</v>
      </c>
      <c r="O674">
        <f t="shared" si="43"/>
        <v>0</v>
      </c>
      <c r="P674">
        <f t="shared" si="44"/>
        <v>2</v>
      </c>
    </row>
    <row r="675" spans="9:16" ht="15" customHeight="1" x14ac:dyDescent="0.25">
      <c r="I675" s="41" t="s">
        <v>17</v>
      </c>
      <c r="J675" s="41" t="s">
        <v>11</v>
      </c>
      <c r="K675" s="41" t="s">
        <v>1552</v>
      </c>
      <c r="L675" s="41" t="s">
        <v>33</v>
      </c>
      <c r="M675">
        <f t="shared" si="41"/>
        <v>141</v>
      </c>
      <c r="N675">
        <f t="shared" si="42"/>
        <v>32</v>
      </c>
      <c r="O675">
        <f t="shared" si="43"/>
        <v>37</v>
      </c>
      <c r="P675">
        <f t="shared" si="44"/>
        <v>30</v>
      </c>
    </row>
    <row r="676" spans="9:16" ht="15" customHeight="1" x14ac:dyDescent="0.25">
      <c r="I676" s="43" t="s">
        <v>10</v>
      </c>
      <c r="J676" s="43" t="s">
        <v>11</v>
      </c>
      <c r="K676" s="43" t="s">
        <v>1555</v>
      </c>
      <c r="L676" s="43" t="s">
        <v>13</v>
      </c>
      <c r="M676">
        <f t="shared" si="41"/>
        <v>143</v>
      </c>
      <c r="N676">
        <f t="shared" si="42"/>
        <v>32</v>
      </c>
      <c r="O676">
        <f t="shared" si="43"/>
        <v>41</v>
      </c>
      <c r="P676">
        <f t="shared" si="44"/>
        <v>21</v>
      </c>
    </row>
    <row r="677" spans="9:16" ht="15" customHeight="1" x14ac:dyDescent="0.25">
      <c r="I677" s="41" t="s">
        <v>23</v>
      </c>
      <c r="J677" s="41" t="s">
        <v>24</v>
      </c>
      <c r="K677" s="41" t="s">
        <v>1557</v>
      </c>
      <c r="L677" s="41" t="s">
        <v>19</v>
      </c>
      <c r="M677">
        <f t="shared" si="41"/>
        <v>136</v>
      </c>
      <c r="N677">
        <f t="shared" si="42"/>
        <v>9</v>
      </c>
      <c r="O677">
        <f t="shared" si="43"/>
        <v>47</v>
      </c>
      <c r="P677">
        <f t="shared" si="44"/>
        <v>23</v>
      </c>
    </row>
    <row r="678" spans="9:16" ht="15" customHeight="1" x14ac:dyDescent="0.25">
      <c r="I678" s="43" t="s">
        <v>17</v>
      </c>
      <c r="J678" s="43" t="s">
        <v>24</v>
      </c>
      <c r="K678" s="43" t="s">
        <v>1560</v>
      </c>
      <c r="L678" s="43" t="s">
        <v>43</v>
      </c>
      <c r="M678">
        <f t="shared" si="41"/>
        <v>141</v>
      </c>
      <c r="N678">
        <f t="shared" si="42"/>
        <v>9</v>
      </c>
      <c r="O678">
        <f t="shared" si="43"/>
        <v>49</v>
      </c>
      <c r="P678">
        <f t="shared" si="44"/>
        <v>25</v>
      </c>
    </row>
    <row r="679" spans="9:16" ht="15" customHeight="1" x14ac:dyDescent="0.25">
      <c r="I679" s="41" t="s">
        <v>337</v>
      </c>
      <c r="J679" s="41" t="s">
        <v>24</v>
      </c>
      <c r="K679" s="41" t="s">
        <v>1553</v>
      </c>
      <c r="L679" s="41" t="s">
        <v>339</v>
      </c>
      <c r="M679">
        <f t="shared" si="41"/>
        <v>137</v>
      </c>
      <c r="N679">
        <f t="shared" si="42"/>
        <v>9</v>
      </c>
      <c r="O679">
        <f t="shared" si="43"/>
        <v>39</v>
      </c>
      <c r="P679">
        <f t="shared" si="44"/>
        <v>0</v>
      </c>
    </row>
    <row r="680" spans="9:16" ht="15" customHeight="1" x14ac:dyDescent="0.25">
      <c r="I680" s="43" t="s">
        <v>337</v>
      </c>
      <c r="J680" s="43" t="s">
        <v>24</v>
      </c>
      <c r="K680" s="43" t="s">
        <v>1556</v>
      </c>
      <c r="L680" s="43" t="s">
        <v>345</v>
      </c>
      <c r="M680">
        <f t="shared" si="41"/>
        <v>137</v>
      </c>
      <c r="N680">
        <f t="shared" si="42"/>
        <v>9</v>
      </c>
      <c r="O680">
        <f t="shared" si="43"/>
        <v>42</v>
      </c>
      <c r="P680">
        <f t="shared" si="44"/>
        <v>2</v>
      </c>
    </row>
    <row r="681" spans="9:16" ht="15" customHeight="1" x14ac:dyDescent="0.25">
      <c r="I681" s="41" t="s">
        <v>338</v>
      </c>
      <c r="J681" s="41" t="s">
        <v>24</v>
      </c>
      <c r="K681" s="41" t="s">
        <v>1558</v>
      </c>
      <c r="L681" s="41" t="s">
        <v>33</v>
      </c>
      <c r="M681">
        <f t="shared" si="41"/>
        <v>135</v>
      </c>
      <c r="N681">
        <f t="shared" si="42"/>
        <v>9</v>
      </c>
      <c r="O681">
        <f t="shared" si="43"/>
        <v>48</v>
      </c>
      <c r="P681">
        <f t="shared" si="44"/>
        <v>30</v>
      </c>
    </row>
    <row r="682" spans="9:16" ht="15" customHeight="1" x14ac:dyDescent="0.25">
      <c r="I682" s="43" t="s">
        <v>335</v>
      </c>
      <c r="J682" s="43" t="s">
        <v>24</v>
      </c>
      <c r="K682" s="43" t="s">
        <v>1561</v>
      </c>
      <c r="L682" s="43" t="s">
        <v>13</v>
      </c>
      <c r="M682">
        <f t="shared" si="41"/>
        <v>139</v>
      </c>
      <c r="N682">
        <f t="shared" si="42"/>
        <v>9</v>
      </c>
      <c r="O682">
        <f t="shared" si="43"/>
        <v>51</v>
      </c>
      <c r="P682">
        <f t="shared" si="44"/>
        <v>21</v>
      </c>
    </row>
    <row r="683" spans="9:16" ht="15" customHeight="1" x14ac:dyDescent="0.25">
      <c r="I683" s="41" t="s">
        <v>343</v>
      </c>
      <c r="J683" s="41" t="s">
        <v>24</v>
      </c>
      <c r="K683" s="41" t="s">
        <v>1554</v>
      </c>
      <c r="L683" s="41" t="s">
        <v>19</v>
      </c>
      <c r="M683">
        <f t="shared" si="41"/>
        <v>132</v>
      </c>
      <c r="N683">
        <f t="shared" si="42"/>
        <v>9</v>
      </c>
      <c r="O683">
        <f t="shared" si="43"/>
        <v>38</v>
      </c>
      <c r="P683">
        <f t="shared" si="44"/>
        <v>23</v>
      </c>
    </row>
    <row r="684" spans="9:16" ht="15" customHeight="1" x14ac:dyDescent="0.25">
      <c r="I684" s="43" t="s">
        <v>340</v>
      </c>
      <c r="J684" s="43" t="s">
        <v>24</v>
      </c>
      <c r="K684" s="43" t="s">
        <v>1559</v>
      </c>
      <c r="L684" s="43" t="s">
        <v>43</v>
      </c>
      <c r="M684">
        <f t="shared" si="41"/>
        <v>129</v>
      </c>
      <c r="N684">
        <f t="shared" si="42"/>
        <v>9</v>
      </c>
      <c r="O684">
        <f t="shared" si="43"/>
        <v>43</v>
      </c>
      <c r="P684">
        <f t="shared" si="44"/>
        <v>25</v>
      </c>
    </row>
    <row r="685" spans="9:16" ht="15" customHeight="1" x14ac:dyDescent="0.25">
      <c r="I685" s="41" t="s">
        <v>342</v>
      </c>
      <c r="J685" s="41" t="s">
        <v>24</v>
      </c>
      <c r="K685" s="41" t="s">
        <v>1554</v>
      </c>
      <c r="L685" s="41" t="s">
        <v>339</v>
      </c>
      <c r="M685">
        <f t="shared" si="41"/>
        <v>134</v>
      </c>
      <c r="N685">
        <f t="shared" si="42"/>
        <v>9</v>
      </c>
      <c r="O685">
        <f t="shared" si="43"/>
        <v>38</v>
      </c>
      <c r="P685">
        <f t="shared" si="44"/>
        <v>0</v>
      </c>
    </row>
    <row r="686" spans="9:16" ht="15" customHeight="1" x14ac:dyDescent="0.25">
      <c r="I686" s="43" t="s">
        <v>23</v>
      </c>
      <c r="J686" s="43" t="s">
        <v>24</v>
      </c>
      <c r="K686" s="43" t="s">
        <v>1559</v>
      </c>
      <c r="L686" s="43" t="s">
        <v>345</v>
      </c>
      <c r="M686">
        <f t="shared" si="41"/>
        <v>136</v>
      </c>
      <c r="N686">
        <f t="shared" si="42"/>
        <v>9</v>
      </c>
      <c r="O686">
        <f t="shared" si="43"/>
        <v>43</v>
      </c>
      <c r="P686">
        <f t="shared" si="44"/>
        <v>2</v>
      </c>
    </row>
    <row r="687" spans="9:16" ht="15" customHeight="1" x14ac:dyDescent="0.25">
      <c r="I687" s="41" t="s">
        <v>17</v>
      </c>
      <c r="J687" s="41" t="s">
        <v>24</v>
      </c>
      <c r="K687" s="41" t="s">
        <v>1553</v>
      </c>
      <c r="L687" s="41" t="s">
        <v>33</v>
      </c>
      <c r="M687">
        <f t="shared" si="41"/>
        <v>141</v>
      </c>
      <c r="N687">
        <f t="shared" si="42"/>
        <v>9</v>
      </c>
      <c r="O687">
        <f t="shared" si="43"/>
        <v>39</v>
      </c>
      <c r="P687">
        <f t="shared" si="44"/>
        <v>30</v>
      </c>
    </row>
    <row r="688" spans="9:16" ht="15" customHeight="1" x14ac:dyDescent="0.25">
      <c r="I688" s="43" t="s">
        <v>10</v>
      </c>
      <c r="J688" s="43" t="s">
        <v>24</v>
      </c>
      <c r="K688" s="43" t="s">
        <v>1556</v>
      </c>
      <c r="L688" s="43" t="s">
        <v>13</v>
      </c>
      <c r="M688">
        <f t="shared" si="41"/>
        <v>143</v>
      </c>
      <c r="N688">
        <f t="shared" si="42"/>
        <v>9</v>
      </c>
      <c r="O688">
        <f t="shared" si="43"/>
        <v>42</v>
      </c>
      <c r="P688">
        <f t="shared" si="44"/>
        <v>21</v>
      </c>
    </row>
    <row r="689" spans="9:16" ht="15" customHeight="1" x14ac:dyDescent="0.25">
      <c r="I689" s="41" t="s">
        <v>344</v>
      </c>
      <c r="J689" s="41" t="s">
        <v>24</v>
      </c>
      <c r="K689" s="41" t="s">
        <v>1558</v>
      </c>
      <c r="L689" s="41" t="s">
        <v>19</v>
      </c>
      <c r="M689">
        <f t="shared" si="41"/>
        <v>131</v>
      </c>
      <c r="N689">
        <f t="shared" si="42"/>
        <v>9</v>
      </c>
      <c r="O689">
        <f t="shared" si="43"/>
        <v>48</v>
      </c>
      <c r="P689">
        <f t="shared" si="44"/>
        <v>23</v>
      </c>
    </row>
    <row r="690" spans="9:16" ht="15" customHeight="1" x14ac:dyDescent="0.25">
      <c r="I690" s="43" t="s">
        <v>344</v>
      </c>
      <c r="J690" s="43" t="s">
        <v>24</v>
      </c>
      <c r="K690" s="43" t="s">
        <v>1561</v>
      </c>
      <c r="L690" s="43" t="s">
        <v>43</v>
      </c>
      <c r="M690">
        <f t="shared" si="41"/>
        <v>131</v>
      </c>
      <c r="N690">
        <f t="shared" si="42"/>
        <v>9</v>
      </c>
      <c r="O690">
        <f t="shared" si="43"/>
        <v>51</v>
      </c>
      <c r="P690">
        <f t="shared" si="44"/>
        <v>25</v>
      </c>
    </row>
    <row r="691" spans="9:16" ht="15" customHeight="1" x14ac:dyDescent="0.25">
      <c r="I691" s="41" t="s">
        <v>10</v>
      </c>
      <c r="J691" s="41" t="s">
        <v>24</v>
      </c>
      <c r="K691" s="41" t="s">
        <v>1552</v>
      </c>
      <c r="L691" s="41" t="s">
        <v>339</v>
      </c>
      <c r="M691">
        <f t="shared" si="41"/>
        <v>143</v>
      </c>
      <c r="N691">
        <f t="shared" si="42"/>
        <v>9</v>
      </c>
      <c r="O691">
        <f t="shared" si="43"/>
        <v>37</v>
      </c>
      <c r="P691">
        <f t="shared" si="44"/>
        <v>0</v>
      </c>
    </row>
    <row r="692" spans="9:16" ht="15" customHeight="1" x14ac:dyDescent="0.25">
      <c r="I692" s="43" t="s">
        <v>17</v>
      </c>
      <c r="J692" s="43" t="s">
        <v>24</v>
      </c>
      <c r="K692" s="43" t="s">
        <v>1555</v>
      </c>
      <c r="L692" s="43" t="s">
        <v>345</v>
      </c>
      <c r="M692">
        <f t="shared" si="41"/>
        <v>141</v>
      </c>
      <c r="N692">
        <f t="shared" si="42"/>
        <v>9</v>
      </c>
      <c r="O692">
        <f t="shared" si="43"/>
        <v>41</v>
      </c>
      <c r="P692">
        <f t="shared" si="44"/>
        <v>2</v>
      </c>
    </row>
    <row r="693" spans="9:16" ht="15" customHeight="1" x14ac:dyDescent="0.25">
      <c r="I693" s="41" t="s">
        <v>23</v>
      </c>
      <c r="J693" s="41" t="s">
        <v>24</v>
      </c>
      <c r="K693" s="41" t="s">
        <v>1557</v>
      </c>
      <c r="L693" s="41" t="s">
        <v>33</v>
      </c>
      <c r="M693">
        <f t="shared" si="41"/>
        <v>136</v>
      </c>
      <c r="N693">
        <f t="shared" si="42"/>
        <v>9</v>
      </c>
      <c r="O693">
        <f t="shared" si="43"/>
        <v>47</v>
      </c>
      <c r="P693">
        <f t="shared" si="44"/>
        <v>30</v>
      </c>
    </row>
    <row r="694" spans="9:16" ht="15" customHeight="1" x14ac:dyDescent="0.25">
      <c r="I694" s="43" t="s">
        <v>342</v>
      </c>
      <c r="J694" s="43" t="s">
        <v>24</v>
      </c>
      <c r="K694" s="43" t="s">
        <v>1560</v>
      </c>
      <c r="L694" s="43" t="s">
        <v>13</v>
      </c>
      <c r="M694">
        <f t="shared" si="41"/>
        <v>134</v>
      </c>
      <c r="N694">
        <f t="shared" si="42"/>
        <v>9</v>
      </c>
      <c r="O694">
        <f t="shared" si="43"/>
        <v>49</v>
      </c>
      <c r="P694">
        <f t="shared" si="44"/>
        <v>21</v>
      </c>
    </row>
    <row r="695" spans="9:16" ht="15" customHeight="1" x14ac:dyDescent="0.25">
      <c r="I695" s="41" t="s">
        <v>340</v>
      </c>
      <c r="J695" s="41" t="s">
        <v>24</v>
      </c>
      <c r="K695" s="41" t="s">
        <v>12</v>
      </c>
      <c r="L695" s="41" t="s">
        <v>19</v>
      </c>
      <c r="M695">
        <f t="shared" si="41"/>
        <v>129</v>
      </c>
      <c r="N695">
        <f t="shared" si="42"/>
        <v>9</v>
      </c>
      <c r="O695">
        <f t="shared" si="43"/>
        <v>0</v>
      </c>
      <c r="P695">
        <f t="shared" si="44"/>
        <v>23</v>
      </c>
    </row>
    <row r="696" spans="9:16" ht="15" customHeight="1" x14ac:dyDescent="0.25">
      <c r="I696" s="43" t="s">
        <v>343</v>
      </c>
      <c r="J696" s="43" t="s">
        <v>24</v>
      </c>
      <c r="K696" s="43" t="s">
        <v>12</v>
      </c>
      <c r="L696" s="43" t="s">
        <v>43</v>
      </c>
      <c r="M696">
        <f t="shared" si="41"/>
        <v>132</v>
      </c>
      <c r="N696">
        <f t="shared" si="42"/>
        <v>9</v>
      </c>
      <c r="O696">
        <f t="shared" si="43"/>
        <v>0</v>
      </c>
      <c r="P696">
        <f t="shared" si="44"/>
        <v>25</v>
      </c>
    </row>
    <row r="697" spans="9:16" ht="15" customHeight="1" x14ac:dyDescent="0.25">
      <c r="I697" s="41" t="s">
        <v>335</v>
      </c>
      <c r="J697" s="41" t="s">
        <v>24</v>
      </c>
      <c r="K697" s="41" t="s">
        <v>1552</v>
      </c>
      <c r="L697" s="41" t="s">
        <v>339</v>
      </c>
      <c r="M697">
        <f t="shared" si="41"/>
        <v>139</v>
      </c>
      <c r="N697">
        <f t="shared" si="42"/>
        <v>9</v>
      </c>
      <c r="O697">
        <f t="shared" si="43"/>
        <v>37</v>
      </c>
      <c r="P697">
        <f t="shared" si="44"/>
        <v>0</v>
      </c>
    </row>
    <row r="698" spans="9:16" ht="15" customHeight="1" x14ac:dyDescent="0.25">
      <c r="I698" s="43" t="s">
        <v>338</v>
      </c>
      <c r="J698" s="43" t="s">
        <v>24</v>
      </c>
      <c r="K698" s="43" t="s">
        <v>1553</v>
      </c>
      <c r="L698" s="43" t="s">
        <v>345</v>
      </c>
      <c r="M698">
        <f t="shared" si="41"/>
        <v>135</v>
      </c>
      <c r="N698">
        <f t="shared" si="42"/>
        <v>9</v>
      </c>
      <c r="O698">
        <f t="shared" si="43"/>
        <v>39</v>
      </c>
      <c r="P698">
        <f t="shared" si="44"/>
        <v>2</v>
      </c>
    </row>
    <row r="699" spans="9:16" ht="15" customHeight="1" x14ac:dyDescent="0.25">
      <c r="I699" s="41" t="s">
        <v>337</v>
      </c>
      <c r="J699" s="41" t="s">
        <v>24</v>
      </c>
      <c r="K699" s="41" t="s">
        <v>1554</v>
      </c>
      <c r="L699" s="41" t="s">
        <v>33</v>
      </c>
      <c r="M699">
        <f t="shared" si="41"/>
        <v>137</v>
      </c>
      <c r="N699">
        <f t="shared" si="42"/>
        <v>9</v>
      </c>
      <c r="O699">
        <f t="shared" si="43"/>
        <v>38</v>
      </c>
      <c r="P699">
        <f t="shared" si="44"/>
        <v>30</v>
      </c>
    </row>
    <row r="700" spans="9:16" ht="15" customHeight="1" x14ac:dyDescent="0.25">
      <c r="I700" s="43" t="s">
        <v>343</v>
      </c>
      <c r="J700" s="43" t="s">
        <v>24</v>
      </c>
      <c r="K700" s="43" t="s">
        <v>1555</v>
      </c>
      <c r="L700" s="43" t="s">
        <v>13</v>
      </c>
      <c r="M700">
        <f t="shared" si="41"/>
        <v>132</v>
      </c>
      <c r="N700">
        <f t="shared" si="42"/>
        <v>9</v>
      </c>
      <c r="O700">
        <f t="shared" si="43"/>
        <v>41</v>
      </c>
      <c r="P700">
        <f t="shared" si="44"/>
        <v>21</v>
      </c>
    </row>
    <row r="701" spans="9:16" ht="15" customHeight="1" x14ac:dyDescent="0.25">
      <c r="I701" s="41" t="s">
        <v>340</v>
      </c>
      <c r="J701" s="41" t="s">
        <v>24</v>
      </c>
      <c r="K701" s="41" t="s">
        <v>1556</v>
      </c>
      <c r="L701" s="41" t="s">
        <v>19</v>
      </c>
      <c r="M701">
        <f t="shared" si="41"/>
        <v>129</v>
      </c>
      <c r="N701">
        <f t="shared" si="42"/>
        <v>9</v>
      </c>
      <c r="O701">
        <f t="shared" si="43"/>
        <v>42</v>
      </c>
      <c r="P701">
        <f t="shared" si="44"/>
        <v>23</v>
      </c>
    </row>
    <row r="702" spans="9:16" ht="15" customHeight="1" x14ac:dyDescent="0.25">
      <c r="I702" s="43" t="s">
        <v>10</v>
      </c>
      <c r="J702" s="43" t="s">
        <v>24</v>
      </c>
      <c r="K702" s="43" t="s">
        <v>1559</v>
      </c>
      <c r="L702" s="43" t="s">
        <v>43</v>
      </c>
      <c r="M702">
        <f t="shared" si="41"/>
        <v>143</v>
      </c>
      <c r="N702">
        <f t="shared" si="42"/>
        <v>9</v>
      </c>
      <c r="O702">
        <f t="shared" si="43"/>
        <v>43</v>
      </c>
      <c r="P702">
        <f t="shared" si="44"/>
        <v>25</v>
      </c>
    </row>
    <row r="703" spans="9:16" ht="15" customHeight="1" x14ac:dyDescent="0.25">
      <c r="I703" s="41" t="s">
        <v>344</v>
      </c>
      <c r="J703" s="41" t="s">
        <v>24</v>
      </c>
      <c r="K703" s="41" t="s">
        <v>1557</v>
      </c>
      <c r="L703" s="41" t="s">
        <v>339</v>
      </c>
      <c r="M703">
        <f t="shared" si="41"/>
        <v>131</v>
      </c>
      <c r="N703">
        <f t="shared" si="42"/>
        <v>9</v>
      </c>
      <c r="O703">
        <f t="shared" si="43"/>
        <v>47</v>
      </c>
      <c r="P703">
        <f t="shared" si="44"/>
        <v>0</v>
      </c>
    </row>
    <row r="704" spans="9:16" ht="15" customHeight="1" x14ac:dyDescent="0.25">
      <c r="I704" s="43" t="s">
        <v>338</v>
      </c>
      <c r="J704" s="43" t="s">
        <v>24</v>
      </c>
      <c r="K704" s="43" t="s">
        <v>1558</v>
      </c>
      <c r="L704" s="43" t="s">
        <v>345</v>
      </c>
      <c r="M704">
        <f t="shared" si="41"/>
        <v>135</v>
      </c>
      <c r="N704">
        <f t="shared" si="42"/>
        <v>9</v>
      </c>
      <c r="O704">
        <f t="shared" si="43"/>
        <v>48</v>
      </c>
      <c r="P704">
        <f t="shared" si="44"/>
        <v>2</v>
      </c>
    </row>
    <row r="705" spans="9:16" ht="15" customHeight="1" x14ac:dyDescent="0.25">
      <c r="I705" s="41" t="s">
        <v>23</v>
      </c>
      <c r="J705" s="41" t="s">
        <v>24</v>
      </c>
      <c r="K705" s="41" t="s">
        <v>1560</v>
      </c>
      <c r="L705" s="41" t="s">
        <v>33</v>
      </c>
      <c r="M705">
        <f t="shared" si="41"/>
        <v>136</v>
      </c>
      <c r="N705">
        <f t="shared" si="42"/>
        <v>9</v>
      </c>
      <c r="O705">
        <f t="shared" si="43"/>
        <v>49</v>
      </c>
      <c r="P705">
        <f t="shared" si="44"/>
        <v>30</v>
      </c>
    </row>
    <row r="706" spans="9:16" ht="15" customHeight="1" x14ac:dyDescent="0.25">
      <c r="I706" s="43" t="s">
        <v>17</v>
      </c>
      <c r="J706" s="43" t="s">
        <v>24</v>
      </c>
      <c r="K706" s="43" t="s">
        <v>1561</v>
      </c>
      <c r="L706" s="43" t="s">
        <v>13</v>
      </c>
      <c r="M706">
        <f t="shared" si="41"/>
        <v>141</v>
      </c>
      <c r="N706">
        <f t="shared" si="42"/>
        <v>9</v>
      </c>
      <c r="O706">
        <f t="shared" si="43"/>
        <v>51</v>
      </c>
      <c r="P706">
        <f t="shared" si="44"/>
        <v>21</v>
      </c>
    </row>
    <row r="707" spans="9:16" ht="15" customHeight="1" x14ac:dyDescent="0.25">
      <c r="I707" s="41" t="s">
        <v>10</v>
      </c>
      <c r="J707" s="41" t="s">
        <v>24</v>
      </c>
      <c r="K707" s="41" t="s">
        <v>1561</v>
      </c>
      <c r="L707" s="41" t="s">
        <v>19</v>
      </c>
      <c r="M707">
        <f t="shared" si="41"/>
        <v>143</v>
      </c>
      <c r="N707">
        <f t="shared" si="42"/>
        <v>9</v>
      </c>
      <c r="O707">
        <f t="shared" si="43"/>
        <v>51</v>
      </c>
      <c r="P707">
        <f t="shared" si="44"/>
        <v>23</v>
      </c>
    </row>
    <row r="708" spans="9:16" ht="15" customHeight="1" x14ac:dyDescent="0.25">
      <c r="I708" s="43" t="s">
        <v>337</v>
      </c>
      <c r="J708" s="43" t="s">
        <v>24</v>
      </c>
      <c r="K708" s="43" t="s">
        <v>1560</v>
      </c>
      <c r="L708" s="43" t="s">
        <v>43</v>
      </c>
      <c r="M708">
        <f t="shared" si="41"/>
        <v>137</v>
      </c>
      <c r="N708">
        <f t="shared" si="42"/>
        <v>9</v>
      </c>
      <c r="O708">
        <f t="shared" si="43"/>
        <v>49</v>
      </c>
      <c r="P708">
        <f t="shared" si="44"/>
        <v>25</v>
      </c>
    </row>
    <row r="709" spans="9:16" ht="15" customHeight="1" x14ac:dyDescent="0.25">
      <c r="I709" s="41" t="s">
        <v>338</v>
      </c>
      <c r="J709" s="41" t="s">
        <v>11</v>
      </c>
      <c r="K709" s="41" t="s">
        <v>1558</v>
      </c>
      <c r="L709" s="41" t="s">
        <v>339</v>
      </c>
      <c r="M709">
        <f t="shared" si="41"/>
        <v>135</v>
      </c>
      <c r="N709">
        <f t="shared" si="42"/>
        <v>32</v>
      </c>
      <c r="O709">
        <f t="shared" si="43"/>
        <v>48</v>
      </c>
      <c r="P709">
        <f t="shared" si="44"/>
        <v>0</v>
      </c>
    </row>
    <row r="710" spans="9:16" ht="15" customHeight="1" x14ac:dyDescent="0.25">
      <c r="I710" s="43" t="s">
        <v>338</v>
      </c>
      <c r="J710" s="43" t="s">
        <v>11</v>
      </c>
      <c r="K710" s="43" t="s">
        <v>1557</v>
      </c>
      <c r="L710" s="43" t="s">
        <v>345</v>
      </c>
      <c r="M710">
        <f t="shared" si="41"/>
        <v>135</v>
      </c>
      <c r="N710">
        <f t="shared" si="42"/>
        <v>32</v>
      </c>
      <c r="O710">
        <f t="shared" si="43"/>
        <v>47</v>
      </c>
      <c r="P710">
        <f t="shared" si="44"/>
        <v>2</v>
      </c>
    </row>
    <row r="711" spans="9:16" ht="15" customHeight="1" x14ac:dyDescent="0.25">
      <c r="I711" s="41" t="s">
        <v>335</v>
      </c>
      <c r="J711" s="41" t="s">
        <v>24</v>
      </c>
      <c r="K711" s="41" t="s">
        <v>1559</v>
      </c>
      <c r="L711" s="41" t="s">
        <v>33</v>
      </c>
      <c r="M711">
        <f t="shared" si="41"/>
        <v>139</v>
      </c>
      <c r="N711">
        <f t="shared" si="42"/>
        <v>9</v>
      </c>
      <c r="O711">
        <f t="shared" si="43"/>
        <v>43</v>
      </c>
      <c r="P711">
        <f t="shared" si="44"/>
        <v>30</v>
      </c>
    </row>
    <row r="712" spans="9:16" ht="15" customHeight="1" x14ac:dyDescent="0.25">
      <c r="I712" s="43" t="s">
        <v>335</v>
      </c>
      <c r="J712" s="43" t="s">
        <v>24</v>
      </c>
      <c r="K712" s="43" t="s">
        <v>1556</v>
      </c>
      <c r="L712" s="43" t="s">
        <v>13</v>
      </c>
      <c r="M712">
        <f t="shared" si="41"/>
        <v>139</v>
      </c>
      <c r="N712">
        <f t="shared" si="42"/>
        <v>9</v>
      </c>
      <c r="O712">
        <f t="shared" si="43"/>
        <v>42</v>
      </c>
      <c r="P712">
        <f t="shared" si="44"/>
        <v>21</v>
      </c>
    </row>
    <row r="713" spans="9:16" ht="15" customHeight="1" x14ac:dyDescent="0.25">
      <c r="I713" s="41" t="s">
        <v>342</v>
      </c>
      <c r="J713" s="41" t="s">
        <v>24</v>
      </c>
      <c r="K713" s="41" t="s">
        <v>1555</v>
      </c>
      <c r="L713" s="41" t="s">
        <v>19</v>
      </c>
      <c r="M713">
        <f t="shared" si="41"/>
        <v>134</v>
      </c>
      <c r="N713">
        <f t="shared" si="42"/>
        <v>9</v>
      </c>
      <c r="O713">
        <f t="shared" si="43"/>
        <v>41</v>
      </c>
      <c r="P713">
        <f t="shared" si="44"/>
        <v>23</v>
      </c>
    </row>
    <row r="714" spans="9:16" ht="15" customHeight="1" x14ac:dyDescent="0.25">
      <c r="I714" s="43" t="s">
        <v>342</v>
      </c>
      <c r="J714" s="43" t="s">
        <v>11</v>
      </c>
      <c r="K714" s="43" t="s">
        <v>1554</v>
      </c>
      <c r="L714" s="43" t="s">
        <v>43</v>
      </c>
      <c r="M714">
        <f t="shared" si="41"/>
        <v>134</v>
      </c>
      <c r="N714">
        <f t="shared" si="42"/>
        <v>32</v>
      </c>
      <c r="O714">
        <f t="shared" si="43"/>
        <v>38</v>
      </c>
      <c r="P714">
        <f t="shared" si="44"/>
        <v>25</v>
      </c>
    </row>
    <row r="715" spans="9:16" ht="15" customHeight="1" x14ac:dyDescent="0.25">
      <c r="I715" s="41" t="s">
        <v>10</v>
      </c>
      <c r="J715" s="41" t="s">
        <v>24</v>
      </c>
      <c r="K715" s="41" t="s">
        <v>1553</v>
      </c>
      <c r="L715" s="41" t="s">
        <v>339</v>
      </c>
      <c r="M715">
        <f t="shared" si="41"/>
        <v>143</v>
      </c>
      <c r="N715">
        <f t="shared" si="42"/>
        <v>9</v>
      </c>
      <c r="O715">
        <f t="shared" si="43"/>
        <v>39</v>
      </c>
      <c r="P715">
        <f t="shared" si="44"/>
        <v>0</v>
      </c>
    </row>
    <row r="716" spans="9:16" ht="15" customHeight="1" x14ac:dyDescent="0.25">
      <c r="I716" s="43" t="s">
        <v>17</v>
      </c>
      <c r="J716" s="43" t="s">
        <v>11</v>
      </c>
      <c r="K716" s="43" t="s">
        <v>1552</v>
      </c>
      <c r="L716" s="43" t="s">
        <v>345</v>
      </c>
      <c r="M716">
        <f t="shared" ref="M716:M779" si="45">_xlfn.XLOOKUP(I716,$C$9:$C$37,$D$9:$D$37,2,0)</f>
        <v>141</v>
      </c>
      <c r="N716">
        <f t="shared" ref="N716:N779" si="46">_xlfn.XLOOKUP(J716,$C$9:$C$37,$D$9:$D$37,2,0)</f>
        <v>32</v>
      </c>
      <c r="O716">
        <f t="shared" ref="O716:O779" si="47">_xlfn.XLOOKUP(K716,$C$9:$C$37,$D$9:$D$37,2,0)</f>
        <v>37</v>
      </c>
      <c r="P716">
        <f t="shared" ref="P716:P779" si="48">_xlfn.XLOOKUP(L716,$C$9:$C$37,$D$9:$D$37,2,0)</f>
        <v>2</v>
      </c>
    </row>
    <row r="717" spans="9:16" ht="15" customHeight="1" x14ac:dyDescent="0.25">
      <c r="I717" s="41" t="s">
        <v>10</v>
      </c>
      <c r="J717" s="41" t="s">
        <v>11</v>
      </c>
      <c r="K717" s="41" t="s">
        <v>12</v>
      </c>
      <c r="L717" s="41" t="s">
        <v>33</v>
      </c>
      <c r="M717">
        <f t="shared" si="45"/>
        <v>143</v>
      </c>
      <c r="N717">
        <f t="shared" si="46"/>
        <v>32</v>
      </c>
      <c r="O717">
        <f t="shared" si="47"/>
        <v>0</v>
      </c>
      <c r="P717">
        <f t="shared" si="48"/>
        <v>30</v>
      </c>
    </row>
    <row r="718" spans="9:16" ht="15" customHeight="1" x14ac:dyDescent="0.25">
      <c r="I718" s="43" t="s">
        <v>23</v>
      </c>
      <c r="J718" s="43" t="s">
        <v>11</v>
      </c>
      <c r="K718" s="43" t="s">
        <v>12</v>
      </c>
      <c r="L718" s="43" t="s">
        <v>13</v>
      </c>
      <c r="M718">
        <f t="shared" si="45"/>
        <v>136</v>
      </c>
      <c r="N718">
        <f t="shared" si="46"/>
        <v>32</v>
      </c>
      <c r="O718">
        <f t="shared" si="47"/>
        <v>0</v>
      </c>
      <c r="P718">
        <f t="shared" si="48"/>
        <v>21</v>
      </c>
    </row>
    <row r="719" spans="9:16" ht="15" customHeight="1" x14ac:dyDescent="0.25">
      <c r="I719" s="41" t="s">
        <v>17</v>
      </c>
      <c r="J719" s="41" t="s">
        <v>24</v>
      </c>
      <c r="K719" s="41" t="s">
        <v>1552</v>
      </c>
      <c r="L719" s="41" t="s">
        <v>19</v>
      </c>
      <c r="M719">
        <f t="shared" si="45"/>
        <v>141</v>
      </c>
      <c r="N719">
        <f t="shared" si="46"/>
        <v>9</v>
      </c>
      <c r="O719">
        <f t="shared" si="47"/>
        <v>37</v>
      </c>
      <c r="P719">
        <f t="shared" si="48"/>
        <v>23</v>
      </c>
    </row>
    <row r="720" spans="9:16" ht="15" customHeight="1" x14ac:dyDescent="0.25">
      <c r="I720" s="43" t="s">
        <v>337</v>
      </c>
      <c r="J720" s="43" t="s">
        <v>24</v>
      </c>
      <c r="K720" s="43" t="s">
        <v>1555</v>
      </c>
      <c r="L720" s="43" t="s">
        <v>43</v>
      </c>
      <c r="M720">
        <f t="shared" si="45"/>
        <v>137</v>
      </c>
      <c r="N720">
        <f t="shared" si="46"/>
        <v>9</v>
      </c>
      <c r="O720">
        <f t="shared" si="47"/>
        <v>41</v>
      </c>
      <c r="P720">
        <f t="shared" si="48"/>
        <v>25</v>
      </c>
    </row>
    <row r="721" spans="9:16" ht="15" customHeight="1" x14ac:dyDescent="0.25">
      <c r="I721" s="41" t="s">
        <v>338</v>
      </c>
      <c r="J721" s="41" t="s">
        <v>24</v>
      </c>
      <c r="K721" s="41" t="s">
        <v>1557</v>
      </c>
      <c r="L721" s="41" t="s">
        <v>339</v>
      </c>
      <c r="M721">
        <f t="shared" si="45"/>
        <v>135</v>
      </c>
      <c r="N721">
        <f t="shared" si="46"/>
        <v>9</v>
      </c>
      <c r="O721">
        <f t="shared" si="47"/>
        <v>47</v>
      </c>
      <c r="P721">
        <f t="shared" si="48"/>
        <v>0</v>
      </c>
    </row>
    <row r="722" spans="9:16" ht="15" customHeight="1" x14ac:dyDescent="0.25">
      <c r="I722" s="43" t="s">
        <v>335</v>
      </c>
      <c r="J722" s="43" t="s">
        <v>24</v>
      </c>
      <c r="K722" s="43" t="s">
        <v>1560</v>
      </c>
      <c r="L722" s="43" t="s">
        <v>345</v>
      </c>
      <c r="M722">
        <f t="shared" si="45"/>
        <v>139</v>
      </c>
      <c r="N722">
        <f t="shared" si="46"/>
        <v>9</v>
      </c>
      <c r="O722">
        <f t="shared" si="47"/>
        <v>49</v>
      </c>
      <c r="P722">
        <f t="shared" si="48"/>
        <v>2</v>
      </c>
    </row>
    <row r="723" spans="9:16" ht="15" customHeight="1" x14ac:dyDescent="0.25">
      <c r="I723" s="41" t="s">
        <v>342</v>
      </c>
      <c r="J723" s="41" t="s">
        <v>24</v>
      </c>
      <c r="K723" s="41" t="s">
        <v>1553</v>
      </c>
      <c r="L723" s="41" t="s">
        <v>33</v>
      </c>
      <c r="M723">
        <f t="shared" si="45"/>
        <v>134</v>
      </c>
      <c r="N723">
        <f t="shared" si="46"/>
        <v>9</v>
      </c>
      <c r="O723">
        <f t="shared" si="47"/>
        <v>39</v>
      </c>
      <c r="P723">
        <f t="shared" si="48"/>
        <v>30</v>
      </c>
    </row>
    <row r="724" spans="9:16" ht="15" customHeight="1" x14ac:dyDescent="0.25">
      <c r="I724" s="43" t="s">
        <v>23</v>
      </c>
      <c r="J724" s="43" t="s">
        <v>24</v>
      </c>
      <c r="K724" s="43" t="s">
        <v>1556</v>
      </c>
      <c r="L724" s="43" t="s">
        <v>13</v>
      </c>
      <c r="M724">
        <f t="shared" si="45"/>
        <v>136</v>
      </c>
      <c r="N724">
        <f t="shared" si="46"/>
        <v>9</v>
      </c>
      <c r="O724">
        <f t="shared" si="47"/>
        <v>42</v>
      </c>
      <c r="P724">
        <f t="shared" si="48"/>
        <v>21</v>
      </c>
    </row>
    <row r="725" spans="9:16" ht="15" customHeight="1" x14ac:dyDescent="0.25">
      <c r="I725" s="41" t="s">
        <v>17</v>
      </c>
      <c r="J725" s="41" t="s">
        <v>11</v>
      </c>
      <c r="K725" s="41" t="s">
        <v>1558</v>
      </c>
      <c r="L725" s="41" t="s">
        <v>19</v>
      </c>
      <c r="M725">
        <f t="shared" si="45"/>
        <v>141</v>
      </c>
      <c r="N725">
        <f t="shared" si="46"/>
        <v>32</v>
      </c>
      <c r="O725">
        <f t="shared" si="47"/>
        <v>48</v>
      </c>
      <c r="P725">
        <f t="shared" si="48"/>
        <v>23</v>
      </c>
    </row>
    <row r="726" spans="9:16" ht="15" customHeight="1" x14ac:dyDescent="0.25">
      <c r="I726" s="43" t="s">
        <v>10</v>
      </c>
      <c r="J726" s="43" t="s">
        <v>11</v>
      </c>
      <c r="K726" s="43" t="s">
        <v>1561</v>
      </c>
      <c r="L726" s="43" t="s">
        <v>43</v>
      </c>
      <c r="M726">
        <f t="shared" si="45"/>
        <v>143</v>
      </c>
      <c r="N726">
        <f t="shared" si="46"/>
        <v>32</v>
      </c>
      <c r="O726">
        <f t="shared" si="47"/>
        <v>51</v>
      </c>
      <c r="P726">
        <f t="shared" si="48"/>
        <v>25</v>
      </c>
    </row>
    <row r="727" spans="9:16" ht="15" customHeight="1" x14ac:dyDescent="0.25">
      <c r="I727" s="41" t="s">
        <v>343</v>
      </c>
      <c r="J727" s="41" t="s">
        <v>24</v>
      </c>
      <c r="K727" s="41" t="s">
        <v>1554</v>
      </c>
      <c r="L727" s="41" t="s">
        <v>339</v>
      </c>
      <c r="M727">
        <f t="shared" si="45"/>
        <v>132</v>
      </c>
      <c r="N727">
        <f t="shared" si="46"/>
        <v>9</v>
      </c>
      <c r="O727">
        <f t="shared" si="47"/>
        <v>38</v>
      </c>
      <c r="P727">
        <f t="shared" si="48"/>
        <v>0</v>
      </c>
    </row>
    <row r="728" spans="9:16" ht="15" customHeight="1" x14ac:dyDescent="0.25">
      <c r="I728" s="43" t="s">
        <v>340</v>
      </c>
      <c r="J728" s="43" t="s">
        <v>24</v>
      </c>
      <c r="K728" s="43" t="s">
        <v>1559</v>
      </c>
      <c r="L728" s="43" t="s">
        <v>345</v>
      </c>
      <c r="M728">
        <f t="shared" si="45"/>
        <v>129</v>
      </c>
      <c r="N728">
        <f t="shared" si="46"/>
        <v>9</v>
      </c>
      <c r="O728">
        <f t="shared" si="47"/>
        <v>43</v>
      </c>
      <c r="P728">
        <f t="shared" si="48"/>
        <v>2</v>
      </c>
    </row>
    <row r="729" spans="9:16" ht="15" customHeight="1" x14ac:dyDescent="0.25">
      <c r="I729" s="41" t="s">
        <v>344</v>
      </c>
      <c r="J729" s="41" t="s">
        <v>11</v>
      </c>
      <c r="K729" s="41" t="s">
        <v>1554</v>
      </c>
      <c r="L729" s="41" t="s">
        <v>33</v>
      </c>
      <c r="M729">
        <f t="shared" si="45"/>
        <v>131</v>
      </c>
      <c r="N729">
        <f t="shared" si="46"/>
        <v>32</v>
      </c>
      <c r="O729">
        <f t="shared" si="47"/>
        <v>38</v>
      </c>
      <c r="P729">
        <f t="shared" si="48"/>
        <v>30</v>
      </c>
    </row>
    <row r="730" spans="9:16" ht="15" customHeight="1" x14ac:dyDescent="0.25">
      <c r="I730" s="43" t="s">
        <v>335</v>
      </c>
      <c r="J730" s="43" t="s">
        <v>11</v>
      </c>
      <c r="K730" s="43" t="s">
        <v>1559</v>
      </c>
      <c r="L730" s="43" t="s">
        <v>13</v>
      </c>
      <c r="M730">
        <f t="shared" si="45"/>
        <v>139</v>
      </c>
      <c r="N730">
        <f t="shared" si="46"/>
        <v>32</v>
      </c>
      <c r="O730">
        <f t="shared" si="47"/>
        <v>43</v>
      </c>
      <c r="P730">
        <f t="shared" si="48"/>
        <v>21</v>
      </c>
    </row>
    <row r="731" spans="9:16" ht="15" customHeight="1" x14ac:dyDescent="0.25">
      <c r="I731" s="41" t="s">
        <v>343</v>
      </c>
      <c r="J731" s="41" t="s">
        <v>11</v>
      </c>
      <c r="K731" s="41" t="s">
        <v>1553</v>
      </c>
      <c r="L731" s="41" t="s">
        <v>19</v>
      </c>
      <c r="M731">
        <f t="shared" si="45"/>
        <v>132</v>
      </c>
      <c r="N731">
        <f t="shared" si="46"/>
        <v>32</v>
      </c>
      <c r="O731">
        <f t="shared" si="47"/>
        <v>39</v>
      </c>
      <c r="P731">
        <f t="shared" si="48"/>
        <v>23</v>
      </c>
    </row>
    <row r="732" spans="9:16" ht="15" customHeight="1" x14ac:dyDescent="0.25">
      <c r="I732" s="43" t="s">
        <v>340</v>
      </c>
      <c r="J732" s="43" t="s">
        <v>24</v>
      </c>
      <c r="K732" s="43" t="s">
        <v>1556</v>
      </c>
      <c r="L732" s="43" t="s">
        <v>43</v>
      </c>
      <c r="M732">
        <f t="shared" si="45"/>
        <v>129</v>
      </c>
      <c r="N732">
        <f t="shared" si="46"/>
        <v>9</v>
      </c>
      <c r="O732">
        <f t="shared" si="47"/>
        <v>42</v>
      </c>
      <c r="P732">
        <f t="shared" si="48"/>
        <v>25</v>
      </c>
    </row>
    <row r="733" spans="9:16" ht="15" customHeight="1" x14ac:dyDescent="0.25">
      <c r="I733" s="41" t="s">
        <v>344</v>
      </c>
      <c r="J733" s="41" t="s">
        <v>11</v>
      </c>
      <c r="K733" s="41" t="s">
        <v>1558</v>
      </c>
      <c r="L733" s="41" t="s">
        <v>339</v>
      </c>
      <c r="M733">
        <f t="shared" si="45"/>
        <v>131</v>
      </c>
      <c r="N733">
        <f t="shared" si="46"/>
        <v>32</v>
      </c>
      <c r="O733">
        <f t="shared" si="47"/>
        <v>48</v>
      </c>
      <c r="P733">
        <f t="shared" si="48"/>
        <v>0</v>
      </c>
    </row>
    <row r="734" spans="9:16" ht="15" customHeight="1" x14ac:dyDescent="0.25">
      <c r="I734" s="43" t="s">
        <v>337</v>
      </c>
      <c r="J734" s="43" t="s">
        <v>11</v>
      </c>
      <c r="K734" s="43" t="s">
        <v>1561</v>
      </c>
      <c r="L734" s="43" t="s">
        <v>345</v>
      </c>
      <c r="M734">
        <f t="shared" si="45"/>
        <v>137</v>
      </c>
      <c r="N734">
        <f t="shared" si="46"/>
        <v>32</v>
      </c>
      <c r="O734">
        <f t="shared" si="47"/>
        <v>51</v>
      </c>
      <c r="P734">
        <f t="shared" si="48"/>
        <v>2</v>
      </c>
    </row>
    <row r="735" spans="9:16" ht="15" customHeight="1" x14ac:dyDescent="0.25">
      <c r="I735" s="41" t="s">
        <v>338</v>
      </c>
      <c r="J735" s="41" t="s">
        <v>24</v>
      </c>
      <c r="K735" s="41" t="s">
        <v>1552</v>
      </c>
      <c r="L735" s="41" t="s">
        <v>33</v>
      </c>
      <c r="M735">
        <f t="shared" si="45"/>
        <v>135</v>
      </c>
      <c r="N735">
        <f t="shared" si="46"/>
        <v>9</v>
      </c>
      <c r="O735">
        <f t="shared" si="47"/>
        <v>37</v>
      </c>
      <c r="P735">
        <f t="shared" si="48"/>
        <v>30</v>
      </c>
    </row>
    <row r="736" spans="9:16" ht="15" customHeight="1" x14ac:dyDescent="0.25">
      <c r="I736" s="43" t="s">
        <v>335</v>
      </c>
      <c r="J736" s="43" t="s">
        <v>11</v>
      </c>
      <c r="K736" s="43" t="s">
        <v>1555</v>
      </c>
      <c r="L736" s="43" t="s">
        <v>13</v>
      </c>
      <c r="M736">
        <f t="shared" si="45"/>
        <v>139</v>
      </c>
      <c r="N736">
        <f t="shared" si="46"/>
        <v>32</v>
      </c>
      <c r="O736">
        <f t="shared" si="47"/>
        <v>41</v>
      </c>
      <c r="P736">
        <f t="shared" si="48"/>
        <v>21</v>
      </c>
    </row>
    <row r="737" spans="9:16" ht="15" customHeight="1" x14ac:dyDescent="0.25">
      <c r="I737" s="41" t="s">
        <v>343</v>
      </c>
      <c r="J737" s="41" t="s">
        <v>24</v>
      </c>
      <c r="K737" s="41" t="s">
        <v>1557</v>
      </c>
      <c r="L737" s="41" t="s">
        <v>19</v>
      </c>
      <c r="M737">
        <f t="shared" si="45"/>
        <v>132</v>
      </c>
      <c r="N737">
        <f t="shared" si="46"/>
        <v>9</v>
      </c>
      <c r="O737">
        <f t="shared" si="47"/>
        <v>47</v>
      </c>
      <c r="P737">
        <f t="shared" si="48"/>
        <v>23</v>
      </c>
    </row>
    <row r="738" spans="9:16" ht="15" customHeight="1" x14ac:dyDescent="0.25">
      <c r="I738" s="43" t="s">
        <v>340</v>
      </c>
      <c r="J738" s="43" t="s">
        <v>11</v>
      </c>
      <c r="K738" s="43" t="s">
        <v>1560</v>
      </c>
      <c r="L738" s="43" t="s">
        <v>43</v>
      </c>
      <c r="M738">
        <f t="shared" si="45"/>
        <v>129</v>
      </c>
      <c r="N738">
        <f t="shared" si="46"/>
        <v>32</v>
      </c>
      <c r="O738">
        <f t="shared" si="47"/>
        <v>49</v>
      </c>
      <c r="P738">
        <f t="shared" si="48"/>
        <v>25</v>
      </c>
    </row>
    <row r="739" spans="9:16" ht="15" customHeight="1" x14ac:dyDescent="0.25">
      <c r="I739" s="41" t="s">
        <v>342</v>
      </c>
      <c r="J739" s="41" t="s">
        <v>24</v>
      </c>
      <c r="K739" s="41" t="s">
        <v>12</v>
      </c>
      <c r="L739" s="41" t="s">
        <v>339</v>
      </c>
      <c r="M739">
        <f t="shared" si="45"/>
        <v>134</v>
      </c>
      <c r="N739">
        <f t="shared" si="46"/>
        <v>9</v>
      </c>
      <c r="O739">
        <f t="shared" si="47"/>
        <v>0</v>
      </c>
      <c r="P739">
        <f t="shared" si="48"/>
        <v>0</v>
      </c>
    </row>
    <row r="740" spans="9:16" ht="15" customHeight="1" x14ac:dyDescent="0.25">
      <c r="I740" s="43" t="s">
        <v>23</v>
      </c>
      <c r="J740" s="43" t="s">
        <v>11</v>
      </c>
      <c r="K740" s="43" t="s">
        <v>12</v>
      </c>
      <c r="L740" s="43" t="s">
        <v>345</v>
      </c>
      <c r="M740">
        <f t="shared" si="45"/>
        <v>136</v>
      </c>
      <c r="N740">
        <f t="shared" si="46"/>
        <v>32</v>
      </c>
      <c r="O740">
        <f t="shared" si="47"/>
        <v>0</v>
      </c>
      <c r="P740">
        <f t="shared" si="48"/>
        <v>2</v>
      </c>
    </row>
    <row r="741" spans="9:16" ht="15" customHeight="1" x14ac:dyDescent="0.25">
      <c r="I741" s="41" t="s">
        <v>17</v>
      </c>
      <c r="J741" s="41" t="s">
        <v>24</v>
      </c>
      <c r="K741" s="41" t="s">
        <v>1552</v>
      </c>
      <c r="L741" s="41" t="s">
        <v>33</v>
      </c>
      <c r="M741">
        <f t="shared" si="45"/>
        <v>141</v>
      </c>
      <c r="N741">
        <f t="shared" si="46"/>
        <v>9</v>
      </c>
      <c r="O741">
        <f t="shared" si="47"/>
        <v>37</v>
      </c>
      <c r="P741">
        <f t="shared" si="48"/>
        <v>30</v>
      </c>
    </row>
    <row r="742" spans="9:16" ht="15" customHeight="1" x14ac:dyDescent="0.25">
      <c r="I742" s="43" t="s">
        <v>10</v>
      </c>
      <c r="J742" s="43" t="s">
        <v>24</v>
      </c>
      <c r="K742" s="43" t="s">
        <v>1553</v>
      </c>
      <c r="L742" s="43" t="s">
        <v>13</v>
      </c>
      <c r="M742">
        <f t="shared" si="45"/>
        <v>143</v>
      </c>
      <c r="N742">
        <f t="shared" si="46"/>
        <v>9</v>
      </c>
      <c r="O742">
        <f t="shared" si="47"/>
        <v>39</v>
      </c>
      <c r="P742">
        <f t="shared" si="48"/>
        <v>21</v>
      </c>
    </row>
    <row r="743" spans="9:16" ht="15" customHeight="1" x14ac:dyDescent="0.25">
      <c r="I743" s="41" t="s">
        <v>344</v>
      </c>
      <c r="J743" s="41" t="s">
        <v>24</v>
      </c>
      <c r="K743" s="41" t="s">
        <v>1554</v>
      </c>
      <c r="L743" s="41" t="s">
        <v>19</v>
      </c>
      <c r="M743">
        <f t="shared" si="45"/>
        <v>131</v>
      </c>
      <c r="N743">
        <f t="shared" si="46"/>
        <v>9</v>
      </c>
      <c r="O743">
        <f t="shared" si="47"/>
        <v>38</v>
      </c>
      <c r="P743">
        <f t="shared" si="48"/>
        <v>23</v>
      </c>
    </row>
    <row r="744" spans="9:16" ht="15" customHeight="1" x14ac:dyDescent="0.25">
      <c r="I744" s="43" t="s">
        <v>344</v>
      </c>
      <c r="J744" s="43" t="s">
        <v>11</v>
      </c>
      <c r="K744" s="43" t="s">
        <v>1555</v>
      </c>
      <c r="L744" s="43" t="s">
        <v>43</v>
      </c>
      <c r="M744">
        <f t="shared" si="45"/>
        <v>131</v>
      </c>
      <c r="N744">
        <f t="shared" si="46"/>
        <v>32</v>
      </c>
      <c r="O744">
        <f t="shared" si="47"/>
        <v>41</v>
      </c>
      <c r="P744">
        <f t="shared" si="48"/>
        <v>25</v>
      </c>
    </row>
    <row r="745" spans="9:16" ht="15" customHeight="1" x14ac:dyDescent="0.25">
      <c r="I745" s="41" t="s">
        <v>10</v>
      </c>
      <c r="J745" s="41" t="s">
        <v>24</v>
      </c>
      <c r="K745" s="41" t="s">
        <v>1556</v>
      </c>
      <c r="L745" s="41" t="s">
        <v>339</v>
      </c>
      <c r="M745">
        <f t="shared" si="45"/>
        <v>143</v>
      </c>
      <c r="N745">
        <f t="shared" si="46"/>
        <v>9</v>
      </c>
      <c r="O745">
        <f t="shared" si="47"/>
        <v>42</v>
      </c>
      <c r="P745">
        <f t="shared" si="48"/>
        <v>0</v>
      </c>
    </row>
    <row r="746" spans="9:16" ht="15" customHeight="1" x14ac:dyDescent="0.25">
      <c r="I746" s="43" t="s">
        <v>17</v>
      </c>
      <c r="J746" s="43" t="s">
        <v>11</v>
      </c>
      <c r="K746" s="43" t="s">
        <v>1559</v>
      </c>
      <c r="L746" s="43" t="s">
        <v>345</v>
      </c>
      <c r="M746">
        <f t="shared" si="45"/>
        <v>141</v>
      </c>
      <c r="N746">
        <f t="shared" si="46"/>
        <v>32</v>
      </c>
      <c r="O746">
        <f t="shared" si="47"/>
        <v>43</v>
      </c>
      <c r="P746">
        <f t="shared" si="48"/>
        <v>2</v>
      </c>
    </row>
    <row r="747" spans="9:16" ht="15" customHeight="1" x14ac:dyDescent="0.25">
      <c r="I747" s="41" t="s">
        <v>23</v>
      </c>
      <c r="J747" s="41" t="s">
        <v>24</v>
      </c>
      <c r="K747" s="41" t="s">
        <v>1557</v>
      </c>
      <c r="L747" s="41" t="s">
        <v>33</v>
      </c>
      <c r="M747">
        <f t="shared" si="45"/>
        <v>136</v>
      </c>
      <c r="N747">
        <f t="shared" si="46"/>
        <v>9</v>
      </c>
      <c r="O747">
        <f t="shared" si="47"/>
        <v>47</v>
      </c>
      <c r="P747">
        <f t="shared" si="48"/>
        <v>30</v>
      </c>
    </row>
    <row r="748" spans="9:16" ht="15" customHeight="1" x14ac:dyDescent="0.25">
      <c r="I748" s="43" t="s">
        <v>342</v>
      </c>
      <c r="J748" s="43" t="s">
        <v>11</v>
      </c>
      <c r="K748" s="43" t="s">
        <v>1558</v>
      </c>
      <c r="L748" s="43" t="s">
        <v>13</v>
      </c>
      <c r="M748">
        <f t="shared" si="45"/>
        <v>134</v>
      </c>
      <c r="N748">
        <f t="shared" si="46"/>
        <v>32</v>
      </c>
      <c r="O748">
        <f t="shared" si="47"/>
        <v>48</v>
      </c>
      <c r="P748">
        <f t="shared" si="48"/>
        <v>21</v>
      </c>
    </row>
    <row r="749" spans="9:16" ht="15" customHeight="1" x14ac:dyDescent="0.25">
      <c r="I749" s="41" t="s">
        <v>340</v>
      </c>
      <c r="J749" s="41" t="s">
        <v>24</v>
      </c>
      <c r="K749" s="41" t="s">
        <v>1560</v>
      </c>
      <c r="L749" s="41" t="s">
        <v>19</v>
      </c>
      <c r="M749">
        <f t="shared" si="45"/>
        <v>129</v>
      </c>
      <c r="N749">
        <f t="shared" si="46"/>
        <v>9</v>
      </c>
      <c r="O749">
        <f t="shared" si="47"/>
        <v>49</v>
      </c>
      <c r="P749">
        <f t="shared" si="48"/>
        <v>23</v>
      </c>
    </row>
    <row r="750" spans="9:16" ht="15" customHeight="1" x14ac:dyDescent="0.25">
      <c r="I750" s="43" t="s">
        <v>343</v>
      </c>
      <c r="J750" s="43" t="s">
        <v>11</v>
      </c>
      <c r="K750" s="43" t="s">
        <v>1561</v>
      </c>
      <c r="L750" s="43" t="s">
        <v>43</v>
      </c>
      <c r="M750">
        <f t="shared" si="45"/>
        <v>132</v>
      </c>
      <c r="N750">
        <f t="shared" si="46"/>
        <v>32</v>
      </c>
      <c r="O750">
        <f t="shared" si="47"/>
        <v>51</v>
      </c>
      <c r="P750">
        <f t="shared" si="48"/>
        <v>25</v>
      </c>
    </row>
    <row r="751" spans="9:16" ht="15" customHeight="1" x14ac:dyDescent="0.25">
      <c r="I751" s="41" t="s">
        <v>335</v>
      </c>
      <c r="J751" s="41" t="s">
        <v>11</v>
      </c>
      <c r="K751" s="41" t="s">
        <v>1561</v>
      </c>
      <c r="L751" s="41" t="s">
        <v>339</v>
      </c>
      <c r="M751">
        <f t="shared" si="45"/>
        <v>139</v>
      </c>
      <c r="N751">
        <f t="shared" si="46"/>
        <v>32</v>
      </c>
      <c r="O751">
        <f t="shared" si="47"/>
        <v>51</v>
      </c>
      <c r="P751">
        <f t="shared" si="48"/>
        <v>0</v>
      </c>
    </row>
    <row r="752" spans="9:16" ht="15" customHeight="1" x14ac:dyDescent="0.25">
      <c r="I752" s="43" t="s">
        <v>338</v>
      </c>
      <c r="J752" s="43" t="s">
        <v>24</v>
      </c>
      <c r="K752" s="43" t="s">
        <v>1560</v>
      </c>
      <c r="L752" s="43" t="s">
        <v>345</v>
      </c>
      <c r="M752">
        <f t="shared" si="45"/>
        <v>135</v>
      </c>
      <c r="N752">
        <f t="shared" si="46"/>
        <v>9</v>
      </c>
      <c r="O752">
        <f t="shared" si="47"/>
        <v>49</v>
      </c>
      <c r="P752">
        <f t="shared" si="48"/>
        <v>2</v>
      </c>
    </row>
    <row r="753" spans="9:16" ht="15" customHeight="1" x14ac:dyDescent="0.25">
      <c r="I753" s="41" t="s">
        <v>337</v>
      </c>
      <c r="J753" s="41" t="s">
        <v>11</v>
      </c>
      <c r="K753" s="41" t="s">
        <v>1558</v>
      </c>
      <c r="L753" s="41" t="s">
        <v>33</v>
      </c>
      <c r="M753">
        <f t="shared" si="45"/>
        <v>137</v>
      </c>
      <c r="N753">
        <f t="shared" si="46"/>
        <v>32</v>
      </c>
      <c r="O753">
        <f t="shared" si="47"/>
        <v>48</v>
      </c>
      <c r="P753">
        <f t="shared" si="48"/>
        <v>30</v>
      </c>
    </row>
    <row r="754" spans="9:16" ht="15" customHeight="1" x14ac:dyDescent="0.25">
      <c r="I754" s="43" t="s">
        <v>343</v>
      </c>
      <c r="J754" s="43" t="s">
        <v>24</v>
      </c>
      <c r="K754" s="43" t="s">
        <v>1557</v>
      </c>
      <c r="L754" s="43" t="s">
        <v>13</v>
      </c>
      <c r="M754">
        <f t="shared" si="45"/>
        <v>132</v>
      </c>
      <c r="N754">
        <f t="shared" si="46"/>
        <v>9</v>
      </c>
      <c r="O754">
        <f t="shared" si="47"/>
        <v>47</v>
      </c>
      <c r="P754">
        <f t="shared" si="48"/>
        <v>21</v>
      </c>
    </row>
    <row r="755" spans="9:16" ht="15" customHeight="1" x14ac:dyDescent="0.25">
      <c r="I755" s="41" t="s">
        <v>340</v>
      </c>
      <c r="J755" s="41" t="s">
        <v>24</v>
      </c>
      <c r="K755" s="41" t="s">
        <v>1559</v>
      </c>
      <c r="L755" s="41" t="s">
        <v>19</v>
      </c>
      <c r="M755">
        <f t="shared" si="45"/>
        <v>129</v>
      </c>
      <c r="N755">
        <f t="shared" si="46"/>
        <v>9</v>
      </c>
      <c r="O755">
        <f t="shared" si="47"/>
        <v>43</v>
      </c>
      <c r="P755">
        <f t="shared" si="48"/>
        <v>23</v>
      </c>
    </row>
    <row r="756" spans="9:16" ht="15" customHeight="1" x14ac:dyDescent="0.25">
      <c r="I756" s="43" t="s">
        <v>10</v>
      </c>
      <c r="J756" s="43" t="s">
        <v>11</v>
      </c>
      <c r="K756" s="43" t="s">
        <v>1556</v>
      </c>
      <c r="L756" s="43" t="s">
        <v>43</v>
      </c>
      <c r="M756">
        <f t="shared" si="45"/>
        <v>143</v>
      </c>
      <c r="N756">
        <f t="shared" si="46"/>
        <v>32</v>
      </c>
      <c r="O756">
        <f t="shared" si="47"/>
        <v>42</v>
      </c>
      <c r="P756">
        <f t="shared" si="48"/>
        <v>25</v>
      </c>
    </row>
    <row r="757" spans="9:16" ht="15" customHeight="1" x14ac:dyDescent="0.25">
      <c r="I757" s="41" t="s">
        <v>344</v>
      </c>
      <c r="J757" s="41" t="s">
        <v>11</v>
      </c>
      <c r="K757" s="41" t="s">
        <v>1555</v>
      </c>
      <c r="L757" s="41" t="s">
        <v>339</v>
      </c>
      <c r="M757">
        <f t="shared" si="45"/>
        <v>131</v>
      </c>
      <c r="N757">
        <f t="shared" si="46"/>
        <v>32</v>
      </c>
      <c r="O757">
        <f t="shared" si="47"/>
        <v>41</v>
      </c>
      <c r="P757">
        <f t="shared" si="48"/>
        <v>0</v>
      </c>
    </row>
    <row r="758" spans="9:16" ht="15" customHeight="1" x14ac:dyDescent="0.25">
      <c r="I758" s="43" t="s">
        <v>338</v>
      </c>
      <c r="J758" s="43" t="s">
        <v>11</v>
      </c>
      <c r="K758" s="43" t="s">
        <v>1554</v>
      </c>
      <c r="L758" s="43" t="s">
        <v>345</v>
      </c>
      <c r="M758">
        <f t="shared" si="45"/>
        <v>135</v>
      </c>
      <c r="N758">
        <f t="shared" si="46"/>
        <v>32</v>
      </c>
      <c r="O758">
        <f t="shared" si="47"/>
        <v>38</v>
      </c>
      <c r="P758">
        <f t="shared" si="48"/>
        <v>2</v>
      </c>
    </row>
    <row r="759" spans="9:16" ht="15" customHeight="1" x14ac:dyDescent="0.25">
      <c r="I759" s="41" t="s">
        <v>23</v>
      </c>
      <c r="J759" s="41" t="s">
        <v>11</v>
      </c>
      <c r="K759" s="41" t="s">
        <v>1553</v>
      </c>
      <c r="L759" s="41" t="s">
        <v>33</v>
      </c>
      <c r="M759">
        <f t="shared" si="45"/>
        <v>136</v>
      </c>
      <c r="N759">
        <f t="shared" si="46"/>
        <v>32</v>
      </c>
      <c r="O759">
        <f t="shared" si="47"/>
        <v>39</v>
      </c>
      <c r="P759">
        <f t="shared" si="48"/>
        <v>30</v>
      </c>
    </row>
    <row r="760" spans="9:16" ht="15" customHeight="1" x14ac:dyDescent="0.25">
      <c r="I760" s="43" t="s">
        <v>17</v>
      </c>
      <c r="J760" s="43" t="s">
        <v>11</v>
      </c>
      <c r="K760" s="43" t="s">
        <v>1552</v>
      </c>
      <c r="L760" s="43" t="s">
        <v>13</v>
      </c>
      <c r="M760">
        <f t="shared" si="45"/>
        <v>141</v>
      </c>
      <c r="N760">
        <f t="shared" si="46"/>
        <v>32</v>
      </c>
      <c r="O760">
        <f t="shared" si="47"/>
        <v>37</v>
      </c>
      <c r="P760">
        <f t="shared" si="48"/>
        <v>21</v>
      </c>
    </row>
    <row r="761" spans="9:16" ht="15" customHeight="1" x14ac:dyDescent="0.25">
      <c r="I761" s="41" t="s">
        <v>10</v>
      </c>
      <c r="J761" s="41" t="s">
        <v>11</v>
      </c>
      <c r="K761" s="41" t="s">
        <v>12</v>
      </c>
      <c r="L761" s="41" t="s">
        <v>19</v>
      </c>
      <c r="M761">
        <f t="shared" si="45"/>
        <v>143</v>
      </c>
      <c r="N761">
        <f t="shared" si="46"/>
        <v>32</v>
      </c>
      <c r="O761">
        <f t="shared" si="47"/>
        <v>0</v>
      </c>
      <c r="P761">
        <f t="shared" si="48"/>
        <v>23</v>
      </c>
    </row>
    <row r="762" spans="9:16" ht="15" customHeight="1" x14ac:dyDescent="0.25">
      <c r="I762" s="43" t="s">
        <v>337</v>
      </c>
      <c r="J762" s="43" t="s">
        <v>24</v>
      </c>
      <c r="K762" s="43" t="s">
        <v>12</v>
      </c>
      <c r="L762" s="43" t="s">
        <v>43</v>
      </c>
      <c r="M762">
        <f t="shared" si="45"/>
        <v>137</v>
      </c>
      <c r="N762">
        <f t="shared" si="46"/>
        <v>9</v>
      </c>
      <c r="O762">
        <f t="shared" si="47"/>
        <v>0</v>
      </c>
      <c r="P762">
        <f t="shared" si="48"/>
        <v>25</v>
      </c>
    </row>
    <row r="763" spans="9:16" ht="15" customHeight="1" x14ac:dyDescent="0.25">
      <c r="I763" s="41" t="s">
        <v>338</v>
      </c>
      <c r="J763" s="41" t="s">
        <v>11</v>
      </c>
      <c r="K763" s="41" t="s">
        <v>1552</v>
      </c>
      <c r="L763" s="41" t="s">
        <v>339</v>
      </c>
      <c r="M763">
        <f t="shared" si="45"/>
        <v>135</v>
      </c>
      <c r="N763">
        <f t="shared" si="46"/>
        <v>32</v>
      </c>
      <c r="O763">
        <f t="shared" si="47"/>
        <v>37</v>
      </c>
      <c r="P763">
        <f t="shared" si="48"/>
        <v>0</v>
      </c>
    </row>
    <row r="764" spans="9:16" ht="15" customHeight="1" x14ac:dyDescent="0.25">
      <c r="I764" s="43" t="s">
        <v>338</v>
      </c>
      <c r="J764" s="43" t="s">
        <v>11</v>
      </c>
      <c r="K764" s="43" t="s">
        <v>1555</v>
      </c>
      <c r="L764" s="43" t="s">
        <v>345</v>
      </c>
      <c r="M764">
        <f t="shared" si="45"/>
        <v>135</v>
      </c>
      <c r="N764">
        <f t="shared" si="46"/>
        <v>32</v>
      </c>
      <c r="O764">
        <f t="shared" si="47"/>
        <v>41</v>
      </c>
      <c r="P764">
        <f t="shared" si="48"/>
        <v>2</v>
      </c>
    </row>
    <row r="765" spans="9:16" ht="15" customHeight="1" x14ac:dyDescent="0.25">
      <c r="I765" s="41" t="s">
        <v>335</v>
      </c>
      <c r="J765" s="41" t="s">
        <v>11</v>
      </c>
      <c r="K765" s="41" t="s">
        <v>1557</v>
      </c>
      <c r="L765" s="41" t="s">
        <v>33</v>
      </c>
      <c r="M765">
        <f t="shared" si="45"/>
        <v>139</v>
      </c>
      <c r="N765">
        <f t="shared" si="46"/>
        <v>32</v>
      </c>
      <c r="O765">
        <f t="shared" si="47"/>
        <v>47</v>
      </c>
      <c r="P765">
        <f t="shared" si="48"/>
        <v>30</v>
      </c>
    </row>
    <row r="766" spans="9:16" ht="15" customHeight="1" x14ac:dyDescent="0.25">
      <c r="I766" s="43" t="s">
        <v>335</v>
      </c>
      <c r="J766" s="43" t="s">
        <v>11</v>
      </c>
      <c r="K766" s="43" t="s">
        <v>1560</v>
      </c>
      <c r="L766" s="43" t="s">
        <v>13</v>
      </c>
      <c r="M766">
        <f t="shared" si="45"/>
        <v>139</v>
      </c>
      <c r="N766">
        <f t="shared" si="46"/>
        <v>32</v>
      </c>
      <c r="O766">
        <f t="shared" si="47"/>
        <v>49</v>
      </c>
      <c r="P766">
        <f t="shared" si="48"/>
        <v>21</v>
      </c>
    </row>
    <row r="767" spans="9:16" ht="15" customHeight="1" x14ac:dyDescent="0.25">
      <c r="I767" s="41" t="s">
        <v>342</v>
      </c>
      <c r="J767" s="41" t="s">
        <v>24</v>
      </c>
      <c r="K767" s="41" t="s">
        <v>1553</v>
      </c>
      <c r="L767" s="41" t="s">
        <v>19</v>
      </c>
      <c r="M767">
        <f t="shared" si="45"/>
        <v>134</v>
      </c>
      <c r="N767">
        <f t="shared" si="46"/>
        <v>9</v>
      </c>
      <c r="O767">
        <f t="shared" si="47"/>
        <v>39</v>
      </c>
      <c r="P767">
        <f t="shared" si="48"/>
        <v>23</v>
      </c>
    </row>
    <row r="768" spans="9:16" ht="15" customHeight="1" x14ac:dyDescent="0.25">
      <c r="I768" s="43" t="s">
        <v>342</v>
      </c>
      <c r="J768" s="43" t="s">
        <v>11</v>
      </c>
      <c r="K768" s="43" t="s">
        <v>1556</v>
      </c>
      <c r="L768" s="43" t="s">
        <v>43</v>
      </c>
      <c r="M768">
        <f t="shared" si="45"/>
        <v>134</v>
      </c>
      <c r="N768">
        <f t="shared" si="46"/>
        <v>32</v>
      </c>
      <c r="O768">
        <f t="shared" si="47"/>
        <v>42</v>
      </c>
      <c r="P768">
        <f t="shared" si="48"/>
        <v>25</v>
      </c>
    </row>
    <row r="769" spans="9:16" ht="15" customHeight="1" x14ac:dyDescent="0.25">
      <c r="I769" s="41" t="s">
        <v>10</v>
      </c>
      <c r="J769" s="41" t="s">
        <v>24</v>
      </c>
      <c r="K769" s="41" t="s">
        <v>1558</v>
      </c>
      <c r="L769" s="41" t="s">
        <v>339</v>
      </c>
      <c r="M769">
        <f t="shared" si="45"/>
        <v>143</v>
      </c>
      <c r="N769">
        <f t="shared" si="46"/>
        <v>9</v>
      </c>
      <c r="O769">
        <f t="shared" si="47"/>
        <v>48</v>
      </c>
      <c r="P769">
        <f t="shared" si="48"/>
        <v>0</v>
      </c>
    </row>
    <row r="770" spans="9:16" ht="15" customHeight="1" x14ac:dyDescent="0.25">
      <c r="I770" s="43" t="s">
        <v>17</v>
      </c>
      <c r="J770" s="43" t="s">
        <v>11</v>
      </c>
      <c r="K770" s="43" t="s">
        <v>1561</v>
      </c>
      <c r="L770" s="43" t="s">
        <v>345</v>
      </c>
      <c r="M770">
        <f t="shared" si="45"/>
        <v>141</v>
      </c>
      <c r="N770">
        <f t="shared" si="46"/>
        <v>32</v>
      </c>
      <c r="O770">
        <f t="shared" si="47"/>
        <v>51</v>
      </c>
      <c r="P770">
        <f t="shared" si="48"/>
        <v>2</v>
      </c>
    </row>
    <row r="771" spans="9:16" ht="15" customHeight="1" x14ac:dyDescent="0.25">
      <c r="I771" s="41" t="s">
        <v>10</v>
      </c>
      <c r="J771" s="41" t="s">
        <v>24</v>
      </c>
      <c r="K771" s="41" t="s">
        <v>1554</v>
      </c>
      <c r="L771" s="41" t="s">
        <v>33</v>
      </c>
      <c r="M771">
        <f t="shared" si="45"/>
        <v>143</v>
      </c>
      <c r="N771">
        <f t="shared" si="46"/>
        <v>9</v>
      </c>
      <c r="O771">
        <f t="shared" si="47"/>
        <v>38</v>
      </c>
      <c r="P771">
        <f t="shared" si="48"/>
        <v>30</v>
      </c>
    </row>
    <row r="772" spans="9:16" ht="15" customHeight="1" x14ac:dyDescent="0.25">
      <c r="I772" s="43" t="s">
        <v>23</v>
      </c>
      <c r="J772" s="43" t="s">
        <v>11</v>
      </c>
      <c r="K772" s="43" t="s">
        <v>1559</v>
      </c>
      <c r="L772" s="43" t="s">
        <v>13</v>
      </c>
      <c r="M772">
        <f t="shared" si="45"/>
        <v>136</v>
      </c>
      <c r="N772">
        <f t="shared" si="46"/>
        <v>32</v>
      </c>
      <c r="O772">
        <f t="shared" si="47"/>
        <v>43</v>
      </c>
      <c r="P772">
        <f t="shared" si="48"/>
        <v>21</v>
      </c>
    </row>
    <row r="773" spans="9:16" ht="15" customHeight="1" x14ac:dyDescent="0.25">
      <c r="I773" s="41" t="s">
        <v>17</v>
      </c>
      <c r="J773" s="41" t="s">
        <v>24</v>
      </c>
      <c r="K773" s="41" t="s">
        <v>1554</v>
      </c>
      <c r="L773" s="41" t="s">
        <v>19</v>
      </c>
      <c r="M773">
        <f t="shared" si="45"/>
        <v>141</v>
      </c>
      <c r="N773">
        <f t="shared" si="46"/>
        <v>9</v>
      </c>
      <c r="O773">
        <f t="shared" si="47"/>
        <v>38</v>
      </c>
      <c r="P773">
        <f t="shared" si="48"/>
        <v>23</v>
      </c>
    </row>
    <row r="774" spans="9:16" ht="15" customHeight="1" x14ac:dyDescent="0.25">
      <c r="I774" s="43" t="s">
        <v>337</v>
      </c>
      <c r="J774" s="43" t="s">
        <v>24</v>
      </c>
      <c r="K774" s="43" t="s">
        <v>1559</v>
      </c>
      <c r="L774" s="43" t="s">
        <v>43</v>
      </c>
      <c r="M774">
        <f t="shared" si="45"/>
        <v>137</v>
      </c>
      <c r="N774">
        <f t="shared" si="46"/>
        <v>9</v>
      </c>
      <c r="O774">
        <f t="shared" si="47"/>
        <v>43</v>
      </c>
      <c r="P774">
        <f t="shared" si="48"/>
        <v>25</v>
      </c>
    </row>
    <row r="775" spans="9:16" ht="15" customHeight="1" x14ac:dyDescent="0.25">
      <c r="I775" s="41" t="s">
        <v>338</v>
      </c>
      <c r="J775" s="41" t="s">
        <v>24</v>
      </c>
      <c r="K775" s="41" t="s">
        <v>1553</v>
      </c>
      <c r="L775" s="41" t="s">
        <v>339</v>
      </c>
      <c r="M775">
        <f t="shared" si="45"/>
        <v>135</v>
      </c>
      <c r="N775">
        <f t="shared" si="46"/>
        <v>9</v>
      </c>
      <c r="O775">
        <f t="shared" si="47"/>
        <v>39</v>
      </c>
      <c r="P775">
        <f t="shared" si="48"/>
        <v>0</v>
      </c>
    </row>
    <row r="776" spans="9:16" ht="15" customHeight="1" x14ac:dyDescent="0.25">
      <c r="I776" s="43" t="s">
        <v>335</v>
      </c>
      <c r="J776" s="43" t="s">
        <v>11</v>
      </c>
      <c r="K776" s="43" t="s">
        <v>1556</v>
      </c>
      <c r="L776" s="43" t="s">
        <v>345</v>
      </c>
      <c r="M776">
        <f t="shared" si="45"/>
        <v>139</v>
      </c>
      <c r="N776">
        <f t="shared" si="46"/>
        <v>32</v>
      </c>
      <c r="O776">
        <f t="shared" si="47"/>
        <v>42</v>
      </c>
      <c r="P776">
        <f t="shared" si="48"/>
        <v>2</v>
      </c>
    </row>
    <row r="777" spans="9:16" ht="15" customHeight="1" x14ac:dyDescent="0.25">
      <c r="I777" s="41" t="s">
        <v>342</v>
      </c>
      <c r="J777" s="41" t="s">
        <v>24</v>
      </c>
      <c r="K777" s="41" t="s">
        <v>1558</v>
      </c>
      <c r="L777" s="41" t="s">
        <v>33</v>
      </c>
      <c r="M777">
        <f t="shared" si="45"/>
        <v>134</v>
      </c>
      <c r="N777">
        <f t="shared" si="46"/>
        <v>9</v>
      </c>
      <c r="O777">
        <f t="shared" si="47"/>
        <v>48</v>
      </c>
      <c r="P777">
        <f t="shared" si="48"/>
        <v>30</v>
      </c>
    </row>
    <row r="778" spans="9:16" ht="15" customHeight="1" x14ac:dyDescent="0.25">
      <c r="I778" s="43" t="s">
        <v>23</v>
      </c>
      <c r="J778" s="43" t="s">
        <v>24</v>
      </c>
      <c r="K778" s="43" t="s">
        <v>1561</v>
      </c>
      <c r="L778" s="43" t="s">
        <v>33</v>
      </c>
      <c r="M778">
        <f t="shared" si="45"/>
        <v>136</v>
      </c>
      <c r="N778">
        <f t="shared" si="46"/>
        <v>9</v>
      </c>
      <c r="O778">
        <f t="shared" si="47"/>
        <v>51</v>
      </c>
      <c r="P778">
        <f t="shared" si="48"/>
        <v>30</v>
      </c>
    </row>
    <row r="779" spans="9:16" ht="15" customHeight="1" x14ac:dyDescent="0.25">
      <c r="I779" s="41" t="s">
        <v>17</v>
      </c>
      <c r="J779" s="41" t="s">
        <v>24</v>
      </c>
      <c r="K779" s="41" t="s">
        <v>1552</v>
      </c>
      <c r="L779" s="41" t="s">
        <v>13</v>
      </c>
      <c r="M779">
        <f t="shared" si="45"/>
        <v>141</v>
      </c>
      <c r="N779">
        <f t="shared" si="46"/>
        <v>9</v>
      </c>
      <c r="O779">
        <f t="shared" si="47"/>
        <v>37</v>
      </c>
      <c r="P779">
        <f t="shared" si="48"/>
        <v>21</v>
      </c>
    </row>
    <row r="780" spans="9:16" ht="15" customHeight="1" x14ac:dyDescent="0.25">
      <c r="I780" s="43" t="s">
        <v>10</v>
      </c>
      <c r="J780" s="43" t="s">
        <v>11</v>
      </c>
      <c r="K780" s="43" t="s">
        <v>1555</v>
      </c>
      <c r="L780" s="43" t="s">
        <v>19</v>
      </c>
      <c r="M780">
        <f t="shared" ref="M780:M823" si="49">_xlfn.XLOOKUP(I780,$C$9:$C$37,$D$9:$D$37,2,0)</f>
        <v>143</v>
      </c>
      <c r="N780">
        <f t="shared" ref="N780:N823" si="50">_xlfn.XLOOKUP(J780,$C$9:$C$37,$D$9:$D$37,2,0)</f>
        <v>32</v>
      </c>
      <c r="O780">
        <f t="shared" ref="O780:O823" si="51">_xlfn.XLOOKUP(K780,$C$9:$C$37,$D$9:$D$37,2,0)</f>
        <v>41</v>
      </c>
      <c r="P780">
        <f t="shared" ref="P780:P823" si="52">_xlfn.XLOOKUP(L780,$C$9:$C$37,$D$9:$D$37,2,0)</f>
        <v>23</v>
      </c>
    </row>
    <row r="781" spans="9:16" ht="15" customHeight="1" x14ac:dyDescent="0.25">
      <c r="I781" s="41" t="s">
        <v>343</v>
      </c>
      <c r="J781" s="41" t="s">
        <v>24</v>
      </c>
      <c r="K781" s="41" t="s">
        <v>1557</v>
      </c>
      <c r="L781" s="41" t="s">
        <v>43</v>
      </c>
      <c r="M781">
        <f t="shared" si="49"/>
        <v>132</v>
      </c>
      <c r="N781">
        <f t="shared" si="50"/>
        <v>9</v>
      </c>
      <c r="O781">
        <f t="shared" si="51"/>
        <v>47</v>
      </c>
      <c r="P781">
        <f t="shared" si="52"/>
        <v>25</v>
      </c>
    </row>
    <row r="782" spans="9:16" ht="15" customHeight="1" x14ac:dyDescent="0.25">
      <c r="I782" s="43" t="s">
        <v>340</v>
      </c>
      <c r="J782" s="43" t="s">
        <v>11</v>
      </c>
      <c r="K782" s="43" t="s">
        <v>1560</v>
      </c>
      <c r="L782" s="43" t="s">
        <v>339</v>
      </c>
      <c r="M782">
        <f t="shared" si="49"/>
        <v>129</v>
      </c>
      <c r="N782">
        <f t="shared" si="50"/>
        <v>32</v>
      </c>
      <c r="O782">
        <f t="shared" si="51"/>
        <v>49</v>
      </c>
      <c r="P782">
        <f t="shared" si="52"/>
        <v>0</v>
      </c>
    </row>
    <row r="783" spans="9:16" ht="15" customHeight="1" x14ac:dyDescent="0.25">
      <c r="I783" s="41" t="s">
        <v>344</v>
      </c>
      <c r="J783" s="41" t="s">
        <v>24</v>
      </c>
      <c r="K783" s="41" t="s">
        <v>12</v>
      </c>
      <c r="L783" s="41" t="s">
        <v>345</v>
      </c>
      <c r="M783">
        <f t="shared" si="49"/>
        <v>131</v>
      </c>
      <c r="N783">
        <f t="shared" si="50"/>
        <v>9</v>
      </c>
      <c r="O783">
        <f t="shared" si="51"/>
        <v>0</v>
      </c>
      <c r="P783">
        <f t="shared" si="52"/>
        <v>2</v>
      </c>
    </row>
    <row r="784" spans="9:16" ht="15" customHeight="1" x14ac:dyDescent="0.25">
      <c r="I784" s="43" t="s">
        <v>335</v>
      </c>
      <c r="J784" s="43" t="s">
        <v>11</v>
      </c>
      <c r="K784" s="43" t="s">
        <v>12</v>
      </c>
      <c r="L784" s="43" t="s">
        <v>33</v>
      </c>
      <c r="M784">
        <f t="shared" si="49"/>
        <v>139</v>
      </c>
      <c r="N784">
        <f t="shared" si="50"/>
        <v>32</v>
      </c>
      <c r="O784">
        <f t="shared" si="51"/>
        <v>0</v>
      </c>
      <c r="P784">
        <f t="shared" si="52"/>
        <v>30</v>
      </c>
    </row>
    <row r="785" spans="9:16" ht="15" customHeight="1" x14ac:dyDescent="0.25">
      <c r="I785" s="41" t="s">
        <v>343</v>
      </c>
      <c r="J785" s="41" t="s">
        <v>24</v>
      </c>
      <c r="K785" s="41" t="s">
        <v>1552</v>
      </c>
      <c r="L785" s="41" t="s">
        <v>13</v>
      </c>
      <c r="M785">
        <f t="shared" si="49"/>
        <v>132</v>
      </c>
      <c r="N785">
        <f t="shared" si="50"/>
        <v>9</v>
      </c>
      <c r="O785">
        <f t="shared" si="51"/>
        <v>37</v>
      </c>
      <c r="P785">
        <f t="shared" si="52"/>
        <v>21</v>
      </c>
    </row>
    <row r="786" spans="9:16" ht="15" customHeight="1" x14ac:dyDescent="0.25">
      <c r="I786" s="43" t="s">
        <v>340</v>
      </c>
      <c r="J786" s="43" t="s">
        <v>11</v>
      </c>
      <c r="K786" s="43" t="s">
        <v>1553</v>
      </c>
      <c r="L786" s="43" t="s">
        <v>19</v>
      </c>
      <c r="M786">
        <f t="shared" si="49"/>
        <v>129</v>
      </c>
      <c r="N786">
        <f t="shared" si="50"/>
        <v>32</v>
      </c>
      <c r="O786">
        <f t="shared" si="51"/>
        <v>39</v>
      </c>
      <c r="P786">
        <f t="shared" si="52"/>
        <v>23</v>
      </c>
    </row>
    <row r="787" spans="9:16" ht="15" customHeight="1" x14ac:dyDescent="0.25">
      <c r="I787" s="41" t="s">
        <v>344</v>
      </c>
      <c r="J787" s="41" t="s">
        <v>11</v>
      </c>
      <c r="K787" s="41" t="s">
        <v>1554</v>
      </c>
      <c r="L787" s="41" t="s">
        <v>43</v>
      </c>
      <c r="M787">
        <f t="shared" si="49"/>
        <v>131</v>
      </c>
      <c r="N787">
        <f t="shared" si="50"/>
        <v>32</v>
      </c>
      <c r="O787">
        <f t="shared" si="51"/>
        <v>38</v>
      </c>
      <c r="P787">
        <f t="shared" si="52"/>
        <v>25</v>
      </c>
    </row>
    <row r="788" spans="9:16" ht="15" customHeight="1" x14ac:dyDescent="0.25">
      <c r="I788" s="43" t="s">
        <v>337</v>
      </c>
      <c r="J788" s="43" t="s">
        <v>24</v>
      </c>
      <c r="K788" s="43" t="s">
        <v>1555</v>
      </c>
      <c r="L788" s="43" t="s">
        <v>339</v>
      </c>
      <c r="M788">
        <f t="shared" si="49"/>
        <v>137</v>
      </c>
      <c r="N788">
        <f t="shared" si="50"/>
        <v>9</v>
      </c>
      <c r="O788">
        <f t="shared" si="51"/>
        <v>41</v>
      </c>
      <c r="P788">
        <f t="shared" si="52"/>
        <v>0</v>
      </c>
    </row>
    <row r="789" spans="9:16" ht="15" customHeight="1" x14ac:dyDescent="0.25">
      <c r="I789" s="41" t="s">
        <v>338</v>
      </c>
      <c r="J789" s="41" t="s">
        <v>11</v>
      </c>
      <c r="K789" s="41" t="s">
        <v>1556</v>
      </c>
      <c r="L789" s="41" t="s">
        <v>345</v>
      </c>
      <c r="M789">
        <f t="shared" si="49"/>
        <v>135</v>
      </c>
      <c r="N789">
        <f t="shared" si="50"/>
        <v>32</v>
      </c>
      <c r="O789">
        <f t="shared" si="51"/>
        <v>42</v>
      </c>
      <c r="P789">
        <f t="shared" si="52"/>
        <v>2</v>
      </c>
    </row>
    <row r="790" spans="9:16" ht="15" customHeight="1" x14ac:dyDescent="0.25">
      <c r="I790" s="43" t="s">
        <v>335</v>
      </c>
      <c r="J790" s="43" t="s">
        <v>24</v>
      </c>
      <c r="K790" s="43" t="s">
        <v>1559</v>
      </c>
      <c r="L790" s="43" t="s">
        <v>33</v>
      </c>
      <c r="M790">
        <f t="shared" si="49"/>
        <v>139</v>
      </c>
      <c r="N790">
        <f t="shared" si="50"/>
        <v>9</v>
      </c>
      <c r="O790">
        <f t="shared" si="51"/>
        <v>43</v>
      </c>
      <c r="P790">
        <f t="shared" si="52"/>
        <v>30</v>
      </c>
    </row>
    <row r="791" spans="9:16" ht="15" customHeight="1" x14ac:dyDescent="0.25">
      <c r="I791" s="41" t="s">
        <v>343</v>
      </c>
      <c r="J791" s="41" t="s">
        <v>24</v>
      </c>
      <c r="K791" s="41" t="s">
        <v>1557</v>
      </c>
      <c r="L791" s="41" t="s">
        <v>13</v>
      </c>
      <c r="M791">
        <f t="shared" si="49"/>
        <v>132</v>
      </c>
      <c r="N791">
        <f t="shared" si="50"/>
        <v>9</v>
      </c>
      <c r="O791">
        <f t="shared" si="51"/>
        <v>47</v>
      </c>
      <c r="P791">
        <f t="shared" si="52"/>
        <v>21</v>
      </c>
    </row>
    <row r="792" spans="9:16" ht="15" customHeight="1" x14ac:dyDescent="0.25">
      <c r="I792" s="43" t="s">
        <v>340</v>
      </c>
      <c r="J792" s="43" t="s">
        <v>11</v>
      </c>
      <c r="K792" s="43" t="s">
        <v>1558</v>
      </c>
      <c r="L792" s="43" t="s">
        <v>19</v>
      </c>
      <c r="M792">
        <f t="shared" si="49"/>
        <v>129</v>
      </c>
      <c r="N792">
        <f t="shared" si="50"/>
        <v>32</v>
      </c>
      <c r="O792">
        <f t="shared" si="51"/>
        <v>48</v>
      </c>
      <c r="P792">
        <f t="shared" si="52"/>
        <v>23</v>
      </c>
    </row>
    <row r="793" spans="9:16" ht="15" customHeight="1" x14ac:dyDescent="0.25">
      <c r="I793" s="41" t="s">
        <v>342</v>
      </c>
      <c r="J793" s="41" t="s">
        <v>11</v>
      </c>
      <c r="K793" s="41" t="s">
        <v>1560</v>
      </c>
      <c r="L793" s="41" t="s">
        <v>43</v>
      </c>
      <c r="M793">
        <f t="shared" si="49"/>
        <v>134</v>
      </c>
      <c r="N793">
        <f t="shared" si="50"/>
        <v>32</v>
      </c>
      <c r="O793">
        <f t="shared" si="51"/>
        <v>49</v>
      </c>
      <c r="P793">
        <f t="shared" si="52"/>
        <v>25</v>
      </c>
    </row>
    <row r="794" spans="9:16" ht="15" customHeight="1" x14ac:dyDescent="0.25">
      <c r="I794" s="43" t="s">
        <v>23</v>
      </c>
      <c r="J794" s="43" t="s">
        <v>11</v>
      </c>
      <c r="K794" s="43" t="s">
        <v>1561</v>
      </c>
      <c r="L794" s="43" t="s">
        <v>339</v>
      </c>
      <c r="M794">
        <f t="shared" si="49"/>
        <v>136</v>
      </c>
      <c r="N794">
        <f t="shared" si="50"/>
        <v>32</v>
      </c>
      <c r="O794">
        <f t="shared" si="51"/>
        <v>51</v>
      </c>
      <c r="P794">
        <f t="shared" si="52"/>
        <v>0</v>
      </c>
    </row>
    <row r="795" spans="9:16" ht="15" customHeight="1" x14ac:dyDescent="0.25">
      <c r="I795" s="41" t="s">
        <v>17</v>
      </c>
      <c r="J795" s="41" t="s">
        <v>11</v>
      </c>
      <c r="K795" s="41" t="s">
        <v>1561</v>
      </c>
      <c r="L795" s="41" t="s">
        <v>345</v>
      </c>
      <c r="M795">
        <f t="shared" si="49"/>
        <v>141</v>
      </c>
      <c r="N795">
        <f t="shared" si="50"/>
        <v>32</v>
      </c>
      <c r="O795">
        <f t="shared" si="51"/>
        <v>51</v>
      </c>
      <c r="P795">
        <f t="shared" si="52"/>
        <v>2</v>
      </c>
    </row>
    <row r="796" spans="9:16" ht="15" customHeight="1" x14ac:dyDescent="0.25">
      <c r="I796" s="43" t="s">
        <v>10</v>
      </c>
      <c r="J796" s="43" t="s">
        <v>11</v>
      </c>
      <c r="K796" s="43" t="s">
        <v>1560</v>
      </c>
      <c r="L796" s="43" t="s">
        <v>33</v>
      </c>
      <c r="M796">
        <f t="shared" si="49"/>
        <v>143</v>
      </c>
      <c r="N796">
        <f t="shared" si="50"/>
        <v>32</v>
      </c>
      <c r="O796">
        <f t="shared" si="51"/>
        <v>49</v>
      </c>
      <c r="P796">
        <f t="shared" si="52"/>
        <v>30</v>
      </c>
    </row>
    <row r="797" spans="9:16" ht="15" customHeight="1" x14ac:dyDescent="0.25">
      <c r="I797" s="41" t="s">
        <v>344</v>
      </c>
      <c r="J797" s="41" t="s">
        <v>11</v>
      </c>
      <c r="K797" s="41" t="s">
        <v>1558</v>
      </c>
      <c r="L797" s="41" t="s">
        <v>13</v>
      </c>
      <c r="M797">
        <f t="shared" si="49"/>
        <v>131</v>
      </c>
      <c r="N797">
        <f t="shared" si="50"/>
        <v>32</v>
      </c>
      <c r="O797">
        <f t="shared" si="51"/>
        <v>48</v>
      </c>
      <c r="P797">
        <f t="shared" si="52"/>
        <v>21</v>
      </c>
    </row>
    <row r="798" spans="9:16" ht="15" customHeight="1" x14ac:dyDescent="0.25">
      <c r="I798" s="43" t="s">
        <v>344</v>
      </c>
      <c r="J798" s="43" t="s">
        <v>24</v>
      </c>
      <c r="K798" s="43" t="s">
        <v>1557</v>
      </c>
      <c r="L798" s="43" t="s">
        <v>19</v>
      </c>
      <c r="M798">
        <f t="shared" si="49"/>
        <v>131</v>
      </c>
      <c r="N798">
        <f t="shared" si="50"/>
        <v>9</v>
      </c>
      <c r="O798">
        <f t="shared" si="51"/>
        <v>47</v>
      </c>
      <c r="P798">
        <f t="shared" si="52"/>
        <v>23</v>
      </c>
    </row>
    <row r="799" spans="9:16" ht="15" customHeight="1" x14ac:dyDescent="0.25">
      <c r="I799" s="41" t="s">
        <v>10</v>
      </c>
      <c r="J799" s="41" t="s">
        <v>11</v>
      </c>
      <c r="K799" s="41" t="s">
        <v>1559</v>
      </c>
      <c r="L799" s="41" t="s">
        <v>43</v>
      </c>
      <c r="M799">
        <f t="shared" si="49"/>
        <v>143</v>
      </c>
      <c r="N799">
        <f t="shared" si="50"/>
        <v>32</v>
      </c>
      <c r="O799">
        <f t="shared" si="51"/>
        <v>43</v>
      </c>
      <c r="P799">
        <f t="shared" si="52"/>
        <v>25</v>
      </c>
    </row>
    <row r="800" spans="9:16" ht="15" customHeight="1" x14ac:dyDescent="0.25">
      <c r="I800" s="43" t="s">
        <v>17</v>
      </c>
      <c r="J800" s="43" t="s">
        <v>11</v>
      </c>
      <c r="K800" s="43" t="s">
        <v>1556</v>
      </c>
      <c r="L800" s="43" t="s">
        <v>339</v>
      </c>
      <c r="M800">
        <f t="shared" si="49"/>
        <v>141</v>
      </c>
      <c r="N800">
        <f t="shared" si="50"/>
        <v>32</v>
      </c>
      <c r="O800">
        <f t="shared" si="51"/>
        <v>42</v>
      </c>
      <c r="P800">
        <f t="shared" si="52"/>
        <v>0</v>
      </c>
    </row>
    <row r="801" spans="9:16" ht="15" customHeight="1" x14ac:dyDescent="0.25">
      <c r="I801" s="41" t="s">
        <v>23</v>
      </c>
      <c r="J801" s="41" t="s">
        <v>11</v>
      </c>
      <c r="K801" s="41" t="s">
        <v>1555</v>
      </c>
      <c r="L801" s="41" t="s">
        <v>345</v>
      </c>
      <c r="M801">
        <f t="shared" si="49"/>
        <v>136</v>
      </c>
      <c r="N801">
        <f t="shared" si="50"/>
        <v>32</v>
      </c>
      <c r="O801">
        <f t="shared" si="51"/>
        <v>41</v>
      </c>
      <c r="P801">
        <f t="shared" si="52"/>
        <v>2</v>
      </c>
    </row>
    <row r="802" spans="9:16" ht="15" customHeight="1" x14ac:dyDescent="0.25">
      <c r="I802" s="43" t="s">
        <v>342</v>
      </c>
      <c r="J802" s="43" t="s">
        <v>11</v>
      </c>
      <c r="K802" s="43" t="s">
        <v>1554</v>
      </c>
      <c r="L802" s="43" t="s">
        <v>33</v>
      </c>
      <c r="M802">
        <f t="shared" si="49"/>
        <v>134</v>
      </c>
      <c r="N802">
        <f t="shared" si="50"/>
        <v>32</v>
      </c>
      <c r="O802">
        <f t="shared" si="51"/>
        <v>38</v>
      </c>
      <c r="P802">
        <f t="shared" si="52"/>
        <v>30</v>
      </c>
    </row>
    <row r="803" spans="9:16" ht="15" customHeight="1" x14ac:dyDescent="0.25">
      <c r="I803" s="41" t="s">
        <v>340</v>
      </c>
      <c r="J803" s="41" t="s">
        <v>24</v>
      </c>
      <c r="K803" s="41" t="s">
        <v>1553</v>
      </c>
      <c r="L803" s="41" t="s">
        <v>13</v>
      </c>
      <c r="M803">
        <f t="shared" si="49"/>
        <v>129</v>
      </c>
      <c r="N803">
        <f t="shared" si="50"/>
        <v>9</v>
      </c>
      <c r="O803">
        <f t="shared" si="51"/>
        <v>39</v>
      </c>
      <c r="P803">
        <f t="shared" si="52"/>
        <v>21</v>
      </c>
    </row>
    <row r="804" spans="9:16" ht="15" customHeight="1" x14ac:dyDescent="0.25">
      <c r="I804" s="43" t="s">
        <v>343</v>
      </c>
      <c r="J804" s="43" t="s">
        <v>11</v>
      </c>
      <c r="K804" s="43" t="s">
        <v>1552</v>
      </c>
      <c r="L804" s="43" t="s">
        <v>19</v>
      </c>
      <c r="M804">
        <f t="shared" si="49"/>
        <v>132</v>
      </c>
      <c r="N804">
        <f t="shared" si="50"/>
        <v>32</v>
      </c>
      <c r="O804">
        <f t="shared" si="51"/>
        <v>37</v>
      </c>
      <c r="P804">
        <f t="shared" si="52"/>
        <v>23</v>
      </c>
    </row>
    <row r="805" spans="9:16" ht="15" customHeight="1" x14ac:dyDescent="0.25">
      <c r="I805" s="41" t="s">
        <v>335</v>
      </c>
      <c r="J805" s="41" t="s">
        <v>24</v>
      </c>
      <c r="K805" s="41" t="s">
        <v>12</v>
      </c>
      <c r="L805" s="41" t="s">
        <v>43</v>
      </c>
      <c r="M805">
        <f t="shared" si="49"/>
        <v>139</v>
      </c>
      <c r="N805">
        <f t="shared" si="50"/>
        <v>9</v>
      </c>
      <c r="O805">
        <f t="shared" si="51"/>
        <v>0</v>
      </c>
      <c r="P805">
        <f t="shared" si="52"/>
        <v>25</v>
      </c>
    </row>
    <row r="806" spans="9:16" ht="15" customHeight="1" x14ac:dyDescent="0.25">
      <c r="I806" s="43" t="s">
        <v>338</v>
      </c>
      <c r="J806" s="43" t="s">
        <v>11</v>
      </c>
      <c r="K806" s="43" t="s">
        <v>12</v>
      </c>
      <c r="L806" s="43" t="s">
        <v>339</v>
      </c>
      <c r="M806">
        <f t="shared" si="49"/>
        <v>135</v>
      </c>
      <c r="N806">
        <f t="shared" si="50"/>
        <v>32</v>
      </c>
      <c r="O806">
        <f t="shared" si="51"/>
        <v>0</v>
      </c>
      <c r="P806">
        <f t="shared" si="52"/>
        <v>0</v>
      </c>
    </row>
    <row r="807" spans="9:16" ht="15" customHeight="1" x14ac:dyDescent="0.25">
      <c r="I807" s="41" t="s">
        <v>337</v>
      </c>
      <c r="J807" s="41" t="s">
        <v>24</v>
      </c>
      <c r="K807" s="41" t="s">
        <v>1552</v>
      </c>
      <c r="L807" s="41" t="s">
        <v>345</v>
      </c>
      <c r="M807">
        <f t="shared" si="49"/>
        <v>137</v>
      </c>
      <c r="N807">
        <f t="shared" si="50"/>
        <v>9</v>
      </c>
      <c r="O807">
        <f t="shared" si="51"/>
        <v>37</v>
      </c>
      <c r="P807">
        <f t="shared" si="52"/>
        <v>2</v>
      </c>
    </row>
    <row r="808" spans="9:16" ht="15" customHeight="1" x14ac:dyDescent="0.25">
      <c r="I808" s="43" t="s">
        <v>343</v>
      </c>
      <c r="J808" s="43" t="s">
        <v>11</v>
      </c>
      <c r="K808" s="43" t="s">
        <v>1555</v>
      </c>
      <c r="L808" s="43" t="s">
        <v>33</v>
      </c>
      <c r="M808">
        <f t="shared" si="49"/>
        <v>132</v>
      </c>
      <c r="N808">
        <f t="shared" si="50"/>
        <v>32</v>
      </c>
      <c r="O808">
        <f t="shared" si="51"/>
        <v>41</v>
      </c>
      <c r="P808">
        <f t="shared" si="52"/>
        <v>30</v>
      </c>
    </row>
    <row r="809" spans="9:16" ht="15" customHeight="1" x14ac:dyDescent="0.25">
      <c r="I809" s="41" t="s">
        <v>340</v>
      </c>
      <c r="J809" s="41" t="s">
        <v>24</v>
      </c>
      <c r="K809" s="41" t="s">
        <v>1557</v>
      </c>
      <c r="L809" s="41" t="s">
        <v>13</v>
      </c>
      <c r="M809">
        <f t="shared" si="49"/>
        <v>129</v>
      </c>
      <c r="N809">
        <f t="shared" si="50"/>
        <v>9</v>
      </c>
      <c r="O809">
        <f t="shared" si="51"/>
        <v>47</v>
      </c>
      <c r="P809">
        <f t="shared" si="52"/>
        <v>21</v>
      </c>
    </row>
    <row r="810" spans="9:16" ht="15" customHeight="1" x14ac:dyDescent="0.25">
      <c r="I810" s="43" t="s">
        <v>10</v>
      </c>
      <c r="J810" s="43" t="s">
        <v>24</v>
      </c>
      <c r="K810" s="43" t="s">
        <v>1560</v>
      </c>
      <c r="L810" s="43" t="s">
        <v>19</v>
      </c>
      <c r="M810">
        <f t="shared" si="49"/>
        <v>143</v>
      </c>
      <c r="N810">
        <f t="shared" si="50"/>
        <v>9</v>
      </c>
      <c r="O810">
        <f t="shared" si="51"/>
        <v>49</v>
      </c>
      <c r="P810">
        <f t="shared" si="52"/>
        <v>23</v>
      </c>
    </row>
    <row r="811" spans="9:16" ht="15" customHeight="1" x14ac:dyDescent="0.25">
      <c r="I811" s="41" t="s">
        <v>344</v>
      </c>
      <c r="J811" s="41" t="s">
        <v>24</v>
      </c>
      <c r="K811" s="41" t="s">
        <v>33</v>
      </c>
      <c r="L811" s="41" t="s">
        <v>43</v>
      </c>
      <c r="M811">
        <f t="shared" si="49"/>
        <v>131</v>
      </c>
      <c r="N811">
        <f t="shared" si="50"/>
        <v>9</v>
      </c>
      <c r="O811">
        <f t="shared" si="51"/>
        <v>30</v>
      </c>
      <c r="P811">
        <f t="shared" si="52"/>
        <v>25</v>
      </c>
    </row>
    <row r="812" spans="9:16" ht="15" customHeight="1" x14ac:dyDescent="0.25">
      <c r="I812" s="43" t="s">
        <v>338</v>
      </c>
      <c r="J812" s="43" t="s">
        <v>11</v>
      </c>
      <c r="K812" s="43" t="s">
        <v>13</v>
      </c>
      <c r="L812" s="43" t="s">
        <v>339</v>
      </c>
      <c r="M812">
        <f t="shared" si="49"/>
        <v>135</v>
      </c>
      <c r="N812">
        <f t="shared" si="50"/>
        <v>32</v>
      </c>
      <c r="O812">
        <f t="shared" si="51"/>
        <v>21</v>
      </c>
      <c r="P812">
        <f t="shared" si="52"/>
        <v>0</v>
      </c>
    </row>
    <row r="813" spans="9:16" ht="15" customHeight="1" x14ac:dyDescent="0.25">
      <c r="I813" s="41" t="s">
        <v>23</v>
      </c>
      <c r="J813" s="41" t="s">
        <v>11</v>
      </c>
      <c r="K813" s="41" t="s">
        <v>19</v>
      </c>
      <c r="L813" s="41" t="s">
        <v>345</v>
      </c>
      <c r="M813">
        <f t="shared" si="49"/>
        <v>136</v>
      </c>
      <c r="N813">
        <f t="shared" si="50"/>
        <v>32</v>
      </c>
      <c r="O813">
        <f t="shared" si="51"/>
        <v>23</v>
      </c>
      <c r="P813">
        <f t="shared" si="52"/>
        <v>2</v>
      </c>
    </row>
    <row r="814" spans="9:16" ht="15" customHeight="1" x14ac:dyDescent="0.25">
      <c r="I814" s="43" t="s">
        <v>17</v>
      </c>
      <c r="J814" s="43" t="s">
        <v>11</v>
      </c>
      <c r="K814" s="43" t="s">
        <v>43</v>
      </c>
      <c r="L814" s="43" t="s">
        <v>33</v>
      </c>
      <c r="M814">
        <f t="shared" si="49"/>
        <v>141</v>
      </c>
      <c r="N814">
        <f t="shared" si="50"/>
        <v>32</v>
      </c>
      <c r="O814">
        <f t="shared" si="51"/>
        <v>25</v>
      </c>
      <c r="P814">
        <f t="shared" si="52"/>
        <v>30</v>
      </c>
    </row>
    <row r="815" spans="9:16" ht="15" customHeight="1" x14ac:dyDescent="0.25">
      <c r="I815" s="41" t="s">
        <v>10</v>
      </c>
      <c r="J815" s="41" t="s">
        <v>11</v>
      </c>
      <c r="K815" s="41" t="s">
        <v>339</v>
      </c>
      <c r="L815" s="41" t="s">
        <v>13</v>
      </c>
      <c r="M815">
        <f t="shared" si="49"/>
        <v>143</v>
      </c>
      <c r="N815">
        <f t="shared" si="50"/>
        <v>32</v>
      </c>
      <c r="O815">
        <f t="shared" si="51"/>
        <v>0</v>
      </c>
      <c r="P815">
        <f t="shared" si="52"/>
        <v>21</v>
      </c>
    </row>
    <row r="816" spans="9:16" ht="15" customHeight="1" x14ac:dyDescent="0.25">
      <c r="I816" s="43" t="s">
        <v>337</v>
      </c>
      <c r="J816" s="43" t="s">
        <v>11</v>
      </c>
      <c r="K816" s="43" t="s">
        <v>345</v>
      </c>
      <c r="L816" s="43" t="s">
        <v>19</v>
      </c>
      <c r="M816">
        <f t="shared" si="49"/>
        <v>137</v>
      </c>
      <c r="N816">
        <f t="shared" si="50"/>
        <v>32</v>
      </c>
      <c r="O816">
        <f t="shared" si="51"/>
        <v>2</v>
      </c>
      <c r="P816">
        <f t="shared" si="52"/>
        <v>23</v>
      </c>
    </row>
    <row r="817" spans="9:16" ht="15" customHeight="1" x14ac:dyDescent="0.25">
      <c r="I817" s="41" t="s">
        <v>338</v>
      </c>
      <c r="J817" s="41" t="s">
        <v>11</v>
      </c>
      <c r="K817" s="41" t="s">
        <v>33</v>
      </c>
      <c r="L817" s="41" t="s">
        <v>43</v>
      </c>
      <c r="M817">
        <f t="shared" si="49"/>
        <v>135</v>
      </c>
      <c r="N817">
        <f t="shared" si="50"/>
        <v>32</v>
      </c>
      <c r="O817">
        <f t="shared" si="51"/>
        <v>30</v>
      </c>
      <c r="P817">
        <f t="shared" si="52"/>
        <v>25</v>
      </c>
    </row>
    <row r="818" spans="9:16" ht="15" customHeight="1" x14ac:dyDescent="0.25">
      <c r="I818" s="43" t="s">
        <v>338</v>
      </c>
      <c r="J818" s="43" t="s">
        <v>24</v>
      </c>
      <c r="K818" s="43" t="s">
        <v>13</v>
      </c>
      <c r="L818" s="43" t="s">
        <v>339</v>
      </c>
      <c r="M818">
        <f t="shared" si="49"/>
        <v>135</v>
      </c>
      <c r="N818">
        <f t="shared" si="50"/>
        <v>9</v>
      </c>
      <c r="O818">
        <f t="shared" si="51"/>
        <v>21</v>
      </c>
      <c r="P818">
        <f t="shared" si="52"/>
        <v>0</v>
      </c>
    </row>
    <row r="819" spans="9:16" ht="15" customHeight="1" x14ac:dyDescent="0.25">
      <c r="I819" s="41" t="s">
        <v>335</v>
      </c>
      <c r="J819" s="41" t="s">
        <v>11</v>
      </c>
      <c r="K819" s="41" t="s">
        <v>19</v>
      </c>
      <c r="L819" s="41" t="s">
        <v>345</v>
      </c>
      <c r="M819">
        <f t="shared" si="49"/>
        <v>139</v>
      </c>
      <c r="N819">
        <f t="shared" si="50"/>
        <v>32</v>
      </c>
      <c r="O819">
        <f t="shared" si="51"/>
        <v>23</v>
      </c>
      <c r="P819">
        <f t="shared" si="52"/>
        <v>2</v>
      </c>
    </row>
    <row r="820" spans="9:16" ht="15" customHeight="1" x14ac:dyDescent="0.25">
      <c r="I820" s="43" t="s">
        <v>335</v>
      </c>
      <c r="J820" s="43" t="s">
        <v>24</v>
      </c>
      <c r="K820" s="43" t="s">
        <v>43</v>
      </c>
      <c r="L820" s="43" t="s">
        <v>33</v>
      </c>
      <c r="M820">
        <f t="shared" si="49"/>
        <v>139</v>
      </c>
      <c r="N820">
        <f t="shared" si="50"/>
        <v>9</v>
      </c>
      <c r="O820">
        <f t="shared" si="51"/>
        <v>25</v>
      </c>
      <c r="P820">
        <f t="shared" si="52"/>
        <v>30</v>
      </c>
    </row>
    <row r="821" spans="9:16" ht="15" customHeight="1" x14ac:dyDescent="0.25">
      <c r="I821" s="41" t="s">
        <v>342</v>
      </c>
      <c r="J821" s="41" t="s">
        <v>24</v>
      </c>
      <c r="K821" s="41" t="s">
        <v>339</v>
      </c>
      <c r="L821" s="41" t="s">
        <v>13</v>
      </c>
      <c r="M821">
        <f t="shared" si="49"/>
        <v>134</v>
      </c>
      <c r="N821">
        <f t="shared" si="50"/>
        <v>9</v>
      </c>
      <c r="O821">
        <f t="shared" si="51"/>
        <v>0</v>
      </c>
      <c r="P821">
        <f t="shared" si="52"/>
        <v>21</v>
      </c>
    </row>
    <row r="822" spans="9:16" ht="15" customHeight="1" x14ac:dyDescent="0.25">
      <c r="I822" s="43" t="s">
        <v>342</v>
      </c>
      <c r="J822" s="43" t="s">
        <v>11</v>
      </c>
      <c r="K822" s="43" t="s">
        <v>345</v>
      </c>
      <c r="L822" s="43" t="s">
        <v>19</v>
      </c>
      <c r="M822">
        <f t="shared" si="49"/>
        <v>134</v>
      </c>
      <c r="N822">
        <f t="shared" si="50"/>
        <v>32</v>
      </c>
      <c r="O822">
        <f t="shared" si="51"/>
        <v>2</v>
      </c>
      <c r="P822">
        <f t="shared" si="52"/>
        <v>23</v>
      </c>
    </row>
    <row r="823" spans="9:16" ht="15" customHeight="1" x14ac:dyDescent="0.25">
      <c r="I823" s="41" t="s">
        <v>10</v>
      </c>
      <c r="J823" s="41" t="s">
        <v>24</v>
      </c>
      <c r="K823" s="41" t="s">
        <v>33</v>
      </c>
      <c r="L823" s="41" t="s">
        <v>43</v>
      </c>
      <c r="M823">
        <f t="shared" si="49"/>
        <v>143</v>
      </c>
      <c r="N823">
        <f t="shared" si="50"/>
        <v>9</v>
      </c>
      <c r="O823">
        <f t="shared" si="51"/>
        <v>30</v>
      </c>
      <c r="P823">
        <f t="shared" si="52"/>
        <v>25</v>
      </c>
    </row>
    <row r="824" spans="9:16" ht="15" customHeight="1" x14ac:dyDescent="0.25">
      <c r="I824" s="43" t="s">
        <v>17</v>
      </c>
      <c r="J824" s="43" t="s">
        <v>24</v>
      </c>
      <c r="K824" s="43" t="s">
        <v>12</v>
      </c>
      <c r="L824" s="43" t="s">
        <v>19</v>
      </c>
      <c r="M824">
        <f t="shared" ref="M824:M887" si="53">_xlfn.XLOOKUP(I824,$C$9:$C$37,$D$9:$D$37,2,0)</f>
        <v>141</v>
      </c>
      <c r="N824">
        <f t="shared" ref="N824:N887" si="54">_xlfn.XLOOKUP(J824,$C$9:$C$37,$D$9:$D$37,2,0)</f>
        <v>9</v>
      </c>
      <c r="O824">
        <f t="shared" ref="O824:O887" si="55">_xlfn.XLOOKUP(K824,$C$9:$C$37,$D$9:$D$37,2,0)</f>
        <v>0</v>
      </c>
      <c r="P824">
        <f t="shared" ref="P824:P887" si="56">_xlfn.XLOOKUP(L824,$C$9:$C$37,$D$9:$D$37,2,0)</f>
        <v>23</v>
      </c>
    </row>
    <row r="825" spans="9:16" ht="15" customHeight="1" x14ac:dyDescent="0.25">
      <c r="I825" s="41" t="s">
        <v>10</v>
      </c>
      <c r="J825" s="41" t="s">
        <v>24</v>
      </c>
      <c r="K825" s="41" t="s">
        <v>12</v>
      </c>
      <c r="L825" s="41" t="s">
        <v>43</v>
      </c>
      <c r="M825">
        <f t="shared" si="53"/>
        <v>143</v>
      </c>
      <c r="N825">
        <f t="shared" si="54"/>
        <v>9</v>
      </c>
      <c r="O825">
        <f t="shared" si="55"/>
        <v>0</v>
      </c>
      <c r="P825">
        <f t="shared" si="56"/>
        <v>25</v>
      </c>
    </row>
    <row r="826" spans="9:16" ht="15" customHeight="1" x14ac:dyDescent="0.25">
      <c r="I826" s="43" t="s">
        <v>344</v>
      </c>
      <c r="J826" s="43" t="s">
        <v>11</v>
      </c>
      <c r="K826" s="43" t="s">
        <v>1552</v>
      </c>
      <c r="L826" s="43" t="s">
        <v>339</v>
      </c>
      <c r="M826">
        <f t="shared" si="53"/>
        <v>131</v>
      </c>
      <c r="N826">
        <f t="shared" si="54"/>
        <v>32</v>
      </c>
      <c r="O826">
        <f t="shared" si="55"/>
        <v>37</v>
      </c>
      <c r="P826">
        <f t="shared" si="56"/>
        <v>0</v>
      </c>
    </row>
    <row r="827" spans="9:16" ht="15" customHeight="1" x14ac:dyDescent="0.25">
      <c r="I827" s="41" t="s">
        <v>344</v>
      </c>
      <c r="J827" s="41" t="s">
        <v>11</v>
      </c>
      <c r="K827" s="41" t="s">
        <v>1555</v>
      </c>
      <c r="L827" s="41" t="s">
        <v>345</v>
      </c>
      <c r="M827">
        <f t="shared" si="53"/>
        <v>131</v>
      </c>
      <c r="N827">
        <f t="shared" si="54"/>
        <v>32</v>
      </c>
      <c r="O827">
        <f t="shared" si="55"/>
        <v>41</v>
      </c>
      <c r="P827">
        <f t="shared" si="56"/>
        <v>2</v>
      </c>
    </row>
    <row r="828" spans="9:16" ht="15" customHeight="1" x14ac:dyDescent="0.25">
      <c r="I828" s="43" t="s">
        <v>10</v>
      </c>
      <c r="J828" s="43" t="s">
        <v>24</v>
      </c>
      <c r="K828" s="43" t="s">
        <v>1557</v>
      </c>
      <c r="L828" s="43" t="s">
        <v>33</v>
      </c>
      <c r="M828">
        <f t="shared" si="53"/>
        <v>143</v>
      </c>
      <c r="N828">
        <f t="shared" si="54"/>
        <v>9</v>
      </c>
      <c r="O828">
        <f t="shared" si="55"/>
        <v>47</v>
      </c>
      <c r="P828">
        <f t="shared" si="56"/>
        <v>30</v>
      </c>
    </row>
    <row r="829" spans="9:16" ht="15" customHeight="1" x14ac:dyDescent="0.25">
      <c r="I829" s="41" t="s">
        <v>17</v>
      </c>
      <c r="J829" s="41" t="s">
        <v>24</v>
      </c>
      <c r="K829" s="41" t="s">
        <v>1560</v>
      </c>
      <c r="L829" s="41" t="s">
        <v>13</v>
      </c>
      <c r="M829">
        <f t="shared" si="53"/>
        <v>141</v>
      </c>
      <c r="N829">
        <f t="shared" si="54"/>
        <v>9</v>
      </c>
      <c r="O829">
        <f t="shared" si="55"/>
        <v>49</v>
      </c>
      <c r="P829">
        <f t="shared" si="56"/>
        <v>21</v>
      </c>
    </row>
    <row r="830" spans="9:16" ht="15" customHeight="1" x14ac:dyDescent="0.25">
      <c r="I830" s="43" t="s">
        <v>23</v>
      </c>
      <c r="J830" s="43" t="s">
        <v>11</v>
      </c>
      <c r="K830" s="43" t="s">
        <v>1553</v>
      </c>
      <c r="L830" s="43" t="s">
        <v>19</v>
      </c>
      <c r="M830">
        <f t="shared" si="53"/>
        <v>136</v>
      </c>
      <c r="N830">
        <f t="shared" si="54"/>
        <v>32</v>
      </c>
      <c r="O830">
        <f t="shared" si="55"/>
        <v>39</v>
      </c>
      <c r="P830">
        <f t="shared" si="56"/>
        <v>23</v>
      </c>
    </row>
    <row r="831" spans="9:16" ht="15" customHeight="1" x14ac:dyDescent="0.25">
      <c r="I831" s="41" t="s">
        <v>337</v>
      </c>
      <c r="J831" s="41" t="s">
        <v>11</v>
      </c>
      <c r="K831" s="41" t="s">
        <v>1561</v>
      </c>
      <c r="L831" s="41" t="s">
        <v>33</v>
      </c>
      <c r="M831">
        <f t="shared" si="53"/>
        <v>137</v>
      </c>
      <c r="N831">
        <f t="shared" si="54"/>
        <v>32</v>
      </c>
      <c r="O831">
        <f t="shared" si="55"/>
        <v>51</v>
      </c>
      <c r="P831">
        <f t="shared" si="56"/>
        <v>30</v>
      </c>
    </row>
    <row r="832" spans="9:16" ht="15" customHeight="1" x14ac:dyDescent="0.25">
      <c r="I832" s="43" t="s">
        <v>338</v>
      </c>
      <c r="J832" s="43" t="s">
        <v>11</v>
      </c>
      <c r="K832" s="43" t="s">
        <v>1560</v>
      </c>
      <c r="L832" s="43" t="s">
        <v>13</v>
      </c>
      <c r="M832">
        <f t="shared" si="53"/>
        <v>135</v>
      </c>
      <c r="N832">
        <f t="shared" si="54"/>
        <v>32</v>
      </c>
      <c r="O832">
        <f t="shared" si="55"/>
        <v>49</v>
      </c>
      <c r="P832">
        <f t="shared" si="56"/>
        <v>21</v>
      </c>
    </row>
    <row r="833" spans="9:16" ht="15" customHeight="1" x14ac:dyDescent="0.25">
      <c r="I833" s="41" t="s">
        <v>335</v>
      </c>
      <c r="J833" s="41" t="s">
        <v>24</v>
      </c>
      <c r="K833" s="41" t="s">
        <v>1558</v>
      </c>
      <c r="L833" s="41" t="s">
        <v>19</v>
      </c>
      <c r="M833">
        <f t="shared" si="53"/>
        <v>139</v>
      </c>
      <c r="N833">
        <f t="shared" si="54"/>
        <v>9</v>
      </c>
      <c r="O833">
        <f t="shared" si="55"/>
        <v>48</v>
      </c>
      <c r="P833">
        <f t="shared" si="56"/>
        <v>23</v>
      </c>
    </row>
    <row r="834" spans="9:16" ht="15" customHeight="1" x14ac:dyDescent="0.25">
      <c r="I834" s="43" t="s">
        <v>343</v>
      </c>
      <c r="J834" s="43" t="s">
        <v>24</v>
      </c>
      <c r="K834" s="43" t="s">
        <v>1557</v>
      </c>
      <c r="L834" s="43" t="s">
        <v>43</v>
      </c>
      <c r="M834">
        <f t="shared" si="53"/>
        <v>132</v>
      </c>
      <c r="N834">
        <f t="shared" si="54"/>
        <v>9</v>
      </c>
      <c r="O834">
        <f t="shared" si="55"/>
        <v>47</v>
      </c>
      <c r="P834">
        <f t="shared" si="56"/>
        <v>25</v>
      </c>
    </row>
    <row r="835" spans="9:16" ht="15" customHeight="1" x14ac:dyDescent="0.25">
      <c r="I835" s="41" t="s">
        <v>340</v>
      </c>
      <c r="J835" s="41" t="s">
        <v>24</v>
      </c>
      <c r="K835" s="41" t="s">
        <v>1559</v>
      </c>
      <c r="L835" s="41" t="s">
        <v>339</v>
      </c>
      <c r="M835">
        <f t="shared" si="53"/>
        <v>129</v>
      </c>
      <c r="N835">
        <f t="shared" si="54"/>
        <v>9</v>
      </c>
      <c r="O835">
        <f t="shared" si="55"/>
        <v>43</v>
      </c>
      <c r="P835">
        <f t="shared" si="56"/>
        <v>0</v>
      </c>
    </row>
    <row r="836" spans="9:16" ht="15" customHeight="1" x14ac:dyDescent="0.25">
      <c r="I836" s="43" t="s">
        <v>342</v>
      </c>
      <c r="J836" s="43" t="s">
        <v>11</v>
      </c>
      <c r="K836" s="43" t="s">
        <v>1556</v>
      </c>
      <c r="L836" s="43" t="s">
        <v>345</v>
      </c>
      <c r="M836">
        <f t="shared" si="53"/>
        <v>134</v>
      </c>
      <c r="N836">
        <f t="shared" si="54"/>
        <v>32</v>
      </c>
      <c r="O836">
        <f t="shared" si="55"/>
        <v>42</v>
      </c>
      <c r="P836">
        <f t="shared" si="56"/>
        <v>2</v>
      </c>
    </row>
    <row r="837" spans="9:16" ht="15" customHeight="1" x14ac:dyDescent="0.25">
      <c r="I837" s="41" t="s">
        <v>23</v>
      </c>
      <c r="J837" s="41" t="s">
        <v>24</v>
      </c>
      <c r="K837" s="41" t="s">
        <v>1555</v>
      </c>
      <c r="L837" s="41" t="s">
        <v>33</v>
      </c>
      <c r="M837">
        <f t="shared" si="53"/>
        <v>136</v>
      </c>
      <c r="N837">
        <f t="shared" si="54"/>
        <v>9</v>
      </c>
      <c r="O837">
        <f t="shared" si="55"/>
        <v>41</v>
      </c>
      <c r="P837">
        <f t="shared" si="56"/>
        <v>30</v>
      </c>
    </row>
    <row r="838" spans="9:16" ht="15" customHeight="1" x14ac:dyDescent="0.25">
      <c r="I838" s="43" t="s">
        <v>17</v>
      </c>
      <c r="J838" s="43" t="s">
        <v>11</v>
      </c>
      <c r="K838" s="43" t="s">
        <v>1554</v>
      </c>
      <c r="L838" s="43" t="s">
        <v>13</v>
      </c>
      <c r="M838">
        <f t="shared" si="53"/>
        <v>141</v>
      </c>
      <c r="N838">
        <f t="shared" si="54"/>
        <v>32</v>
      </c>
      <c r="O838">
        <f t="shared" si="55"/>
        <v>38</v>
      </c>
      <c r="P838">
        <f t="shared" si="56"/>
        <v>21</v>
      </c>
    </row>
    <row r="839" spans="9:16" ht="15" customHeight="1" x14ac:dyDescent="0.25">
      <c r="I839" s="41" t="s">
        <v>10</v>
      </c>
      <c r="J839" s="41" t="s">
        <v>11</v>
      </c>
      <c r="K839" s="41" t="s">
        <v>1553</v>
      </c>
      <c r="L839" s="41" t="s">
        <v>19</v>
      </c>
      <c r="M839">
        <f t="shared" si="53"/>
        <v>143</v>
      </c>
      <c r="N839">
        <f t="shared" si="54"/>
        <v>32</v>
      </c>
      <c r="O839">
        <f t="shared" si="55"/>
        <v>39</v>
      </c>
      <c r="P839">
        <f t="shared" si="56"/>
        <v>23</v>
      </c>
    </row>
    <row r="840" spans="9:16" ht="15" customHeight="1" x14ac:dyDescent="0.25">
      <c r="I840" s="43" t="s">
        <v>344</v>
      </c>
      <c r="J840" s="43" t="s">
        <v>11</v>
      </c>
      <c r="K840" s="43" t="s">
        <v>1552</v>
      </c>
      <c r="L840" s="43" t="s">
        <v>43</v>
      </c>
      <c r="M840">
        <f t="shared" si="53"/>
        <v>131</v>
      </c>
      <c r="N840">
        <f t="shared" si="54"/>
        <v>32</v>
      </c>
      <c r="O840">
        <f t="shared" si="55"/>
        <v>37</v>
      </c>
      <c r="P840">
        <f t="shared" si="56"/>
        <v>25</v>
      </c>
    </row>
    <row r="841" spans="9:16" ht="15" customHeight="1" x14ac:dyDescent="0.25">
      <c r="I841" s="41" t="s">
        <v>344</v>
      </c>
      <c r="J841" s="41" t="s">
        <v>24</v>
      </c>
      <c r="K841" s="41" t="s">
        <v>12</v>
      </c>
      <c r="L841" s="41" t="s">
        <v>339</v>
      </c>
      <c r="M841">
        <f t="shared" si="53"/>
        <v>131</v>
      </c>
      <c r="N841">
        <f t="shared" si="54"/>
        <v>9</v>
      </c>
      <c r="O841">
        <f t="shared" si="55"/>
        <v>0</v>
      </c>
      <c r="P841">
        <f t="shared" si="56"/>
        <v>0</v>
      </c>
    </row>
    <row r="842" spans="9:16" ht="15" customHeight="1" x14ac:dyDescent="0.25">
      <c r="I842" s="43" t="s">
        <v>10</v>
      </c>
      <c r="J842" s="43" t="s">
        <v>24</v>
      </c>
      <c r="K842" s="43" t="s">
        <v>12</v>
      </c>
      <c r="L842" s="43" t="s">
        <v>345</v>
      </c>
      <c r="M842">
        <f t="shared" si="53"/>
        <v>143</v>
      </c>
      <c r="N842">
        <f t="shared" si="54"/>
        <v>9</v>
      </c>
      <c r="O842">
        <f t="shared" si="55"/>
        <v>0</v>
      </c>
      <c r="P842">
        <f t="shared" si="56"/>
        <v>2</v>
      </c>
    </row>
    <row r="843" spans="9:16" ht="15" customHeight="1" x14ac:dyDescent="0.25">
      <c r="I843" s="41" t="s">
        <v>17</v>
      </c>
      <c r="J843" s="41" t="s">
        <v>24</v>
      </c>
      <c r="K843" s="41" t="s">
        <v>1552</v>
      </c>
      <c r="L843" s="41" t="s">
        <v>33</v>
      </c>
      <c r="M843">
        <f t="shared" si="53"/>
        <v>141</v>
      </c>
      <c r="N843">
        <f t="shared" si="54"/>
        <v>9</v>
      </c>
      <c r="O843">
        <f t="shared" si="55"/>
        <v>37</v>
      </c>
      <c r="P843">
        <f t="shared" si="56"/>
        <v>30</v>
      </c>
    </row>
    <row r="844" spans="9:16" ht="15" customHeight="1" x14ac:dyDescent="0.25">
      <c r="I844" s="43" t="s">
        <v>23</v>
      </c>
      <c r="J844" s="43" t="s">
        <v>24</v>
      </c>
      <c r="K844" s="43" t="s">
        <v>1555</v>
      </c>
      <c r="L844" s="43" t="s">
        <v>13</v>
      </c>
      <c r="M844">
        <f t="shared" si="53"/>
        <v>136</v>
      </c>
      <c r="N844">
        <f t="shared" si="54"/>
        <v>9</v>
      </c>
      <c r="O844">
        <f t="shared" si="55"/>
        <v>41</v>
      </c>
      <c r="P844">
        <f t="shared" si="56"/>
        <v>21</v>
      </c>
    </row>
    <row r="845" spans="9:16" ht="15" customHeight="1" x14ac:dyDescent="0.25">
      <c r="I845" s="41" t="s">
        <v>342</v>
      </c>
      <c r="J845" s="41" t="s">
        <v>24</v>
      </c>
      <c r="K845" s="41" t="s">
        <v>1557</v>
      </c>
      <c r="L845" s="41" t="s">
        <v>19</v>
      </c>
      <c r="M845">
        <f t="shared" si="53"/>
        <v>134</v>
      </c>
      <c r="N845">
        <f t="shared" si="54"/>
        <v>9</v>
      </c>
      <c r="O845">
        <f t="shared" si="55"/>
        <v>47</v>
      </c>
      <c r="P845">
        <f t="shared" si="56"/>
        <v>23</v>
      </c>
    </row>
    <row r="846" spans="9:16" ht="15" customHeight="1" x14ac:dyDescent="0.25">
      <c r="I846" s="43" t="s">
        <v>340</v>
      </c>
      <c r="J846" s="43" t="s">
        <v>24</v>
      </c>
      <c r="K846" s="43" t="s">
        <v>1560</v>
      </c>
      <c r="L846" s="43" t="s">
        <v>43</v>
      </c>
      <c r="M846">
        <f t="shared" si="53"/>
        <v>129</v>
      </c>
      <c r="N846">
        <f t="shared" si="54"/>
        <v>9</v>
      </c>
      <c r="O846">
        <f t="shared" si="55"/>
        <v>49</v>
      </c>
      <c r="P846">
        <f t="shared" si="56"/>
        <v>25</v>
      </c>
    </row>
    <row r="847" spans="9:16" ht="15" customHeight="1" x14ac:dyDescent="0.25">
      <c r="I847" s="41" t="s">
        <v>343</v>
      </c>
      <c r="J847" s="41" t="s">
        <v>11</v>
      </c>
      <c r="K847" s="41" t="s">
        <v>1553</v>
      </c>
      <c r="L847" s="41" t="s">
        <v>339</v>
      </c>
      <c r="M847">
        <f t="shared" si="53"/>
        <v>132</v>
      </c>
      <c r="N847">
        <f t="shared" si="54"/>
        <v>32</v>
      </c>
      <c r="O847">
        <f t="shared" si="55"/>
        <v>39</v>
      </c>
      <c r="P847">
        <f t="shared" si="56"/>
        <v>0</v>
      </c>
    </row>
    <row r="848" spans="9:16" ht="15" customHeight="1" x14ac:dyDescent="0.25">
      <c r="I848" s="43" t="s">
        <v>335</v>
      </c>
      <c r="J848" s="43" t="s">
        <v>11</v>
      </c>
      <c r="K848" s="43" t="s">
        <v>1556</v>
      </c>
      <c r="L848" s="43" t="s">
        <v>345</v>
      </c>
      <c r="M848">
        <f t="shared" si="53"/>
        <v>139</v>
      </c>
      <c r="N848">
        <f t="shared" si="54"/>
        <v>32</v>
      </c>
      <c r="O848">
        <f t="shared" si="55"/>
        <v>42</v>
      </c>
      <c r="P848">
        <f t="shared" si="56"/>
        <v>2</v>
      </c>
    </row>
    <row r="849" spans="9:16" ht="15" customHeight="1" x14ac:dyDescent="0.25">
      <c r="I849" s="41" t="s">
        <v>338</v>
      </c>
      <c r="J849" s="41" t="s">
        <v>24</v>
      </c>
      <c r="K849" s="41" t="s">
        <v>1558</v>
      </c>
      <c r="L849" s="41" t="s">
        <v>33</v>
      </c>
      <c r="M849">
        <f t="shared" si="53"/>
        <v>135</v>
      </c>
      <c r="N849">
        <f t="shared" si="54"/>
        <v>9</v>
      </c>
      <c r="O849">
        <f t="shared" si="55"/>
        <v>48</v>
      </c>
      <c r="P849">
        <f t="shared" si="56"/>
        <v>30</v>
      </c>
    </row>
    <row r="850" spans="9:16" ht="15" customHeight="1" x14ac:dyDescent="0.25">
      <c r="I850" s="43" t="s">
        <v>337</v>
      </c>
      <c r="J850" s="43" t="s">
        <v>24</v>
      </c>
      <c r="K850" s="43" t="s">
        <v>1561</v>
      </c>
      <c r="L850" s="43" t="s">
        <v>13</v>
      </c>
      <c r="M850">
        <f t="shared" si="53"/>
        <v>137</v>
      </c>
      <c r="N850">
        <f t="shared" si="54"/>
        <v>9</v>
      </c>
      <c r="O850">
        <f t="shared" si="55"/>
        <v>51</v>
      </c>
      <c r="P850">
        <f t="shared" si="56"/>
        <v>21</v>
      </c>
    </row>
    <row r="851" spans="9:16" ht="15" customHeight="1" x14ac:dyDescent="0.25">
      <c r="I851" s="41" t="s">
        <v>343</v>
      </c>
      <c r="J851" s="41" t="s">
        <v>11</v>
      </c>
      <c r="K851" s="41" t="s">
        <v>1554</v>
      </c>
      <c r="L851" s="41" t="s">
        <v>19</v>
      </c>
      <c r="M851">
        <f t="shared" si="53"/>
        <v>132</v>
      </c>
      <c r="N851">
        <f t="shared" si="54"/>
        <v>32</v>
      </c>
      <c r="O851">
        <f t="shared" si="55"/>
        <v>38</v>
      </c>
      <c r="P851">
        <f t="shared" si="56"/>
        <v>23</v>
      </c>
    </row>
    <row r="852" spans="9:16" ht="15" customHeight="1" x14ac:dyDescent="0.25">
      <c r="I852" s="43" t="s">
        <v>340</v>
      </c>
      <c r="J852" s="43" t="s">
        <v>11</v>
      </c>
      <c r="K852" s="43" t="s">
        <v>1559</v>
      </c>
      <c r="L852" s="43" t="s">
        <v>43</v>
      </c>
      <c r="M852">
        <f t="shared" si="53"/>
        <v>129</v>
      </c>
      <c r="N852">
        <f t="shared" si="54"/>
        <v>32</v>
      </c>
      <c r="O852">
        <f t="shared" si="55"/>
        <v>43</v>
      </c>
      <c r="P852">
        <f t="shared" si="56"/>
        <v>25</v>
      </c>
    </row>
    <row r="853" spans="9:16" ht="15" customHeight="1" x14ac:dyDescent="0.25">
      <c r="I853" s="41" t="s">
        <v>10</v>
      </c>
      <c r="J853" s="41" t="s">
        <v>11</v>
      </c>
      <c r="K853" s="41" t="s">
        <v>1554</v>
      </c>
      <c r="L853" s="41" t="s">
        <v>339</v>
      </c>
      <c r="M853">
        <f t="shared" si="53"/>
        <v>143</v>
      </c>
      <c r="N853">
        <f t="shared" si="54"/>
        <v>32</v>
      </c>
      <c r="O853">
        <f t="shared" si="55"/>
        <v>38</v>
      </c>
      <c r="P853">
        <f t="shared" si="56"/>
        <v>0</v>
      </c>
    </row>
    <row r="854" spans="9:16" ht="15" customHeight="1" x14ac:dyDescent="0.25">
      <c r="I854" s="43" t="s">
        <v>344</v>
      </c>
      <c r="J854" s="43" t="s">
        <v>24</v>
      </c>
      <c r="K854" s="43" t="s">
        <v>1559</v>
      </c>
      <c r="L854" s="43" t="s">
        <v>345</v>
      </c>
      <c r="M854">
        <f t="shared" si="53"/>
        <v>131</v>
      </c>
      <c r="N854">
        <f t="shared" si="54"/>
        <v>9</v>
      </c>
      <c r="O854">
        <f t="shared" si="55"/>
        <v>43</v>
      </c>
      <c r="P854">
        <f t="shared" si="56"/>
        <v>2</v>
      </c>
    </row>
    <row r="855" spans="9:16" ht="15" customHeight="1" x14ac:dyDescent="0.25">
      <c r="I855" s="41" t="s">
        <v>338</v>
      </c>
      <c r="J855" s="41" t="s">
        <v>11</v>
      </c>
      <c r="K855" s="41" t="s">
        <v>1553</v>
      </c>
      <c r="L855" s="41" t="s">
        <v>33</v>
      </c>
      <c r="M855">
        <f t="shared" si="53"/>
        <v>135</v>
      </c>
      <c r="N855">
        <f t="shared" si="54"/>
        <v>32</v>
      </c>
      <c r="O855">
        <f t="shared" si="55"/>
        <v>39</v>
      </c>
      <c r="P855">
        <f t="shared" si="56"/>
        <v>30</v>
      </c>
    </row>
    <row r="856" spans="9:16" ht="15" customHeight="1" x14ac:dyDescent="0.25">
      <c r="I856" s="43" t="s">
        <v>23</v>
      </c>
      <c r="J856" s="43" t="s">
        <v>11</v>
      </c>
      <c r="K856" s="43" t="s">
        <v>1556</v>
      </c>
      <c r="L856" s="43" t="s">
        <v>13</v>
      </c>
      <c r="M856">
        <f t="shared" si="53"/>
        <v>136</v>
      </c>
      <c r="N856">
        <f t="shared" si="54"/>
        <v>32</v>
      </c>
      <c r="O856">
        <f t="shared" si="55"/>
        <v>42</v>
      </c>
      <c r="P856">
        <f t="shared" si="56"/>
        <v>21</v>
      </c>
    </row>
    <row r="857" spans="9:16" ht="15" customHeight="1" x14ac:dyDescent="0.25">
      <c r="I857" s="41" t="s">
        <v>17</v>
      </c>
      <c r="J857" s="41" t="s">
        <v>24</v>
      </c>
      <c r="K857" s="41" t="s">
        <v>1558</v>
      </c>
      <c r="L857" s="41" t="s">
        <v>19</v>
      </c>
      <c r="M857">
        <f t="shared" si="53"/>
        <v>141</v>
      </c>
      <c r="N857">
        <f t="shared" si="54"/>
        <v>9</v>
      </c>
      <c r="O857">
        <f t="shared" si="55"/>
        <v>48</v>
      </c>
      <c r="P857">
        <f t="shared" si="56"/>
        <v>23</v>
      </c>
    </row>
    <row r="858" spans="9:16" ht="15" customHeight="1" x14ac:dyDescent="0.25">
      <c r="I858" s="43" t="s">
        <v>10</v>
      </c>
      <c r="J858" s="43" t="s">
        <v>11</v>
      </c>
      <c r="K858" s="43" t="s">
        <v>1561</v>
      </c>
      <c r="L858" s="43" t="s">
        <v>43</v>
      </c>
      <c r="M858">
        <f t="shared" si="53"/>
        <v>143</v>
      </c>
      <c r="N858">
        <f t="shared" si="54"/>
        <v>32</v>
      </c>
      <c r="O858">
        <f t="shared" si="55"/>
        <v>51</v>
      </c>
      <c r="P858">
        <f t="shared" si="56"/>
        <v>25</v>
      </c>
    </row>
    <row r="859" spans="9:16" ht="15" customHeight="1" x14ac:dyDescent="0.25">
      <c r="I859" s="41" t="s">
        <v>337</v>
      </c>
      <c r="J859" s="41" t="s">
        <v>24</v>
      </c>
      <c r="K859" s="41" t="s">
        <v>1552</v>
      </c>
      <c r="L859" s="41" t="s">
        <v>339</v>
      </c>
      <c r="M859">
        <f t="shared" si="53"/>
        <v>137</v>
      </c>
      <c r="N859">
        <f t="shared" si="54"/>
        <v>9</v>
      </c>
      <c r="O859">
        <f t="shared" si="55"/>
        <v>37</v>
      </c>
      <c r="P859">
        <f t="shared" si="56"/>
        <v>0</v>
      </c>
    </row>
    <row r="860" spans="9:16" ht="15" customHeight="1" x14ac:dyDescent="0.25">
      <c r="I860" s="43" t="s">
        <v>338</v>
      </c>
      <c r="J860" s="43" t="s">
        <v>11</v>
      </c>
      <c r="K860" s="43" t="s">
        <v>1555</v>
      </c>
      <c r="L860" s="43" t="s">
        <v>345</v>
      </c>
      <c r="M860">
        <f t="shared" si="53"/>
        <v>135</v>
      </c>
      <c r="N860">
        <f t="shared" si="54"/>
        <v>32</v>
      </c>
      <c r="O860">
        <f t="shared" si="55"/>
        <v>41</v>
      </c>
      <c r="P860">
        <f t="shared" si="56"/>
        <v>2</v>
      </c>
    </row>
    <row r="861" spans="9:16" ht="15" customHeight="1" x14ac:dyDescent="0.25">
      <c r="I861" s="41" t="s">
        <v>338</v>
      </c>
      <c r="J861" s="41" t="s">
        <v>24</v>
      </c>
      <c r="K861" s="41" t="s">
        <v>1557</v>
      </c>
      <c r="L861" s="41" t="s">
        <v>33</v>
      </c>
      <c r="M861">
        <f t="shared" si="53"/>
        <v>135</v>
      </c>
      <c r="N861">
        <f t="shared" si="54"/>
        <v>9</v>
      </c>
      <c r="O861">
        <f t="shared" si="55"/>
        <v>47</v>
      </c>
      <c r="P861">
        <f t="shared" si="56"/>
        <v>30</v>
      </c>
    </row>
    <row r="862" spans="9:16" ht="15" customHeight="1" x14ac:dyDescent="0.25">
      <c r="I862" s="43" t="s">
        <v>335</v>
      </c>
      <c r="J862" s="43" t="s">
        <v>11</v>
      </c>
      <c r="K862" s="43" t="s">
        <v>1560</v>
      </c>
      <c r="L862" s="43" t="s">
        <v>13</v>
      </c>
      <c r="M862">
        <f t="shared" si="53"/>
        <v>139</v>
      </c>
      <c r="N862">
        <f t="shared" si="54"/>
        <v>32</v>
      </c>
      <c r="O862">
        <f t="shared" si="55"/>
        <v>49</v>
      </c>
      <c r="P862">
        <f t="shared" si="56"/>
        <v>21</v>
      </c>
    </row>
    <row r="863" spans="9:16" ht="15" customHeight="1" x14ac:dyDescent="0.25">
      <c r="I863" s="41" t="s">
        <v>335</v>
      </c>
      <c r="J863" s="41" t="s">
        <v>24</v>
      </c>
      <c r="K863" s="41" t="s">
        <v>12</v>
      </c>
      <c r="L863" s="41" t="s">
        <v>19</v>
      </c>
      <c r="M863">
        <f t="shared" si="53"/>
        <v>139</v>
      </c>
      <c r="N863">
        <f t="shared" si="54"/>
        <v>9</v>
      </c>
      <c r="O863">
        <f t="shared" si="55"/>
        <v>0</v>
      </c>
      <c r="P863">
        <f t="shared" si="56"/>
        <v>23</v>
      </c>
    </row>
    <row r="864" spans="9:16" ht="15" customHeight="1" x14ac:dyDescent="0.25">
      <c r="I864" s="43" t="s">
        <v>342</v>
      </c>
      <c r="J864" s="43" t="s">
        <v>24</v>
      </c>
      <c r="K864" s="43" t="s">
        <v>12</v>
      </c>
      <c r="L864" s="43" t="s">
        <v>43</v>
      </c>
      <c r="M864">
        <f t="shared" si="53"/>
        <v>134</v>
      </c>
      <c r="N864">
        <f t="shared" si="54"/>
        <v>9</v>
      </c>
      <c r="O864">
        <f t="shared" si="55"/>
        <v>0</v>
      </c>
      <c r="P864">
        <f t="shared" si="56"/>
        <v>25</v>
      </c>
    </row>
    <row r="865" spans="9:16" ht="15" customHeight="1" x14ac:dyDescent="0.25">
      <c r="I865" s="41" t="s">
        <v>342</v>
      </c>
      <c r="J865" s="41" t="s">
        <v>24</v>
      </c>
      <c r="K865" s="41" t="s">
        <v>1552</v>
      </c>
      <c r="L865" s="41" t="s">
        <v>339</v>
      </c>
      <c r="M865">
        <f t="shared" si="53"/>
        <v>134</v>
      </c>
      <c r="N865">
        <f t="shared" si="54"/>
        <v>9</v>
      </c>
      <c r="O865">
        <f t="shared" si="55"/>
        <v>37</v>
      </c>
      <c r="P865">
        <f t="shared" si="56"/>
        <v>0</v>
      </c>
    </row>
    <row r="866" spans="9:16" ht="15" customHeight="1" x14ac:dyDescent="0.25">
      <c r="I866" s="43" t="s">
        <v>10</v>
      </c>
      <c r="J866" s="43" t="s">
        <v>11</v>
      </c>
      <c r="K866" s="43" t="s">
        <v>1553</v>
      </c>
      <c r="L866" s="43" t="s">
        <v>345</v>
      </c>
      <c r="M866">
        <f t="shared" si="53"/>
        <v>143</v>
      </c>
      <c r="N866">
        <f t="shared" si="54"/>
        <v>32</v>
      </c>
      <c r="O866">
        <f t="shared" si="55"/>
        <v>39</v>
      </c>
      <c r="P866">
        <f t="shared" si="56"/>
        <v>2</v>
      </c>
    </row>
    <row r="867" spans="9:16" ht="15" customHeight="1" x14ac:dyDescent="0.25">
      <c r="I867" s="41" t="s">
        <v>17</v>
      </c>
      <c r="J867" s="41" t="s">
        <v>24</v>
      </c>
      <c r="K867" s="41" t="s">
        <v>1554</v>
      </c>
      <c r="L867" s="41" t="s">
        <v>33</v>
      </c>
      <c r="M867">
        <f t="shared" si="53"/>
        <v>141</v>
      </c>
      <c r="N867">
        <f t="shared" si="54"/>
        <v>9</v>
      </c>
      <c r="O867">
        <f t="shared" si="55"/>
        <v>38</v>
      </c>
      <c r="P867">
        <f t="shared" si="56"/>
        <v>30</v>
      </c>
    </row>
    <row r="868" spans="9:16" ht="15" customHeight="1" x14ac:dyDescent="0.25">
      <c r="I868" s="43" t="s">
        <v>10</v>
      </c>
      <c r="J868" s="43" t="s">
        <v>11</v>
      </c>
      <c r="K868" s="43" t="s">
        <v>1555</v>
      </c>
      <c r="L868" s="43" t="s">
        <v>13</v>
      </c>
      <c r="M868">
        <f t="shared" si="53"/>
        <v>143</v>
      </c>
      <c r="N868">
        <f t="shared" si="54"/>
        <v>32</v>
      </c>
      <c r="O868">
        <f t="shared" si="55"/>
        <v>41</v>
      </c>
      <c r="P868">
        <f t="shared" si="56"/>
        <v>21</v>
      </c>
    </row>
    <row r="869" spans="9:16" ht="15" customHeight="1" x14ac:dyDescent="0.25">
      <c r="I869" s="41" t="s">
        <v>23</v>
      </c>
      <c r="J869" s="41" t="s">
        <v>24</v>
      </c>
      <c r="K869" s="41" t="s">
        <v>1556</v>
      </c>
      <c r="L869" s="41" t="s">
        <v>19</v>
      </c>
      <c r="M869">
        <f t="shared" si="53"/>
        <v>136</v>
      </c>
      <c r="N869">
        <f t="shared" si="54"/>
        <v>9</v>
      </c>
      <c r="O869">
        <f t="shared" si="55"/>
        <v>42</v>
      </c>
      <c r="P869">
        <f t="shared" si="56"/>
        <v>23</v>
      </c>
    </row>
    <row r="870" spans="9:16" ht="15" customHeight="1" x14ac:dyDescent="0.25">
      <c r="I870" s="43" t="s">
        <v>17</v>
      </c>
      <c r="J870" s="43" t="s">
        <v>11</v>
      </c>
      <c r="K870" s="43" t="s">
        <v>1559</v>
      </c>
      <c r="L870" s="43" t="s">
        <v>43</v>
      </c>
      <c r="M870">
        <f t="shared" si="53"/>
        <v>141</v>
      </c>
      <c r="N870">
        <f t="shared" si="54"/>
        <v>32</v>
      </c>
      <c r="O870">
        <f t="shared" si="55"/>
        <v>43</v>
      </c>
      <c r="P870">
        <f t="shared" si="56"/>
        <v>25</v>
      </c>
    </row>
    <row r="871" spans="9:16" ht="15" customHeight="1" x14ac:dyDescent="0.25">
      <c r="I871" s="41" t="s">
        <v>337</v>
      </c>
      <c r="J871" s="41" t="s">
        <v>24</v>
      </c>
      <c r="K871" s="41" t="s">
        <v>1557</v>
      </c>
      <c r="L871" s="41" t="s">
        <v>339</v>
      </c>
      <c r="M871">
        <f t="shared" si="53"/>
        <v>137</v>
      </c>
      <c r="N871">
        <f t="shared" si="54"/>
        <v>9</v>
      </c>
      <c r="O871">
        <f t="shared" si="55"/>
        <v>47</v>
      </c>
      <c r="P871">
        <f t="shared" si="56"/>
        <v>0</v>
      </c>
    </row>
    <row r="872" spans="9:16" ht="15" customHeight="1" x14ac:dyDescent="0.25">
      <c r="I872" s="43" t="s">
        <v>338</v>
      </c>
      <c r="J872" s="43" t="s">
        <v>11</v>
      </c>
      <c r="K872" s="43" t="s">
        <v>1558</v>
      </c>
      <c r="L872" s="43" t="s">
        <v>345</v>
      </c>
      <c r="M872">
        <f t="shared" si="53"/>
        <v>135</v>
      </c>
      <c r="N872">
        <f t="shared" si="54"/>
        <v>32</v>
      </c>
      <c r="O872">
        <f t="shared" si="55"/>
        <v>48</v>
      </c>
      <c r="P872">
        <f t="shared" si="56"/>
        <v>2</v>
      </c>
    </row>
    <row r="873" spans="9:16" ht="15" customHeight="1" x14ac:dyDescent="0.25">
      <c r="I873" s="41" t="s">
        <v>335</v>
      </c>
      <c r="J873" s="41" t="s">
        <v>11</v>
      </c>
      <c r="K873" s="41" t="s">
        <v>1560</v>
      </c>
      <c r="L873" s="41" t="s">
        <v>33</v>
      </c>
      <c r="M873">
        <f t="shared" si="53"/>
        <v>139</v>
      </c>
      <c r="N873">
        <f t="shared" si="54"/>
        <v>32</v>
      </c>
      <c r="O873">
        <f t="shared" si="55"/>
        <v>49</v>
      </c>
      <c r="P873">
        <f t="shared" si="56"/>
        <v>30</v>
      </c>
    </row>
    <row r="874" spans="9:16" ht="15" customHeight="1" x14ac:dyDescent="0.25">
      <c r="I874" s="43" t="s">
        <v>342</v>
      </c>
      <c r="J874" s="43" t="s">
        <v>24</v>
      </c>
      <c r="K874" s="43" t="s">
        <v>1561</v>
      </c>
      <c r="L874" s="43" t="s">
        <v>13</v>
      </c>
      <c r="M874">
        <f t="shared" si="53"/>
        <v>134</v>
      </c>
      <c r="N874">
        <f t="shared" si="54"/>
        <v>9</v>
      </c>
      <c r="O874">
        <f t="shared" si="55"/>
        <v>51</v>
      </c>
      <c r="P874">
        <f t="shared" si="56"/>
        <v>21</v>
      </c>
    </row>
    <row r="875" spans="9:16" ht="15" customHeight="1" x14ac:dyDescent="0.25">
      <c r="I875" s="41" t="s">
        <v>23</v>
      </c>
      <c r="J875" s="41" t="s">
        <v>11</v>
      </c>
      <c r="K875" s="41" t="s">
        <v>1561</v>
      </c>
      <c r="L875" s="41" t="s">
        <v>19</v>
      </c>
      <c r="M875">
        <f t="shared" si="53"/>
        <v>136</v>
      </c>
      <c r="N875">
        <f t="shared" si="54"/>
        <v>32</v>
      </c>
      <c r="O875">
        <f t="shared" si="55"/>
        <v>51</v>
      </c>
      <c r="P875">
        <f t="shared" si="56"/>
        <v>23</v>
      </c>
    </row>
    <row r="876" spans="9:16" ht="15" customHeight="1" x14ac:dyDescent="0.25">
      <c r="I876" s="43" t="s">
        <v>17</v>
      </c>
      <c r="J876" s="43" t="s">
        <v>24</v>
      </c>
      <c r="K876" s="43" t="s">
        <v>1560</v>
      </c>
      <c r="L876" s="43" t="s">
        <v>43</v>
      </c>
      <c r="M876">
        <f t="shared" si="53"/>
        <v>141</v>
      </c>
      <c r="N876">
        <f t="shared" si="54"/>
        <v>9</v>
      </c>
      <c r="O876">
        <f t="shared" si="55"/>
        <v>49</v>
      </c>
      <c r="P876">
        <f t="shared" si="56"/>
        <v>25</v>
      </c>
    </row>
    <row r="877" spans="9:16" ht="15" customHeight="1" x14ac:dyDescent="0.25">
      <c r="I877" s="41" t="s">
        <v>10</v>
      </c>
      <c r="J877" s="41" t="s">
        <v>24</v>
      </c>
      <c r="K877" s="41" t="s">
        <v>1558</v>
      </c>
      <c r="L877" s="41" t="s">
        <v>339</v>
      </c>
      <c r="M877">
        <f t="shared" si="53"/>
        <v>143</v>
      </c>
      <c r="N877">
        <f t="shared" si="54"/>
        <v>9</v>
      </c>
      <c r="O877">
        <f t="shared" si="55"/>
        <v>48</v>
      </c>
      <c r="P877">
        <f t="shared" si="56"/>
        <v>0</v>
      </c>
    </row>
    <row r="878" spans="9:16" ht="15" customHeight="1" x14ac:dyDescent="0.25">
      <c r="I878" s="43" t="s">
        <v>343</v>
      </c>
      <c r="J878" s="43" t="s">
        <v>11</v>
      </c>
      <c r="K878" s="43" t="s">
        <v>1557</v>
      </c>
      <c r="L878" s="43" t="s">
        <v>345</v>
      </c>
      <c r="M878">
        <f t="shared" si="53"/>
        <v>132</v>
      </c>
      <c r="N878">
        <f t="shared" si="54"/>
        <v>32</v>
      </c>
      <c r="O878">
        <f t="shared" si="55"/>
        <v>47</v>
      </c>
      <c r="P878">
        <f t="shared" si="56"/>
        <v>2</v>
      </c>
    </row>
    <row r="879" spans="9:16" ht="15" customHeight="1" x14ac:dyDescent="0.25">
      <c r="I879" s="41" t="s">
        <v>340</v>
      </c>
      <c r="J879" s="41" t="s">
        <v>11</v>
      </c>
      <c r="K879" s="41" t="s">
        <v>1559</v>
      </c>
      <c r="L879" s="41" t="s">
        <v>33</v>
      </c>
      <c r="M879">
        <f t="shared" si="53"/>
        <v>129</v>
      </c>
      <c r="N879">
        <f t="shared" si="54"/>
        <v>32</v>
      </c>
      <c r="O879">
        <f t="shared" si="55"/>
        <v>43</v>
      </c>
      <c r="P879">
        <f t="shared" si="56"/>
        <v>30</v>
      </c>
    </row>
    <row r="880" spans="9:16" ht="15" customHeight="1" x14ac:dyDescent="0.25">
      <c r="I880" s="43" t="s">
        <v>344</v>
      </c>
      <c r="J880" s="43" t="s">
        <v>11</v>
      </c>
      <c r="K880" s="43" t="s">
        <v>1556</v>
      </c>
      <c r="L880" s="43" t="s">
        <v>13</v>
      </c>
      <c r="M880">
        <f t="shared" si="53"/>
        <v>131</v>
      </c>
      <c r="N880">
        <f t="shared" si="54"/>
        <v>32</v>
      </c>
      <c r="O880">
        <f t="shared" si="55"/>
        <v>42</v>
      </c>
      <c r="P880">
        <f t="shared" si="56"/>
        <v>21</v>
      </c>
    </row>
    <row r="881" spans="9:16" ht="15" customHeight="1" x14ac:dyDescent="0.25">
      <c r="I881" s="41" t="s">
        <v>335</v>
      </c>
      <c r="J881" s="41" t="s">
        <v>11</v>
      </c>
      <c r="K881" s="41" t="s">
        <v>1555</v>
      </c>
      <c r="L881" s="41" t="s">
        <v>19</v>
      </c>
      <c r="M881">
        <f t="shared" si="53"/>
        <v>139</v>
      </c>
      <c r="N881">
        <f t="shared" si="54"/>
        <v>32</v>
      </c>
      <c r="O881">
        <f t="shared" si="55"/>
        <v>41</v>
      </c>
      <c r="P881">
        <f t="shared" si="56"/>
        <v>23</v>
      </c>
    </row>
    <row r="882" spans="9:16" ht="15" customHeight="1" x14ac:dyDescent="0.25">
      <c r="I882" s="43" t="s">
        <v>343</v>
      </c>
      <c r="J882" s="43" t="s">
        <v>11</v>
      </c>
      <c r="K882" s="43" t="s">
        <v>1554</v>
      </c>
      <c r="L882" s="43" t="s">
        <v>43</v>
      </c>
      <c r="M882">
        <f t="shared" si="53"/>
        <v>132</v>
      </c>
      <c r="N882">
        <f t="shared" si="54"/>
        <v>32</v>
      </c>
      <c r="O882">
        <f t="shared" si="55"/>
        <v>38</v>
      </c>
      <c r="P882">
        <f t="shared" si="56"/>
        <v>25</v>
      </c>
    </row>
    <row r="883" spans="9:16" ht="15" customHeight="1" x14ac:dyDescent="0.25">
      <c r="I883" s="41" t="s">
        <v>340</v>
      </c>
      <c r="J883" s="41" t="s">
        <v>11</v>
      </c>
      <c r="K883" s="41" t="s">
        <v>1553</v>
      </c>
      <c r="L883" s="41" t="s">
        <v>339</v>
      </c>
      <c r="M883">
        <f t="shared" si="53"/>
        <v>129</v>
      </c>
      <c r="N883">
        <f t="shared" si="54"/>
        <v>32</v>
      </c>
      <c r="O883">
        <f t="shared" si="55"/>
        <v>39</v>
      </c>
      <c r="P883">
        <f t="shared" si="56"/>
        <v>0</v>
      </c>
    </row>
    <row r="884" spans="9:16" ht="15" customHeight="1" x14ac:dyDescent="0.25">
      <c r="I884" s="43" t="s">
        <v>344</v>
      </c>
      <c r="J884" s="43" t="s">
        <v>24</v>
      </c>
      <c r="K884" s="43" t="s">
        <v>1552</v>
      </c>
      <c r="L884" s="43" t="s">
        <v>345</v>
      </c>
      <c r="M884">
        <f t="shared" si="53"/>
        <v>131</v>
      </c>
      <c r="N884">
        <f t="shared" si="54"/>
        <v>9</v>
      </c>
      <c r="O884">
        <f t="shared" si="55"/>
        <v>37</v>
      </c>
      <c r="P884">
        <f t="shared" si="56"/>
        <v>2</v>
      </c>
    </row>
    <row r="885" spans="9:16" ht="15" customHeight="1" x14ac:dyDescent="0.25">
      <c r="I885" s="41" t="s">
        <v>337</v>
      </c>
      <c r="J885" s="41" t="s">
        <v>11</v>
      </c>
      <c r="K885" s="41" t="s">
        <v>12</v>
      </c>
      <c r="L885" s="41" t="s">
        <v>33</v>
      </c>
      <c r="M885">
        <f t="shared" si="53"/>
        <v>137</v>
      </c>
      <c r="N885">
        <f t="shared" si="54"/>
        <v>32</v>
      </c>
      <c r="O885">
        <f t="shared" si="55"/>
        <v>0</v>
      </c>
      <c r="P885">
        <f t="shared" si="56"/>
        <v>30</v>
      </c>
    </row>
    <row r="886" spans="9:16" ht="15" customHeight="1" x14ac:dyDescent="0.25">
      <c r="I886" s="43" t="s">
        <v>338</v>
      </c>
      <c r="J886" s="43" t="s">
        <v>11</v>
      </c>
      <c r="K886" s="43" t="s">
        <v>12</v>
      </c>
      <c r="L886" s="43" t="s">
        <v>13</v>
      </c>
      <c r="M886">
        <f t="shared" si="53"/>
        <v>135</v>
      </c>
      <c r="N886">
        <f t="shared" si="54"/>
        <v>32</v>
      </c>
      <c r="O886">
        <f t="shared" si="55"/>
        <v>0</v>
      </c>
      <c r="P886">
        <f t="shared" si="56"/>
        <v>21</v>
      </c>
    </row>
    <row r="887" spans="9:16" ht="15" customHeight="1" x14ac:dyDescent="0.25">
      <c r="I887" s="41" t="s">
        <v>335</v>
      </c>
      <c r="J887" s="41" t="s">
        <v>11</v>
      </c>
      <c r="K887" s="41" t="s">
        <v>1552</v>
      </c>
      <c r="L887" s="41" t="s">
        <v>19</v>
      </c>
      <c r="M887">
        <f t="shared" si="53"/>
        <v>139</v>
      </c>
      <c r="N887">
        <f t="shared" si="54"/>
        <v>32</v>
      </c>
      <c r="O887">
        <f t="shared" si="55"/>
        <v>37</v>
      </c>
      <c r="P887">
        <f t="shared" si="56"/>
        <v>23</v>
      </c>
    </row>
    <row r="888" spans="9:16" ht="15" customHeight="1" x14ac:dyDescent="0.25">
      <c r="I888" s="43" t="s">
        <v>343</v>
      </c>
      <c r="J888" s="43" t="s">
        <v>11</v>
      </c>
      <c r="K888" s="43" t="s">
        <v>1555</v>
      </c>
      <c r="L888" s="43" t="s">
        <v>43</v>
      </c>
      <c r="M888">
        <f t="shared" ref="M888:M951" si="57">_xlfn.XLOOKUP(I888,$C$9:$C$37,$D$9:$D$37,2,0)</f>
        <v>132</v>
      </c>
      <c r="N888">
        <f t="shared" ref="N888:N951" si="58">_xlfn.XLOOKUP(J888,$C$9:$C$37,$D$9:$D$37,2,0)</f>
        <v>32</v>
      </c>
      <c r="O888">
        <f t="shared" ref="O888:O951" si="59">_xlfn.XLOOKUP(K888,$C$9:$C$37,$D$9:$D$37,2,0)</f>
        <v>41</v>
      </c>
      <c r="P888">
        <f t="shared" ref="P888:P951" si="60">_xlfn.XLOOKUP(L888,$C$9:$C$37,$D$9:$D$37,2,0)</f>
        <v>25</v>
      </c>
    </row>
    <row r="889" spans="9:16" ht="15" customHeight="1" x14ac:dyDescent="0.25">
      <c r="I889" s="41" t="s">
        <v>340</v>
      </c>
      <c r="J889" s="41" t="s">
        <v>24</v>
      </c>
      <c r="K889" s="41" t="s">
        <v>1557</v>
      </c>
      <c r="L889" s="41" t="s">
        <v>339</v>
      </c>
      <c r="M889">
        <f t="shared" si="57"/>
        <v>129</v>
      </c>
      <c r="N889">
        <f t="shared" si="58"/>
        <v>9</v>
      </c>
      <c r="O889">
        <f t="shared" si="59"/>
        <v>47</v>
      </c>
      <c r="P889">
        <f t="shared" si="60"/>
        <v>0</v>
      </c>
    </row>
    <row r="890" spans="9:16" ht="15" customHeight="1" x14ac:dyDescent="0.25">
      <c r="I890" s="43" t="s">
        <v>342</v>
      </c>
      <c r="J890" s="43" t="s">
        <v>11</v>
      </c>
      <c r="K890" s="43" t="s">
        <v>1560</v>
      </c>
      <c r="L890" s="43" t="s">
        <v>345</v>
      </c>
      <c r="M890">
        <f t="shared" si="57"/>
        <v>134</v>
      </c>
      <c r="N890">
        <f t="shared" si="58"/>
        <v>32</v>
      </c>
      <c r="O890">
        <f t="shared" si="59"/>
        <v>49</v>
      </c>
      <c r="P890">
        <f t="shared" si="60"/>
        <v>2</v>
      </c>
    </row>
    <row r="891" spans="9:16" ht="15" customHeight="1" x14ac:dyDescent="0.25">
      <c r="I891" s="41" t="s">
        <v>23</v>
      </c>
      <c r="J891" s="41" t="s">
        <v>24</v>
      </c>
      <c r="K891" s="41" t="s">
        <v>1553</v>
      </c>
      <c r="L891" s="41" t="s">
        <v>33</v>
      </c>
      <c r="M891">
        <f t="shared" si="57"/>
        <v>136</v>
      </c>
      <c r="N891">
        <f t="shared" si="58"/>
        <v>9</v>
      </c>
      <c r="O891">
        <f t="shared" si="59"/>
        <v>39</v>
      </c>
      <c r="P891">
        <f t="shared" si="60"/>
        <v>30</v>
      </c>
    </row>
    <row r="892" spans="9:16" ht="15" customHeight="1" x14ac:dyDescent="0.25">
      <c r="I892" s="43" t="s">
        <v>17</v>
      </c>
      <c r="J892" s="43" t="s">
        <v>11</v>
      </c>
      <c r="K892" s="43" t="s">
        <v>1556</v>
      </c>
      <c r="L892" s="43" t="s">
        <v>13</v>
      </c>
      <c r="M892">
        <f t="shared" si="57"/>
        <v>141</v>
      </c>
      <c r="N892">
        <f t="shared" si="58"/>
        <v>32</v>
      </c>
      <c r="O892">
        <f t="shared" si="59"/>
        <v>42</v>
      </c>
      <c r="P892">
        <f t="shared" si="60"/>
        <v>21</v>
      </c>
    </row>
    <row r="893" spans="9:16" ht="15" customHeight="1" x14ac:dyDescent="0.25">
      <c r="I893" s="41" t="s">
        <v>10</v>
      </c>
      <c r="J893" s="41" t="s">
        <v>24</v>
      </c>
      <c r="K893" s="41" t="s">
        <v>1558</v>
      </c>
      <c r="L893" s="41" t="s">
        <v>19</v>
      </c>
      <c r="M893">
        <f t="shared" si="57"/>
        <v>143</v>
      </c>
      <c r="N893">
        <f t="shared" si="58"/>
        <v>9</v>
      </c>
      <c r="O893">
        <f t="shared" si="59"/>
        <v>48</v>
      </c>
      <c r="P893">
        <f t="shared" si="60"/>
        <v>23</v>
      </c>
    </row>
    <row r="894" spans="9:16" ht="15" customHeight="1" x14ac:dyDescent="0.25">
      <c r="I894" s="43" t="s">
        <v>344</v>
      </c>
      <c r="J894" s="43" t="s">
        <v>11</v>
      </c>
      <c r="K894" s="43" t="s">
        <v>1561</v>
      </c>
      <c r="L894" s="43" t="s">
        <v>43</v>
      </c>
      <c r="M894">
        <f t="shared" si="57"/>
        <v>131</v>
      </c>
      <c r="N894">
        <f t="shared" si="58"/>
        <v>32</v>
      </c>
      <c r="O894">
        <f t="shared" si="59"/>
        <v>51</v>
      </c>
      <c r="P894">
        <f t="shared" si="60"/>
        <v>25</v>
      </c>
    </row>
    <row r="895" spans="9:16" ht="15" customHeight="1" x14ac:dyDescent="0.25">
      <c r="I895" s="41" t="s">
        <v>344</v>
      </c>
      <c r="J895" s="41" t="s">
        <v>24</v>
      </c>
      <c r="K895" s="41" t="s">
        <v>1554</v>
      </c>
      <c r="L895" s="41" t="s">
        <v>339</v>
      </c>
      <c r="M895">
        <f t="shared" si="57"/>
        <v>131</v>
      </c>
      <c r="N895">
        <f t="shared" si="58"/>
        <v>9</v>
      </c>
      <c r="O895">
        <f t="shared" si="59"/>
        <v>38</v>
      </c>
      <c r="P895">
        <f t="shared" si="60"/>
        <v>0</v>
      </c>
    </row>
    <row r="896" spans="9:16" ht="15" customHeight="1" x14ac:dyDescent="0.25">
      <c r="I896" s="43" t="s">
        <v>10</v>
      </c>
      <c r="J896" s="43" t="s">
        <v>24</v>
      </c>
      <c r="K896" s="43" t="s">
        <v>1559</v>
      </c>
      <c r="L896" s="43" t="s">
        <v>345</v>
      </c>
      <c r="M896">
        <f t="shared" si="57"/>
        <v>143</v>
      </c>
      <c r="N896">
        <f t="shared" si="58"/>
        <v>9</v>
      </c>
      <c r="O896">
        <f t="shared" si="59"/>
        <v>43</v>
      </c>
      <c r="P896">
        <f t="shared" si="60"/>
        <v>2</v>
      </c>
    </row>
    <row r="897" spans="9:16" ht="15" customHeight="1" x14ac:dyDescent="0.25">
      <c r="I897" s="41" t="s">
        <v>17</v>
      </c>
      <c r="J897" s="41" t="s">
        <v>24</v>
      </c>
      <c r="K897" s="41" t="s">
        <v>1554</v>
      </c>
      <c r="L897" s="41" t="s">
        <v>33</v>
      </c>
      <c r="M897">
        <f t="shared" si="57"/>
        <v>141</v>
      </c>
      <c r="N897">
        <f t="shared" si="58"/>
        <v>9</v>
      </c>
      <c r="O897">
        <f t="shared" si="59"/>
        <v>38</v>
      </c>
      <c r="P897">
        <f t="shared" si="60"/>
        <v>30</v>
      </c>
    </row>
    <row r="898" spans="9:16" ht="15" customHeight="1" x14ac:dyDescent="0.25">
      <c r="I898" s="43" t="s">
        <v>23</v>
      </c>
      <c r="J898" s="43" t="s">
        <v>11</v>
      </c>
      <c r="K898" s="43" t="s">
        <v>1559</v>
      </c>
      <c r="L898" s="43" t="s">
        <v>13</v>
      </c>
      <c r="M898">
        <f t="shared" si="57"/>
        <v>136</v>
      </c>
      <c r="N898">
        <f t="shared" si="58"/>
        <v>32</v>
      </c>
      <c r="O898">
        <f t="shared" si="59"/>
        <v>43</v>
      </c>
      <c r="P898">
        <f t="shared" si="60"/>
        <v>21</v>
      </c>
    </row>
    <row r="899" spans="9:16" ht="15" customHeight="1" x14ac:dyDescent="0.25">
      <c r="I899" s="41" t="s">
        <v>342</v>
      </c>
      <c r="J899" s="41" t="s">
        <v>11</v>
      </c>
      <c r="K899" s="41" t="s">
        <v>1553</v>
      </c>
      <c r="L899" s="41" t="s">
        <v>19</v>
      </c>
      <c r="M899">
        <f t="shared" si="57"/>
        <v>134</v>
      </c>
      <c r="N899">
        <f t="shared" si="58"/>
        <v>32</v>
      </c>
      <c r="O899">
        <f t="shared" si="59"/>
        <v>39</v>
      </c>
      <c r="P899">
        <f t="shared" si="60"/>
        <v>23</v>
      </c>
    </row>
    <row r="900" spans="9:16" ht="15" customHeight="1" x14ac:dyDescent="0.25">
      <c r="I900" s="43" t="s">
        <v>340</v>
      </c>
      <c r="J900" s="43" t="s">
        <v>11</v>
      </c>
      <c r="K900" s="43" t="s">
        <v>1556</v>
      </c>
      <c r="L900" s="43" t="s">
        <v>43</v>
      </c>
      <c r="M900">
        <f t="shared" si="57"/>
        <v>129</v>
      </c>
      <c r="N900">
        <f t="shared" si="58"/>
        <v>32</v>
      </c>
      <c r="O900">
        <f t="shared" si="59"/>
        <v>42</v>
      </c>
      <c r="P900">
        <f t="shared" si="60"/>
        <v>25</v>
      </c>
    </row>
    <row r="901" spans="9:16" ht="15" customHeight="1" x14ac:dyDescent="0.25">
      <c r="I901" s="41" t="s">
        <v>343</v>
      </c>
      <c r="J901" s="41" t="s">
        <v>11</v>
      </c>
      <c r="K901" s="41" t="s">
        <v>1558</v>
      </c>
      <c r="L901" s="41" t="s">
        <v>339</v>
      </c>
      <c r="M901">
        <f t="shared" si="57"/>
        <v>132</v>
      </c>
      <c r="N901">
        <f t="shared" si="58"/>
        <v>32</v>
      </c>
      <c r="O901">
        <f t="shared" si="59"/>
        <v>48</v>
      </c>
      <c r="P901">
        <f t="shared" si="60"/>
        <v>0</v>
      </c>
    </row>
    <row r="902" spans="9:16" ht="15" customHeight="1" x14ac:dyDescent="0.25">
      <c r="I902" s="43" t="s">
        <v>335</v>
      </c>
      <c r="J902" s="43" t="s">
        <v>11</v>
      </c>
      <c r="K902" s="43" t="s">
        <v>1561</v>
      </c>
      <c r="L902" s="43" t="s">
        <v>345</v>
      </c>
      <c r="M902">
        <f t="shared" si="57"/>
        <v>139</v>
      </c>
      <c r="N902">
        <f t="shared" si="58"/>
        <v>32</v>
      </c>
      <c r="O902">
        <f t="shared" si="59"/>
        <v>51</v>
      </c>
      <c r="P902">
        <f t="shared" si="60"/>
        <v>2</v>
      </c>
    </row>
    <row r="903" spans="9:16" ht="15" customHeight="1" x14ac:dyDescent="0.25">
      <c r="I903" s="41" t="s">
        <v>338</v>
      </c>
      <c r="J903" s="41" t="s">
        <v>11</v>
      </c>
      <c r="K903" s="41" t="s">
        <v>1552</v>
      </c>
      <c r="L903" s="41" t="s">
        <v>33</v>
      </c>
      <c r="M903">
        <f t="shared" si="57"/>
        <v>135</v>
      </c>
      <c r="N903">
        <f t="shared" si="58"/>
        <v>32</v>
      </c>
      <c r="O903">
        <f t="shared" si="59"/>
        <v>37</v>
      </c>
      <c r="P903">
        <f t="shared" si="60"/>
        <v>30</v>
      </c>
    </row>
    <row r="904" spans="9:16" ht="15" customHeight="1" x14ac:dyDescent="0.25">
      <c r="I904" s="43" t="s">
        <v>337</v>
      </c>
      <c r="J904" s="43" t="s">
        <v>24</v>
      </c>
      <c r="K904" s="43" t="s">
        <v>1555</v>
      </c>
      <c r="L904" s="43" t="s">
        <v>13</v>
      </c>
      <c r="M904">
        <f t="shared" si="57"/>
        <v>137</v>
      </c>
      <c r="N904">
        <f t="shared" si="58"/>
        <v>9</v>
      </c>
      <c r="O904">
        <f t="shared" si="59"/>
        <v>41</v>
      </c>
      <c r="P904">
        <f t="shared" si="60"/>
        <v>21</v>
      </c>
    </row>
    <row r="905" spans="9:16" ht="15" customHeight="1" x14ac:dyDescent="0.25">
      <c r="I905" s="41" t="s">
        <v>343</v>
      </c>
      <c r="J905" s="41" t="s">
        <v>11</v>
      </c>
      <c r="K905" s="41" t="s">
        <v>1557</v>
      </c>
      <c r="L905" s="41" t="s">
        <v>19</v>
      </c>
      <c r="M905">
        <f t="shared" si="57"/>
        <v>132</v>
      </c>
      <c r="N905">
        <f t="shared" si="58"/>
        <v>32</v>
      </c>
      <c r="O905">
        <f t="shared" si="59"/>
        <v>47</v>
      </c>
      <c r="P905">
        <f t="shared" si="60"/>
        <v>23</v>
      </c>
    </row>
    <row r="906" spans="9:16" ht="15" customHeight="1" x14ac:dyDescent="0.25">
      <c r="I906" s="43" t="s">
        <v>340</v>
      </c>
      <c r="J906" s="43" t="s">
        <v>24</v>
      </c>
      <c r="K906" s="43" t="s">
        <v>1560</v>
      </c>
      <c r="L906" s="43" t="s">
        <v>43</v>
      </c>
      <c r="M906">
        <f t="shared" si="57"/>
        <v>129</v>
      </c>
      <c r="N906">
        <f t="shared" si="58"/>
        <v>9</v>
      </c>
      <c r="O906">
        <f t="shared" si="59"/>
        <v>49</v>
      </c>
      <c r="P906">
        <f t="shared" si="60"/>
        <v>25</v>
      </c>
    </row>
    <row r="907" spans="9:16" ht="15" customHeight="1" x14ac:dyDescent="0.25">
      <c r="I907" s="41" t="s">
        <v>10</v>
      </c>
      <c r="J907" s="41" t="s">
        <v>24</v>
      </c>
      <c r="K907" s="41" t="s">
        <v>12</v>
      </c>
      <c r="L907" s="41" t="s">
        <v>339</v>
      </c>
      <c r="M907">
        <f t="shared" si="57"/>
        <v>143</v>
      </c>
      <c r="N907">
        <f t="shared" si="58"/>
        <v>9</v>
      </c>
      <c r="O907">
        <f t="shared" si="59"/>
        <v>0</v>
      </c>
      <c r="P907">
        <f t="shared" si="60"/>
        <v>0</v>
      </c>
    </row>
    <row r="908" spans="9:16" ht="15" customHeight="1" x14ac:dyDescent="0.25">
      <c r="I908" s="43" t="s">
        <v>344</v>
      </c>
      <c r="J908" s="43" t="s">
        <v>11</v>
      </c>
      <c r="K908" s="43" t="s">
        <v>12</v>
      </c>
      <c r="L908" s="43" t="s">
        <v>345</v>
      </c>
      <c r="M908">
        <f t="shared" si="57"/>
        <v>131</v>
      </c>
      <c r="N908">
        <f t="shared" si="58"/>
        <v>32</v>
      </c>
      <c r="O908">
        <f t="shared" si="59"/>
        <v>0</v>
      </c>
      <c r="P908">
        <f t="shared" si="60"/>
        <v>2</v>
      </c>
    </row>
    <row r="909" spans="9:16" ht="15" customHeight="1" x14ac:dyDescent="0.25">
      <c r="I909" s="41" t="s">
        <v>338</v>
      </c>
      <c r="J909" s="41" t="s">
        <v>24</v>
      </c>
      <c r="K909" s="41" t="s">
        <v>1552</v>
      </c>
      <c r="L909" s="41" t="s">
        <v>33</v>
      </c>
      <c r="M909">
        <f t="shared" si="57"/>
        <v>135</v>
      </c>
      <c r="N909">
        <f t="shared" si="58"/>
        <v>9</v>
      </c>
      <c r="O909">
        <f t="shared" si="59"/>
        <v>37</v>
      </c>
      <c r="P909">
        <f t="shared" si="60"/>
        <v>30</v>
      </c>
    </row>
    <row r="910" spans="9:16" ht="15" customHeight="1" x14ac:dyDescent="0.25">
      <c r="I910" s="43" t="s">
        <v>23</v>
      </c>
      <c r="J910" s="43" t="s">
        <v>11</v>
      </c>
      <c r="K910" s="43" t="s">
        <v>1553</v>
      </c>
      <c r="L910" s="43" t="s">
        <v>13</v>
      </c>
      <c r="M910">
        <f t="shared" si="57"/>
        <v>136</v>
      </c>
      <c r="N910">
        <f t="shared" si="58"/>
        <v>32</v>
      </c>
      <c r="O910">
        <f t="shared" si="59"/>
        <v>39</v>
      </c>
      <c r="P910">
        <f t="shared" si="60"/>
        <v>21</v>
      </c>
    </row>
    <row r="911" spans="9:16" ht="15" customHeight="1" x14ac:dyDescent="0.25">
      <c r="I911" s="41" t="s">
        <v>17</v>
      </c>
      <c r="J911" s="41" t="s">
        <v>11</v>
      </c>
      <c r="K911" s="41" t="s">
        <v>1554</v>
      </c>
      <c r="L911" s="41" t="s">
        <v>19</v>
      </c>
      <c r="M911">
        <f t="shared" si="57"/>
        <v>141</v>
      </c>
      <c r="N911">
        <f t="shared" si="58"/>
        <v>32</v>
      </c>
      <c r="O911">
        <f t="shared" si="59"/>
        <v>38</v>
      </c>
      <c r="P911">
        <f t="shared" si="60"/>
        <v>23</v>
      </c>
    </row>
    <row r="912" spans="9:16" ht="15" customHeight="1" x14ac:dyDescent="0.25">
      <c r="I912" s="43" t="s">
        <v>10</v>
      </c>
      <c r="J912" s="43" t="s">
        <v>11</v>
      </c>
      <c r="K912" s="43" t="s">
        <v>1555</v>
      </c>
      <c r="L912" s="43" t="s">
        <v>43</v>
      </c>
      <c r="M912">
        <f t="shared" si="57"/>
        <v>143</v>
      </c>
      <c r="N912">
        <f t="shared" si="58"/>
        <v>32</v>
      </c>
      <c r="O912">
        <f t="shared" si="59"/>
        <v>41</v>
      </c>
      <c r="P912">
        <f t="shared" si="60"/>
        <v>25</v>
      </c>
    </row>
    <row r="913" spans="9:16" ht="15" customHeight="1" x14ac:dyDescent="0.25">
      <c r="I913" s="41" t="s">
        <v>337</v>
      </c>
      <c r="J913" s="41" t="s">
        <v>11</v>
      </c>
      <c r="K913" s="41" t="s">
        <v>1556</v>
      </c>
      <c r="L913" s="41" t="s">
        <v>339</v>
      </c>
      <c r="M913">
        <f t="shared" si="57"/>
        <v>137</v>
      </c>
      <c r="N913">
        <f t="shared" si="58"/>
        <v>32</v>
      </c>
      <c r="O913">
        <f t="shared" si="59"/>
        <v>42</v>
      </c>
      <c r="P913">
        <f t="shared" si="60"/>
        <v>0</v>
      </c>
    </row>
    <row r="914" spans="9:16" ht="15" customHeight="1" x14ac:dyDescent="0.25">
      <c r="I914" s="43" t="s">
        <v>338</v>
      </c>
      <c r="J914" s="43" t="s">
        <v>24</v>
      </c>
      <c r="K914" s="43" t="s">
        <v>1559</v>
      </c>
      <c r="L914" s="43" t="s">
        <v>345</v>
      </c>
      <c r="M914">
        <f t="shared" si="57"/>
        <v>135</v>
      </c>
      <c r="N914">
        <f t="shared" si="58"/>
        <v>9</v>
      </c>
      <c r="O914">
        <f t="shared" si="59"/>
        <v>43</v>
      </c>
      <c r="P914">
        <f t="shared" si="60"/>
        <v>2</v>
      </c>
    </row>
    <row r="915" spans="9:16" ht="15" customHeight="1" x14ac:dyDescent="0.25">
      <c r="I915" s="41" t="s">
        <v>338</v>
      </c>
      <c r="J915" s="41" t="s">
        <v>11</v>
      </c>
      <c r="K915" s="41" t="s">
        <v>1557</v>
      </c>
      <c r="L915" s="41" t="s">
        <v>33</v>
      </c>
      <c r="M915">
        <f t="shared" si="57"/>
        <v>135</v>
      </c>
      <c r="N915">
        <f t="shared" si="58"/>
        <v>32</v>
      </c>
      <c r="O915">
        <f t="shared" si="59"/>
        <v>47</v>
      </c>
      <c r="P915">
        <f t="shared" si="60"/>
        <v>30</v>
      </c>
    </row>
    <row r="916" spans="9:16" ht="15" customHeight="1" x14ac:dyDescent="0.25">
      <c r="I916" s="43" t="s">
        <v>335</v>
      </c>
      <c r="J916" s="43" t="s">
        <v>24</v>
      </c>
      <c r="K916" s="43" t="s">
        <v>1558</v>
      </c>
      <c r="L916" s="43" t="s">
        <v>13</v>
      </c>
      <c r="M916">
        <f t="shared" si="57"/>
        <v>139</v>
      </c>
      <c r="N916">
        <f t="shared" si="58"/>
        <v>9</v>
      </c>
      <c r="O916">
        <f t="shared" si="59"/>
        <v>48</v>
      </c>
      <c r="P916">
        <f t="shared" si="60"/>
        <v>21</v>
      </c>
    </row>
    <row r="917" spans="9:16" ht="15" customHeight="1" x14ac:dyDescent="0.25">
      <c r="I917" s="41" t="s">
        <v>335</v>
      </c>
      <c r="J917" s="41" t="s">
        <v>11</v>
      </c>
      <c r="K917" s="41" t="s">
        <v>1560</v>
      </c>
      <c r="L917" s="41" t="s">
        <v>19</v>
      </c>
      <c r="M917">
        <f t="shared" si="57"/>
        <v>139</v>
      </c>
      <c r="N917">
        <f t="shared" si="58"/>
        <v>32</v>
      </c>
      <c r="O917">
        <f t="shared" si="59"/>
        <v>49</v>
      </c>
      <c r="P917">
        <f t="shared" si="60"/>
        <v>23</v>
      </c>
    </row>
    <row r="918" spans="9:16" ht="15" customHeight="1" x14ac:dyDescent="0.25">
      <c r="I918" s="43" t="s">
        <v>342</v>
      </c>
      <c r="J918" s="43" t="s">
        <v>11</v>
      </c>
      <c r="K918" s="43" t="s">
        <v>1561</v>
      </c>
      <c r="L918" s="43" t="s">
        <v>43</v>
      </c>
      <c r="M918">
        <f t="shared" si="57"/>
        <v>134</v>
      </c>
      <c r="N918">
        <f t="shared" si="58"/>
        <v>32</v>
      </c>
      <c r="O918">
        <f t="shared" si="59"/>
        <v>51</v>
      </c>
      <c r="P918">
        <f t="shared" si="60"/>
        <v>25</v>
      </c>
    </row>
    <row r="919" spans="9:16" ht="15" customHeight="1" x14ac:dyDescent="0.25">
      <c r="I919" s="41" t="s">
        <v>342</v>
      </c>
      <c r="J919" s="41" t="s">
        <v>11</v>
      </c>
      <c r="K919" s="41" t="s">
        <v>1561</v>
      </c>
      <c r="L919" s="41" t="s">
        <v>339</v>
      </c>
      <c r="M919">
        <f t="shared" si="57"/>
        <v>134</v>
      </c>
      <c r="N919">
        <f t="shared" si="58"/>
        <v>32</v>
      </c>
      <c r="O919">
        <f t="shared" si="59"/>
        <v>51</v>
      </c>
      <c r="P919">
        <f t="shared" si="60"/>
        <v>0</v>
      </c>
    </row>
    <row r="920" spans="9:16" ht="15" customHeight="1" x14ac:dyDescent="0.25">
      <c r="I920" s="43" t="s">
        <v>10</v>
      </c>
      <c r="J920" s="43" t="s">
        <v>24</v>
      </c>
      <c r="K920" s="43" t="s">
        <v>1560</v>
      </c>
      <c r="L920" s="43" t="s">
        <v>345</v>
      </c>
      <c r="M920">
        <f t="shared" si="57"/>
        <v>143</v>
      </c>
      <c r="N920">
        <f t="shared" si="58"/>
        <v>9</v>
      </c>
      <c r="O920">
        <f t="shared" si="59"/>
        <v>49</v>
      </c>
      <c r="P920">
        <f t="shared" si="60"/>
        <v>2</v>
      </c>
    </row>
    <row r="921" spans="9:16" ht="15" customHeight="1" x14ac:dyDescent="0.25">
      <c r="I921" s="41" t="s">
        <v>17</v>
      </c>
      <c r="J921" s="41" t="s">
        <v>11</v>
      </c>
      <c r="K921" s="41" t="s">
        <v>1558</v>
      </c>
      <c r="L921" s="41" t="s">
        <v>33</v>
      </c>
      <c r="M921">
        <f t="shared" si="57"/>
        <v>141</v>
      </c>
      <c r="N921">
        <f t="shared" si="58"/>
        <v>32</v>
      </c>
      <c r="O921">
        <f t="shared" si="59"/>
        <v>48</v>
      </c>
      <c r="P921">
        <f t="shared" si="60"/>
        <v>30</v>
      </c>
    </row>
    <row r="922" spans="9:16" ht="15" customHeight="1" x14ac:dyDescent="0.25">
      <c r="I922" s="43" t="s">
        <v>10</v>
      </c>
      <c r="J922" s="43" t="s">
        <v>11</v>
      </c>
      <c r="K922" s="43" t="s">
        <v>1557</v>
      </c>
      <c r="L922" s="43" t="s">
        <v>13</v>
      </c>
      <c r="M922">
        <f t="shared" si="57"/>
        <v>143</v>
      </c>
      <c r="N922">
        <f t="shared" si="58"/>
        <v>32</v>
      </c>
      <c r="O922">
        <f t="shared" si="59"/>
        <v>47</v>
      </c>
      <c r="P922">
        <f t="shared" si="60"/>
        <v>21</v>
      </c>
    </row>
    <row r="923" spans="9:16" ht="15" customHeight="1" x14ac:dyDescent="0.25">
      <c r="I923" s="41" t="s">
        <v>23</v>
      </c>
      <c r="J923" s="41" t="s">
        <v>11</v>
      </c>
      <c r="K923" s="41" t="s">
        <v>1559</v>
      </c>
      <c r="L923" s="41" t="s">
        <v>19</v>
      </c>
      <c r="M923">
        <f t="shared" si="57"/>
        <v>136</v>
      </c>
      <c r="N923">
        <f t="shared" si="58"/>
        <v>32</v>
      </c>
      <c r="O923">
        <f t="shared" si="59"/>
        <v>43</v>
      </c>
      <c r="P923">
        <f t="shared" si="60"/>
        <v>23</v>
      </c>
    </row>
    <row r="924" spans="9:16" ht="15" customHeight="1" x14ac:dyDescent="0.25">
      <c r="I924" s="43" t="s">
        <v>17</v>
      </c>
      <c r="J924" s="43" t="s">
        <v>11</v>
      </c>
      <c r="K924" s="43" t="s">
        <v>1556</v>
      </c>
      <c r="L924" s="43" t="s">
        <v>43</v>
      </c>
      <c r="M924">
        <f t="shared" si="57"/>
        <v>141</v>
      </c>
      <c r="N924">
        <f t="shared" si="58"/>
        <v>32</v>
      </c>
      <c r="O924">
        <f t="shared" si="59"/>
        <v>42</v>
      </c>
      <c r="P924">
        <f t="shared" si="60"/>
        <v>25</v>
      </c>
    </row>
    <row r="925" spans="9:16" ht="15" customHeight="1" x14ac:dyDescent="0.25">
      <c r="I925" s="41" t="s">
        <v>337</v>
      </c>
      <c r="J925" s="41" t="s">
        <v>24</v>
      </c>
      <c r="K925" s="41" t="s">
        <v>1555</v>
      </c>
      <c r="L925" s="41" t="s">
        <v>339</v>
      </c>
      <c r="M925">
        <f t="shared" si="57"/>
        <v>137</v>
      </c>
      <c r="N925">
        <f t="shared" si="58"/>
        <v>9</v>
      </c>
      <c r="O925">
        <f t="shared" si="59"/>
        <v>41</v>
      </c>
      <c r="P925">
        <f t="shared" si="60"/>
        <v>0</v>
      </c>
    </row>
    <row r="926" spans="9:16" ht="15" customHeight="1" x14ac:dyDescent="0.25">
      <c r="I926" s="43" t="s">
        <v>338</v>
      </c>
      <c r="J926" s="43" t="s">
        <v>11</v>
      </c>
      <c r="K926" s="43" t="s">
        <v>1554</v>
      </c>
      <c r="L926" s="43" t="s">
        <v>345</v>
      </c>
      <c r="M926">
        <f t="shared" si="57"/>
        <v>135</v>
      </c>
      <c r="N926">
        <f t="shared" si="58"/>
        <v>32</v>
      </c>
      <c r="O926">
        <f t="shared" si="59"/>
        <v>38</v>
      </c>
      <c r="P926">
        <f t="shared" si="60"/>
        <v>2</v>
      </c>
    </row>
    <row r="927" spans="9:16" ht="15" customHeight="1" x14ac:dyDescent="0.25">
      <c r="I927" s="41" t="s">
        <v>335</v>
      </c>
      <c r="J927" s="41" t="s">
        <v>24</v>
      </c>
      <c r="K927" s="41" t="s">
        <v>1553</v>
      </c>
      <c r="L927" s="41" t="s">
        <v>33</v>
      </c>
      <c r="M927">
        <f t="shared" si="57"/>
        <v>139</v>
      </c>
      <c r="N927">
        <f t="shared" si="58"/>
        <v>9</v>
      </c>
      <c r="O927">
        <f t="shared" si="59"/>
        <v>39</v>
      </c>
      <c r="P927">
        <f t="shared" si="60"/>
        <v>30</v>
      </c>
    </row>
    <row r="928" spans="9:16" ht="15" customHeight="1" x14ac:dyDescent="0.25">
      <c r="I928" s="43" t="s">
        <v>342</v>
      </c>
      <c r="J928" s="43" t="s">
        <v>11</v>
      </c>
      <c r="K928" s="43" t="s">
        <v>1552</v>
      </c>
      <c r="L928" s="43" t="s">
        <v>13</v>
      </c>
      <c r="M928">
        <f t="shared" si="57"/>
        <v>134</v>
      </c>
      <c r="N928">
        <f t="shared" si="58"/>
        <v>32</v>
      </c>
      <c r="O928">
        <f t="shared" si="59"/>
        <v>37</v>
      </c>
      <c r="P928">
        <f t="shared" si="60"/>
        <v>21</v>
      </c>
    </row>
    <row r="929" spans="9:16" ht="15" customHeight="1" x14ac:dyDescent="0.25">
      <c r="I929" s="41" t="s">
        <v>23</v>
      </c>
      <c r="J929" s="41" t="s">
        <v>11</v>
      </c>
      <c r="K929" s="41" t="s">
        <v>12</v>
      </c>
      <c r="L929" s="41" t="s">
        <v>19</v>
      </c>
      <c r="M929">
        <f t="shared" si="57"/>
        <v>136</v>
      </c>
      <c r="N929">
        <f t="shared" si="58"/>
        <v>32</v>
      </c>
      <c r="O929">
        <f t="shared" si="59"/>
        <v>0</v>
      </c>
      <c r="P929">
        <f t="shared" si="60"/>
        <v>23</v>
      </c>
    </row>
    <row r="930" spans="9:16" ht="15" customHeight="1" x14ac:dyDescent="0.25">
      <c r="I930" s="43" t="s">
        <v>17</v>
      </c>
      <c r="J930" s="43" t="s">
        <v>11</v>
      </c>
      <c r="K930" s="43" t="s">
        <v>12</v>
      </c>
      <c r="L930" s="43" t="s">
        <v>43</v>
      </c>
      <c r="M930">
        <f t="shared" si="57"/>
        <v>141</v>
      </c>
      <c r="N930">
        <f t="shared" si="58"/>
        <v>32</v>
      </c>
      <c r="O930">
        <f t="shared" si="59"/>
        <v>0</v>
      </c>
      <c r="P930">
        <f t="shared" si="60"/>
        <v>25</v>
      </c>
    </row>
    <row r="931" spans="9:16" ht="15" customHeight="1" x14ac:dyDescent="0.25">
      <c r="I931" s="41" t="s">
        <v>10</v>
      </c>
      <c r="J931" s="41" t="s">
        <v>24</v>
      </c>
      <c r="K931" s="41" t="s">
        <v>1552</v>
      </c>
      <c r="L931" s="41" t="s">
        <v>339</v>
      </c>
      <c r="M931">
        <f t="shared" si="57"/>
        <v>143</v>
      </c>
      <c r="N931">
        <f t="shared" si="58"/>
        <v>9</v>
      </c>
      <c r="O931">
        <f t="shared" si="59"/>
        <v>37</v>
      </c>
      <c r="P931">
        <f t="shared" si="60"/>
        <v>0</v>
      </c>
    </row>
    <row r="932" spans="9:16" ht="15" customHeight="1" x14ac:dyDescent="0.25">
      <c r="I932" s="43" t="s">
        <v>343</v>
      </c>
      <c r="J932" s="43" t="s">
        <v>11</v>
      </c>
      <c r="K932" s="43" t="s">
        <v>1555</v>
      </c>
      <c r="L932" s="43" t="s">
        <v>345</v>
      </c>
      <c r="M932">
        <f t="shared" si="57"/>
        <v>132</v>
      </c>
      <c r="N932">
        <f t="shared" si="58"/>
        <v>32</v>
      </c>
      <c r="O932">
        <f t="shared" si="59"/>
        <v>41</v>
      </c>
      <c r="P932">
        <f t="shared" si="60"/>
        <v>2</v>
      </c>
    </row>
    <row r="933" spans="9:16" ht="15" customHeight="1" x14ac:dyDescent="0.25">
      <c r="I933" s="41" t="s">
        <v>340</v>
      </c>
      <c r="J933" s="41" t="s">
        <v>24</v>
      </c>
      <c r="K933" s="41" t="s">
        <v>1557</v>
      </c>
      <c r="L933" s="41" t="s">
        <v>33</v>
      </c>
      <c r="M933">
        <f t="shared" si="57"/>
        <v>129</v>
      </c>
      <c r="N933">
        <f t="shared" si="58"/>
        <v>9</v>
      </c>
      <c r="O933">
        <f t="shared" si="59"/>
        <v>47</v>
      </c>
      <c r="P933">
        <f t="shared" si="60"/>
        <v>30</v>
      </c>
    </row>
    <row r="934" spans="9:16" ht="15" customHeight="1" x14ac:dyDescent="0.25">
      <c r="I934" s="43" t="s">
        <v>344</v>
      </c>
      <c r="J934" s="43" t="s">
        <v>11</v>
      </c>
      <c r="K934" s="43" t="s">
        <v>1560</v>
      </c>
      <c r="L934" s="43" t="s">
        <v>13</v>
      </c>
      <c r="M934">
        <f t="shared" si="57"/>
        <v>131</v>
      </c>
      <c r="N934">
        <f t="shared" si="58"/>
        <v>32</v>
      </c>
      <c r="O934">
        <f t="shared" si="59"/>
        <v>49</v>
      </c>
      <c r="P934">
        <f t="shared" si="60"/>
        <v>21</v>
      </c>
    </row>
    <row r="935" spans="9:16" ht="15" customHeight="1" x14ac:dyDescent="0.25">
      <c r="I935" s="41" t="s">
        <v>335</v>
      </c>
      <c r="J935" s="41" t="s">
        <v>24</v>
      </c>
      <c r="K935" s="41" t="s">
        <v>1553</v>
      </c>
      <c r="L935" s="41" t="s">
        <v>19</v>
      </c>
      <c r="M935">
        <f t="shared" si="57"/>
        <v>139</v>
      </c>
      <c r="N935">
        <f t="shared" si="58"/>
        <v>9</v>
      </c>
      <c r="O935">
        <f t="shared" si="59"/>
        <v>39</v>
      </c>
      <c r="P935">
        <f t="shared" si="60"/>
        <v>23</v>
      </c>
    </row>
    <row r="936" spans="9:16" ht="15" customHeight="1" x14ac:dyDescent="0.25">
      <c r="I936" s="43" t="s">
        <v>343</v>
      </c>
      <c r="J936" s="43" t="s">
        <v>11</v>
      </c>
      <c r="K936" s="43" t="s">
        <v>1556</v>
      </c>
      <c r="L936" s="43" t="s">
        <v>43</v>
      </c>
      <c r="M936">
        <f t="shared" si="57"/>
        <v>132</v>
      </c>
      <c r="N936">
        <f t="shared" si="58"/>
        <v>32</v>
      </c>
      <c r="O936">
        <f t="shared" si="59"/>
        <v>42</v>
      </c>
      <c r="P936">
        <f t="shared" si="60"/>
        <v>25</v>
      </c>
    </row>
    <row r="937" spans="9:16" ht="15" customHeight="1" x14ac:dyDescent="0.25">
      <c r="I937" s="41" t="s">
        <v>340</v>
      </c>
      <c r="J937" s="41" t="s">
        <v>24</v>
      </c>
      <c r="K937" s="41" t="s">
        <v>1558</v>
      </c>
      <c r="L937" s="41" t="s">
        <v>339</v>
      </c>
      <c r="M937">
        <f t="shared" si="57"/>
        <v>129</v>
      </c>
      <c r="N937">
        <f t="shared" si="58"/>
        <v>9</v>
      </c>
      <c r="O937">
        <f t="shared" si="59"/>
        <v>48</v>
      </c>
      <c r="P937">
        <f t="shared" si="60"/>
        <v>0</v>
      </c>
    </row>
    <row r="938" spans="9:16" ht="15" customHeight="1" x14ac:dyDescent="0.25">
      <c r="I938" s="43" t="s">
        <v>344</v>
      </c>
      <c r="J938" s="43" t="s">
        <v>11</v>
      </c>
      <c r="K938" s="43" t="s">
        <v>1561</v>
      </c>
      <c r="L938" s="43" t="s">
        <v>345</v>
      </c>
      <c r="M938">
        <f t="shared" si="57"/>
        <v>131</v>
      </c>
      <c r="N938">
        <f t="shared" si="58"/>
        <v>32</v>
      </c>
      <c r="O938">
        <f t="shared" si="59"/>
        <v>51</v>
      </c>
      <c r="P938">
        <f t="shared" si="60"/>
        <v>2</v>
      </c>
    </row>
    <row r="939" spans="9:16" ht="15" customHeight="1" x14ac:dyDescent="0.25">
      <c r="I939" s="41" t="s">
        <v>337</v>
      </c>
      <c r="J939" s="41" t="s">
        <v>24</v>
      </c>
      <c r="K939" s="41" t="s">
        <v>1554</v>
      </c>
      <c r="L939" s="41" t="s">
        <v>33</v>
      </c>
      <c r="M939">
        <f t="shared" si="57"/>
        <v>137</v>
      </c>
      <c r="N939">
        <f t="shared" si="58"/>
        <v>9</v>
      </c>
      <c r="O939">
        <f t="shared" si="59"/>
        <v>38</v>
      </c>
      <c r="P939">
        <f t="shared" si="60"/>
        <v>30</v>
      </c>
    </row>
    <row r="940" spans="9:16" ht="15" customHeight="1" x14ac:dyDescent="0.25">
      <c r="I940" s="43" t="s">
        <v>338</v>
      </c>
      <c r="J940" s="43" t="s">
        <v>11</v>
      </c>
      <c r="K940" s="43" t="s">
        <v>1559</v>
      </c>
      <c r="L940" s="43" t="s">
        <v>13</v>
      </c>
      <c r="M940">
        <f t="shared" si="57"/>
        <v>135</v>
      </c>
      <c r="N940">
        <f t="shared" si="58"/>
        <v>32</v>
      </c>
      <c r="O940">
        <f t="shared" si="59"/>
        <v>43</v>
      </c>
      <c r="P940">
        <f t="shared" si="60"/>
        <v>21</v>
      </c>
    </row>
    <row r="941" spans="9:16" ht="15" customHeight="1" x14ac:dyDescent="0.25">
      <c r="I941" s="41" t="s">
        <v>335</v>
      </c>
      <c r="J941" s="41" t="s">
        <v>24</v>
      </c>
      <c r="K941" s="41" t="s">
        <v>1554</v>
      </c>
      <c r="L941" s="41" t="s">
        <v>19</v>
      </c>
      <c r="M941">
        <f t="shared" si="57"/>
        <v>139</v>
      </c>
      <c r="N941">
        <f t="shared" si="58"/>
        <v>9</v>
      </c>
      <c r="O941">
        <f t="shared" si="59"/>
        <v>38</v>
      </c>
      <c r="P941">
        <f t="shared" si="60"/>
        <v>23</v>
      </c>
    </row>
    <row r="942" spans="9:16" ht="15" customHeight="1" x14ac:dyDescent="0.25">
      <c r="I942" s="43" t="s">
        <v>343</v>
      </c>
      <c r="J942" s="43" t="s">
        <v>11</v>
      </c>
      <c r="K942" s="43" t="s">
        <v>1559</v>
      </c>
      <c r="L942" s="43" t="s">
        <v>43</v>
      </c>
      <c r="M942">
        <f t="shared" si="57"/>
        <v>132</v>
      </c>
      <c r="N942">
        <f t="shared" si="58"/>
        <v>32</v>
      </c>
      <c r="O942">
        <f t="shared" si="59"/>
        <v>43</v>
      </c>
      <c r="P942">
        <f t="shared" si="60"/>
        <v>25</v>
      </c>
    </row>
    <row r="943" spans="9:16" ht="15" customHeight="1" x14ac:dyDescent="0.25">
      <c r="I943" s="41" t="s">
        <v>340</v>
      </c>
      <c r="J943" s="41" t="s">
        <v>24</v>
      </c>
      <c r="K943" s="41" t="s">
        <v>1553</v>
      </c>
      <c r="L943" s="41" t="s">
        <v>339</v>
      </c>
      <c r="M943">
        <f t="shared" si="57"/>
        <v>129</v>
      </c>
      <c r="N943">
        <f t="shared" si="58"/>
        <v>9</v>
      </c>
      <c r="O943">
        <f t="shared" si="59"/>
        <v>39</v>
      </c>
      <c r="P943">
        <f t="shared" si="60"/>
        <v>0</v>
      </c>
    </row>
    <row r="944" spans="9:16" ht="15" customHeight="1" x14ac:dyDescent="0.25">
      <c r="I944" s="43" t="s">
        <v>342</v>
      </c>
      <c r="J944" s="43" t="s">
        <v>11</v>
      </c>
      <c r="K944" s="43" t="s">
        <v>1556</v>
      </c>
      <c r="L944" s="43" t="s">
        <v>345</v>
      </c>
      <c r="M944">
        <f t="shared" si="57"/>
        <v>134</v>
      </c>
      <c r="N944">
        <f t="shared" si="58"/>
        <v>32</v>
      </c>
      <c r="O944">
        <f t="shared" si="59"/>
        <v>42</v>
      </c>
      <c r="P944">
        <f t="shared" si="60"/>
        <v>2</v>
      </c>
    </row>
    <row r="945" spans="9:16" ht="15" customHeight="1" x14ac:dyDescent="0.25">
      <c r="I945" s="41" t="s">
        <v>23</v>
      </c>
      <c r="J945" s="41" t="s">
        <v>24</v>
      </c>
      <c r="K945" s="41" t="s">
        <v>1558</v>
      </c>
      <c r="L945" s="41" t="s">
        <v>33</v>
      </c>
      <c r="M945">
        <f t="shared" si="57"/>
        <v>136</v>
      </c>
      <c r="N945">
        <f t="shared" si="58"/>
        <v>9</v>
      </c>
      <c r="O945">
        <f t="shared" si="59"/>
        <v>48</v>
      </c>
      <c r="P945">
        <f t="shared" si="60"/>
        <v>30</v>
      </c>
    </row>
    <row r="946" spans="9:16" ht="15" customHeight="1" x14ac:dyDescent="0.25">
      <c r="I946" s="43" t="s">
        <v>17</v>
      </c>
      <c r="J946" s="43" t="s">
        <v>11</v>
      </c>
      <c r="K946" s="43" t="s">
        <v>1561</v>
      </c>
      <c r="L946" s="43" t="s">
        <v>13</v>
      </c>
      <c r="M946">
        <f t="shared" si="57"/>
        <v>141</v>
      </c>
      <c r="N946">
        <f t="shared" si="58"/>
        <v>32</v>
      </c>
      <c r="O946">
        <f t="shared" si="59"/>
        <v>51</v>
      </c>
      <c r="P946">
        <f t="shared" si="60"/>
        <v>21</v>
      </c>
    </row>
    <row r="947" spans="9:16" ht="15" customHeight="1" x14ac:dyDescent="0.25">
      <c r="I947" s="41" t="s">
        <v>10</v>
      </c>
      <c r="J947" s="41" t="s">
        <v>24</v>
      </c>
      <c r="K947" s="41" t="s">
        <v>1552</v>
      </c>
      <c r="L947" s="41" t="s">
        <v>19</v>
      </c>
      <c r="M947">
        <f t="shared" si="57"/>
        <v>143</v>
      </c>
      <c r="N947">
        <f t="shared" si="58"/>
        <v>9</v>
      </c>
      <c r="O947">
        <f t="shared" si="59"/>
        <v>37</v>
      </c>
      <c r="P947">
        <f t="shared" si="60"/>
        <v>23</v>
      </c>
    </row>
    <row r="948" spans="9:16" ht="15" customHeight="1" x14ac:dyDescent="0.25">
      <c r="I948" s="43" t="s">
        <v>344</v>
      </c>
      <c r="J948" s="43" t="s">
        <v>11</v>
      </c>
      <c r="K948" s="43" t="s">
        <v>1555</v>
      </c>
      <c r="L948" s="43" t="s">
        <v>43</v>
      </c>
      <c r="M948">
        <f t="shared" si="57"/>
        <v>131</v>
      </c>
      <c r="N948">
        <f t="shared" si="58"/>
        <v>32</v>
      </c>
      <c r="O948">
        <f t="shared" si="59"/>
        <v>41</v>
      </c>
      <c r="P948">
        <f t="shared" si="60"/>
        <v>25</v>
      </c>
    </row>
    <row r="949" spans="9:16" ht="15" customHeight="1" x14ac:dyDescent="0.25">
      <c r="I949" s="41" t="s">
        <v>344</v>
      </c>
      <c r="J949" s="41" t="s">
        <v>24</v>
      </c>
      <c r="K949" s="41" t="s">
        <v>1557</v>
      </c>
      <c r="L949" s="41" t="s">
        <v>339</v>
      </c>
      <c r="M949">
        <f t="shared" si="57"/>
        <v>131</v>
      </c>
      <c r="N949">
        <f t="shared" si="58"/>
        <v>9</v>
      </c>
      <c r="O949">
        <f t="shared" si="59"/>
        <v>47</v>
      </c>
      <c r="P949">
        <f t="shared" si="60"/>
        <v>0</v>
      </c>
    </row>
    <row r="950" spans="9:16" ht="15" customHeight="1" x14ac:dyDescent="0.25">
      <c r="I950" s="43" t="s">
        <v>10</v>
      </c>
      <c r="J950" s="43" t="s">
        <v>11</v>
      </c>
      <c r="K950" s="43" t="s">
        <v>1560</v>
      </c>
      <c r="L950" s="43" t="s">
        <v>345</v>
      </c>
      <c r="M950">
        <f t="shared" si="57"/>
        <v>143</v>
      </c>
      <c r="N950">
        <f t="shared" si="58"/>
        <v>32</v>
      </c>
      <c r="O950">
        <f t="shared" si="59"/>
        <v>49</v>
      </c>
      <c r="P950">
        <f t="shared" si="60"/>
        <v>2</v>
      </c>
    </row>
    <row r="951" spans="9:16" ht="15" customHeight="1" x14ac:dyDescent="0.25">
      <c r="I951" s="41" t="s">
        <v>17</v>
      </c>
      <c r="J951" s="41" t="s">
        <v>24</v>
      </c>
      <c r="K951" s="41" t="s">
        <v>12</v>
      </c>
      <c r="L951" s="41" t="s">
        <v>33</v>
      </c>
      <c r="M951">
        <f t="shared" si="57"/>
        <v>141</v>
      </c>
      <c r="N951">
        <f t="shared" si="58"/>
        <v>9</v>
      </c>
      <c r="O951">
        <f t="shared" si="59"/>
        <v>0</v>
      </c>
      <c r="P951">
        <f t="shared" si="60"/>
        <v>30</v>
      </c>
    </row>
    <row r="952" spans="9:16" ht="15" customHeight="1" x14ac:dyDescent="0.25">
      <c r="I952" s="43" t="s">
        <v>23</v>
      </c>
      <c r="J952" s="43" t="s">
        <v>11</v>
      </c>
      <c r="K952" s="43" t="s">
        <v>12</v>
      </c>
      <c r="L952" s="43" t="s">
        <v>13</v>
      </c>
      <c r="M952">
        <f t="shared" ref="M952:M1015" si="61">_xlfn.XLOOKUP(I952,$C$9:$C$37,$D$9:$D$37,2,0)</f>
        <v>136</v>
      </c>
      <c r="N952">
        <f t="shared" ref="N952:N1015" si="62">_xlfn.XLOOKUP(J952,$C$9:$C$37,$D$9:$D$37,2,0)</f>
        <v>32</v>
      </c>
      <c r="O952">
        <f t="shared" ref="O952:O1015" si="63">_xlfn.XLOOKUP(K952,$C$9:$C$37,$D$9:$D$37,2,0)</f>
        <v>0</v>
      </c>
      <c r="P952">
        <f t="shared" ref="P952:P1015" si="64">_xlfn.XLOOKUP(L952,$C$9:$C$37,$D$9:$D$37,2,0)</f>
        <v>21</v>
      </c>
    </row>
    <row r="953" spans="9:16" ht="15" customHeight="1" x14ac:dyDescent="0.25">
      <c r="I953" s="41" t="s">
        <v>342</v>
      </c>
      <c r="J953" s="41" t="s">
        <v>24</v>
      </c>
      <c r="K953" s="41" t="s">
        <v>1552</v>
      </c>
      <c r="L953" s="41" t="s">
        <v>19</v>
      </c>
      <c r="M953">
        <f t="shared" si="61"/>
        <v>134</v>
      </c>
      <c r="N953">
        <f t="shared" si="62"/>
        <v>9</v>
      </c>
      <c r="O953">
        <f t="shared" si="63"/>
        <v>37</v>
      </c>
      <c r="P953">
        <f t="shared" si="64"/>
        <v>23</v>
      </c>
    </row>
    <row r="954" spans="9:16" ht="15" customHeight="1" x14ac:dyDescent="0.25">
      <c r="I954" s="43" t="s">
        <v>340</v>
      </c>
      <c r="J954" s="43" t="s">
        <v>11</v>
      </c>
      <c r="K954" s="43" t="s">
        <v>1553</v>
      </c>
      <c r="L954" s="43" t="s">
        <v>43</v>
      </c>
      <c r="M954">
        <f t="shared" si="61"/>
        <v>129</v>
      </c>
      <c r="N954">
        <f t="shared" si="62"/>
        <v>32</v>
      </c>
      <c r="O954">
        <f t="shared" si="63"/>
        <v>39</v>
      </c>
      <c r="P954">
        <f t="shared" si="64"/>
        <v>25</v>
      </c>
    </row>
    <row r="955" spans="9:16" ht="15" customHeight="1" x14ac:dyDescent="0.25">
      <c r="I955" s="41" t="s">
        <v>343</v>
      </c>
      <c r="J955" s="41" t="s">
        <v>24</v>
      </c>
      <c r="K955" s="41" t="s">
        <v>1554</v>
      </c>
      <c r="L955" s="41" t="s">
        <v>339</v>
      </c>
      <c r="M955">
        <f t="shared" si="61"/>
        <v>132</v>
      </c>
      <c r="N955">
        <f t="shared" si="62"/>
        <v>9</v>
      </c>
      <c r="O955">
        <f t="shared" si="63"/>
        <v>38</v>
      </c>
      <c r="P955">
        <f t="shared" si="64"/>
        <v>0</v>
      </c>
    </row>
    <row r="956" spans="9:16" ht="15" customHeight="1" x14ac:dyDescent="0.25">
      <c r="I956" s="43" t="s">
        <v>335</v>
      </c>
      <c r="J956" s="43" t="s">
        <v>11</v>
      </c>
      <c r="K956" s="43" t="s">
        <v>1555</v>
      </c>
      <c r="L956" s="43" t="s">
        <v>345</v>
      </c>
      <c r="M956">
        <f t="shared" si="61"/>
        <v>139</v>
      </c>
      <c r="N956">
        <f t="shared" si="62"/>
        <v>32</v>
      </c>
      <c r="O956">
        <f t="shared" si="63"/>
        <v>41</v>
      </c>
      <c r="P956">
        <f t="shared" si="64"/>
        <v>2</v>
      </c>
    </row>
    <row r="957" spans="9:16" ht="15" customHeight="1" x14ac:dyDescent="0.25">
      <c r="I957" s="41" t="s">
        <v>338</v>
      </c>
      <c r="J957" s="41" t="s">
        <v>24</v>
      </c>
      <c r="K957" s="41" t="s">
        <v>1556</v>
      </c>
      <c r="L957" s="41" t="s">
        <v>33</v>
      </c>
      <c r="M957">
        <f t="shared" si="61"/>
        <v>135</v>
      </c>
      <c r="N957">
        <f t="shared" si="62"/>
        <v>9</v>
      </c>
      <c r="O957">
        <f t="shared" si="63"/>
        <v>42</v>
      </c>
      <c r="P957">
        <f t="shared" si="64"/>
        <v>30</v>
      </c>
    </row>
    <row r="958" spans="9:16" ht="15" customHeight="1" x14ac:dyDescent="0.25">
      <c r="I958" s="43" t="s">
        <v>337</v>
      </c>
      <c r="J958" s="43" t="s">
        <v>11</v>
      </c>
      <c r="K958" s="43" t="s">
        <v>1559</v>
      </c>
      <c r="L958" s="43" t="s">
        <v>13</v>
      </c>
      <c r="M958">
        <f t="shared" si="61"/>
        <v>137</v>
      </c>
      <c r="N958">
        <f t="shared" si="62"/>
        <v>32</v>
      </c>
      <c r="O958">
        <f t="shared" si="63"/>
        <v>43</v>
      </c>
      <c r="P958">
        <f t="shared" si="64"/>
        <v>21</v>
      </c>
    </row>
    <row r="959" spans="9:16" ht="15" customHeight="1" x14ac:dyDescent="0.25">
      <c r="I959" s="41" t="s">
        <v>343</v>
      </c>
      <c r="J959" s="41" t="s">
        <v>11</v>
      </c>
      <c r="K959" s="41" t="s">
        <v>1557</v>
      </c>
      <c r="L959" s="41" t="s">
        <v>19</v>
      </c>
      <c r="M959">
        <f t="shared" si="61"/>
        <v>132</v>
      </c>
      <c r="N959">
        <f t="shared" si="62"/>
        <v>32</v>
      </c>
      <c r="O959">
        <f t="shared" si="63"/>
        <v>47</v>
      </c>
      <c r="P959">
        <f t="shared" si="64"/>
        <v>23</v>
      </c>
    </row>
    <row r="960" spans="9:16" ht="15" customHeight="1" x14ac:dyDescent="0.25">
      <c r="I960" s="43" t="s">
        <v>340</v>
      </c>
      <c r="J960" s="43" t="s">
        <v>11</v>
      </c>
      <c r="K960" s="43" t="s">
        <v>1558</v>
      </c>
      <c r="L960" s="43" t="s">
        <v>43</v>
      </c>
      <c r="M960">
        <f t="shared" si="61"/>
        <v>129</v>
      </c>
      <c r="N960">
        <f t="shared" si="62"/>
        <v>32</v>
      </c>
      <c r="O960">
        <f t="shared" si="63"/>
        <v>48</v>
      </c>
      <c r="P960">
        <f t="shared" si="64"/>
        <v>25</v>
      </c>
    </row>
    <row r="961" spans="9:16" ht="15" customHeight="1" x14ac:dyDescent="0.25">
      <c r="I961" s="41" t="s">
        <v>10</v>
      </c>
      <c r="J961" s="41" t="s">
        <v>11</v>
      </c>
      <c r="K961" s="41" t="s">
        <v>1560</v>
      </c>
      <c r="L961" s="41" t="s">
        <v>339</v>
      </c>
      <c r="M961">
        <f t="shared" si="61"/>
        <v>143</v>
      </c>
      <c r="N961">
        <f t="shared" si="62"/>
        <v>32</v>
      </c>
      <c r="O961">
        <f t="shared" si="63"/>
        <v>49</v>
      </c>
      <c r="P961">
        <f t="shared" si="64"/>
        <v>0</v>
      </c>
    </row>
    <row r="962" spans="9:16" ht="15" customHeight="1" x14ac:dyDescent="0.25">
      <c r="I962" s="43" t="s">
        <v>344</v>
      </c>
      <c r="J962" s="43" t="s">
        <v>11</v>
      </c>
      <c r="K962" s="43" t="s">
        <v>1561</v>
      </c>
      <c r="L962" s="43" t="s">
        <v>345</v>
      </c>
      <c r="M962">
        <f t="shared" si="61"/>
        <v>131</v>
      </c>
      <c r="N962">
        <f t="shared" si="62"/>
        <v>32</v>
      </c>
      <c r="O962">
        <f t="shared" si="63"/>
        <v>51</v>
      </c>
      <c r="P962">
        <f t="shared" si="64"/>
        <v>2</v>
      </c>
    </row>
    <row r="963" spans="9:16" ht="15" customHeight="1" x14ac:dyDescent="0.25">
      <c r="I963" s="41" t="s">
        <v>338</v>
      </c>
      <c r="J963" s="41" t="s">
        <v>11</v>
      </c>
      <c r="K963" s="41" t="s">
        <v>1561</v>
      </c>
      <c r="L963" s="41" t="s">
        <v>33</v>
      </c>
      <c r="M963">
        <f t="shared" si="61"/>
        <v>135</v>
      </c>
      <c r="N963">
        <f t="shared" si="62"/>
        <v>32</v>
      </c>
      <c r="O963">
        <f t="shared" si="63"/>
        <v>51</v>
      </c>
      <c r="P963">
        <f t="shared" si="64"/>
        <v>30</v>
      </c>
    </row>
    <row r="964" spans="9:16" ht="15" customHeight="1" x14ac:dyDescent="0.25">
      <c r="I964" s="43" t="s">
        <v>23</v>
      </c>
      <c r="J964" s="43" t="s">
        <v>11</v>
      </c>
      <c r="K964" s="43" t="s">
        <v>1560</v>
      </c>
      <c r="L964" s="43" t="s">
        <v>13</v>
      </c>
      <c r="M964">
        <f t="shared" si="61"/>
        <v>136</v>
      </c>
      <c r="N964">
        <f t="shared" si="62"/>
        <v>32</v>
      </c>
      <c r="O964">
        <f t="shared" si="63"/>
        <v>49</v>
      </c>
      <c r="P964">
        <f t="shared" si="64"/>
        <v>21</v>
      </c>
    </row>
    <row r="965" spans="9:16" ht="15" customHeight="1" x14ac:dyDescent="0.25">
      <c r="I965" s="41" t="s">
        <v>17</v>
      </c>
      <c r="J965" s="41" t="s">
        <v>11</v>
      </c>
      <c r="K965" s="41" t="s">
        <v>1558</v>
      </c>
      <c r="L965" s="41" t="s">
        <v>19</v>
      </c>
      <c r="M965">
        <f t="shared" si="61"/>
        <v>141</v>
      </c>
      <c r="N965">
        <f t="shared" si="62"/>
        <v>32</v>
      </c>
      <c r="O965">
        <f t="shared" si="63"/>
        <v>48</v>
      </c>
      <c r="P965">
        <f t="shared" si="64"/>
        <v>23</v>
      </c>
    </row>
    <row r="966" spans="9:16" ht="15" customHeight="1" x14ac:dyDescent="0.25">
      <c r="I966" s="43" t="s">
        <v>10</v>
      </c>
      <c r="J966" s="43" t="s">
        <v>11</v>
      </c>
      <c r="K966" s="43" t="s">
        <v>1557</v>
      </c>
      <c r="L966" s="43" t="s">
        <v>43</v>
      </c>
      <c r="M966">
        <f t="shared" si="61"/>
        <v>143</v>
      </c>
      <c r="N966">
        <f t="shared" si="62"/>
        <v>32</v>
      </c>
      <c r="O966">
        <f t="shared" si="63"/>
        <v>47</v>
      </c>
      <c r="P966">
        <f t="shared" si="64"/>
        <v>25</v>
      </c>
    </row>
    <row r="967" spans="9:16" ht="15" customHeight="1" x14ac:dyDescent="0.25">
      <c r="I967" s="41" t="s">
        <v>337</v>
      </c>
      <c r="J967" s="41" t="s">
        <v>11</v>
      </c>
      <c r="K967" s="41" t="s">
        <v>1559</v>
      </c>
      <c r="L967" s="41" t="s">
        <v>339</v>
      </c>
      <c r="M967">
        <f t="shared" si="61"/>
        <v>137</v>
      </c>
      <c r="N967">
        <f t="shared" si="62"/>
        <v>32</v>
      </c>
      <c r="O967">
        <f t="shared" si="63"/>
        <v>43</v>
      </c>
      <c r="P967">
        <f t="shared" si="64"/>
        <v>0</v>
      </c>
    </row>
    <row r="968" spans="9:16" ht="15" customHeight="1" x14ac:dyDescent="0.25">
      <c r="I968" s="43" t="s">
        <v>338</v>
      </c>
      <c r="J968" s="43" t="s">
        <v>11</v>
      </c>
      <c r="K968" s="43" t="s">
        <v>1556</v>
      </c>
      <c r="L968" s="43" t="s">
        <v>345</v>
      </c>
      <c r="M968">
        <f t="shared" si="61"/>
        <v>135</v>
      </c>
      <c r="N968">
        <f t="shared" si="62"/>
        <v>32</v>
      </c>
      <c r="O968">
        <f t="shared" si="63"/>
        <v>42</v>
      </c>
      <c r="P968">
        <f t="shared" si="64"/>
        <v>2</v>
      </c>
    </row>
    <row r="969" spans="9:16" ht="15" customHeight="1" x14ac:dyDescent="0.25">
      <c r="I969" s="41" t="s">
        <v>338</v>
      </c>
      <c r="J969" s="41" t="s">
        <v>11</v>
      </c>
      <c r="K969" s="41" t="s">
        <v>1555</v>
      </c>
      <c r="L969" s="41" t="s">
        <v>33</v>
      </c>
      <c r="M969">
        <f t="shared" si="61"/>
        <v>135</v>
      </c>
      <c r="N969">
        <f t="shared" si="62"/>
        <v>32</v>
      </c>
      <c r="O969">
        <f t="shared" si="63"/>
        <v>41</v>
      </c>
      <c r="P969">
        <f t="shared" si="64"/>
        <v>30</v>
      </c>
    </row>
    <row r="970" spans="9:16" ht="15" customHeight="1" x14ac:dyDescent="0.25">
      <c r="I970" s="43" t="s">
        <v>335</v>
      </c>
      <c r="J970" s="43" t="s">
        <v>11</v>
      </c>
      <c r="K970" s="43" t="s">
        <v>1554</v>
      </c>
      <c r="L970" s="43" t="s">
        <v>13</v>
      </c>
      <c r="M970">
        <f t="shared" si="61"/>
        <v>139</v>
      </c>
      <c r="N970">
        <f t="shared" si="62"/>
        <v>32</v>
      </c>
      <c r="O970">
        <f t="shared" si="63"/>
        <v>38</v>
      </c>
      <c r="P970">
        <f t="shared" si="64"/>
        <v>21</v>
      </c>
    </row>
    <row r="971" spans="9:16" ht="15" customHeight="1" x14ac:dyDescent="0.25">
      <c r="I971" s="41" t="s">
        <v>335</v>
      </c>
      <c r="J971" s="41" t="s">
        <v>11</v>
      </c>
      <c r="K971" s="41" t="s">
        <v>1553</v>
      </c>
      <c r="L971" s="41" t="s">
        <v>19</v>
      </c>
      <c r="M971">
        <f t="shared" si="61"/>
        <v>139</v>
      </c>
      <c r="N971">
        <f t="shared" si="62"/>
        <v>32</v>
      </c>
      <c r="O971">
        <f t="shared" si="63"/>
        <v>39</v>
      </c>
      <c r="P971">
        <f t="shared" si="64"/>
        <v>23</v>
      </c>
    </row>
    <row r="972" spans="9:16" ht="15" customHeight="1" x14ac:dyDescent="0.25">
      <c r="I972" s="43" t="s">
        <v>342</v>
      </c>
      <c r="J972" s="43" t="s">
        <v>11</v>
      </c>
      <c r="K972" s="43" t="s">
        <v>1552</v>
      </c>
      <c r="L972" s="43" t="s">
        <v>43</v>
      </c>
      <c r="M972">
        <f t="shared" si="61"/>
        <v>134</v>
      </c>
      <c r="N972">
        <f t="shared" si="62"/>
        <v>32</v>
      </c>
      <c r="O972">
        <f t="shared" si="63"/>
        <v>37</v>
      </c>
      <c r="P972">
        <f t="shared" si="64"/>
        <v>25</v>
      </c>
    </row>
    <row r="973" spans="9:16" ht="15" customHeight="1" x14ac:dyDescent="0.25">
      <c r="I973" s="41" t="s">
        <v>342</v>
      </c>
      <c r="J973" s="41" t="s">
        <v>11</v>
      </c>
      <c r="K973" s="41" t="s">
        <v>12</v>
      </c>
      <c r="L973" s="41" t="s">
        <v>339</v>
      </c>
      <c r="M973">
        <f t="shared" si="61"/>
        <v>134</v>
      </c>
      <c r="N973">
        <f t="shared" si="62"/>
        <v>32</v>
      </c>
      <c r="O973">
        <f t="shared" si="63"/>
        <v>0</v>
      </c>
      <c r="P973">
        <f t="shared" si="64"/>
        <v>0</v>
      </c>
    </row>
    <row r="974" spans="9:16" ht="15" customHeight="1" x14ac:dyDescent="0.25">
      <c r="I974" s="43" t="s">
        <v>10</v>
      </c>
      <c r="J974" s="43" t="s">
        <v>11</v>
      </c>
      <c r="K974" s="43" t="s">
        <v>12</v>
      </c>
      <c r="L974" s="43" t="s">
        <v>345</v>
      </c>
      <c r="M974">
        <f t="shared" si="61"/>
        <v>143</v>
      </c>
      <c r="N974">
        <f t="shared" si="62"/>
        <v>32</v>
      </c>
      <c r="O974">
        <f t="shared" si="63"/>
        <v>0</v>
      </c>
      <c r="P974">
        <f t="shared" si="64"/>
        <v>2</v>
      </c>
    </row>
    <row r="975" spans="9:16" ht="15" customHeight="1" x14ac:dyDescent="0.25">
      <c r="I975" s="41" t="s">
        <v>17</v>
      </c>
      <c r="J975" s="41" t="s">
        <v>11</v>
      </c>
      <c r="K975" s="41" t="s">
        <v>1552</v>
      </c>
      <c r="L975" s="41" t="s">
        <v>33</v>
      </c>
      <c r="M975">
        <f t="shared" si="61"/>
        <v>141</v>
      </c>
      <c r="N975">
        <f t="shared" si="62"/>
        <v>32</v>
      </c>
      <c r="O975">
        <f t="shared" si="63"/>
        <v>37</v>
      </c>
      <c r="P975">
        <f t="shared" si="64"/>
        <v>30</v>
      </c>
    </row>
    <row r="976" spans="9:16" ht="15" customHeight="1" x14ac:dyDescent="0.25">
      <c r="I976" s="43" t="s">
        <v>10</v>
      </c>
      <c r="J976" s="43" t="s">
        <v>11</v>
      </c>
      <c r="K976" s="43" t="s">
        <v>1555</v>
      </c>
      <c r="L976" s="43" t="s">
        <v>13</v>
      </c>
      <c r="M976">
        <f t="shared" si="61"/>
        <v>143</v>
      </c>
      <c r="N976">
        <f t="shared" si="62"/>
        <v>32</v>
      </c>
      <c r="O976">
        <f t="shared" si="63"/>
        <v>41</v>
      </c>
      <c r="P976">
        <f t="shared" si="64"/>
        <v>21</v>
      </c>
    </row>
    <row r="977" spans="9:16" ht="15" customHeight="1" x14ac:dyDescent="0.25">
      <c r="I977" s="41" t="s">
        <v>23</v>
      </c>
      <c r="J977" s="41" t="s">
        <v>24</v>
      </c>
      <c r="K977" s="41" t="s">
        <v>1557</v>
      </c>
      <c r="L977" s="41" t="s">
        <v>19</v>
      </c>
      <c r="M977">
        <f t="shared" si="61"/>
        <v>136</v>
      </c>
      <c r="N977">
        <f t="shared" si="62"/>
        <v>9</v>
      </c>
      <c r="O977">
        <f t="shared" si="63"/>
        <v>47</v>
      </c>
      <c r="P977">
        <f t="shared" si="64"/>
        <v>23</v>
      </c>
    </row>
    <row r="978" spans="9:16" ht="15" customHeight="1" x14ac:dyDescent="0.25">
      <c r="I978" s="43" t="s">
        <v>17</v>
      </c>
      <c r="J978" s="43" t="s">
        <v>24</v>
      </c>
      <c r="K978" s="43" t="s">
        <v>1560</v>
      </c>
      <c r="L978" s="43" t="s">
        <v>43</v>
      </c>
      <c r="M978">
        <f t="shared" si="61"/>
        <v>141</v>
      </c>
      <c r="N978">
        <f t="shared" si="62"/>
        <v>9</v>
      </c>
      <c r="O978">
        <f t="shared" si="63"/>
        <v>49</v>
      </c>
      <c r="P978">
        <f t="shared" si="64"/>
        <v>25</v>
      </c>
    </row>
    <row r="979" spans="9:16" ht="15" customHeight="1" x14ac:dyDescent="0.25">
      <c r="I979" s="41" t="s">
        <v>337</v>
      </c>
      <c r="J979" s="41" t="s">
        <v>24</v>
      </c>
      <c r="K979" s="41" t="s">
        <v>1553</v>
      </c>
      <c r="L979" s="41" t="s">
        <v>339</v>
      </c>
      <c r="M979">
        <f t="shared" si="61"/>
        <v>137</v>
      </c>
      <c r="N979">
        <f t="shared" si="62"/>
        <v>9</v>
      </c>
      <c r="O979">
        <f t="shared" si="63"/>
        <v>39</v>
      </c>
      <c r="P979">
        <f t="shared" si="64"/>
        <v>0</v>
      </c>
    </row>
    <row r="980" spans="9:16" ht="15" customHeight="1" x14ac:dyDescent="0.25">
      <c r="I980" s="43" t="s">
        <v>337</v>
      </c>
      <c r="J980" s="43" t="s">
        <v>24</v>
      </c>
      <c r="K980" s="43" t="s">
        <v>1556</v>
      </c>
      <c r="L980" s="43" t="s">
        <v>345</v>
      </c>
      <c r="M980">
        <f t="shared" si="61"/>
        <v>137</v>
      </c>
      <c r="N980">
        <f t="shared" si="62"/>
        <v>9</v>
      </c>
      <c r="O980">
        <f t="shared" si="63"/>
        <v>42</v>
      </c>
      <c r="P980">
        <f t="shared" si="64"/>
        <v>2</v>
      </c>
    </row>
    <row r="981" spans="9:16" ht="15" customHeight="1" x14ac:dyDescent="0.25">
      <c r="I981" s="41" t="s">
        <v>338</v>
      </c>
      <c r="J981" s="41" t="s">
        <v>24</v>
      </c>
      <c r="K981" s="41" t="s">
        <v>1558</v>
      </c>
      <c r="L981" s="41" t="s">
        <v>33</v>
      </c>
      <c r="M981">
        <f t="shared" si="61"/>
        <v>135</v>
      </c>
      <c r="N981">
        <f t="shared" si="62"/>
        <v>9</v>
      </c>
      <c r="O981">
        <f t="shared" si="63"/>
        <v>48</v>
      </c>
      <c r="P981">
        <f t="shared" si="64"/>
        <v>30</v>
      </c>
    </row>
    <row r="982" spans="9:16" ht="15" customHeight="1" x14ac:dyDescent="0.25">
      <c r="I982" s="43" t="s">
        <v>335</v>
      </c>
      <c r="J982" s="43" t="s">
        <v>24</v>
      </c>
      <c r="K982" s="43" t="s">
        <v>1561</v>
      </c>
      <c r="L982" s="43" t="s">
        <v>13</v>
      </c>
      <c r="M982">
        <f t="shared" si="61"/>
        <v>139</v>
      </c>
      <c r="N982">
        <f t="shared" si="62"/>
        <v>9</v>
      </c>
      <c r="O982">
        <f t="shared" si="63"/>
        <v>51</v>
      </c>
      <c r="P982">
        <f t="shared" si="64"/>
        <v>21</v>
      </c>
    </row>
    <row r="983" spans="9:16" ht="15" customHeight="1" x14ac:dyDescent="0.25">
      <c r="I983" s="41" t="s">
        <v>343</v>
      </c>
      <c r="J983" s="41" t="s">
        <v>24</v>
      </c>
      <c r="K983" s="41" t="s">
        <v>1554</v>
      </c>
      <c r="L983" s="41" t="s">
        <v>19</v>
      </c>
      <c r="M983">
        <f t="shared" si="61"/>
        <v>132</v>
      </c>
      <c r="N983">
        <f t="shared" si="62"/>
        <v>9</v>
      </c>
      <c r="O983">
        <f t="shared" si="63"/>
        <v>38</v>
      </c>
      <c r="P983">
        <f t="shared" si="64"/>
        <v>23</v>
      </c>
    </row>
    <row r="984" spans="9:16" ht="15" customHeight="1" x14ac:dyDescent="0.25">
      <c r="I984" s="43" t="s">
        <v>340</v>
      </c>
      <c r="J984" s="43" t="s">
        <v>24</v>
      </c>
      <c r="K984" s="43" t="s">
        <v>1559</v>
      </c>
      <c r="L984" s="43" t="s">
        <v>43</v>
      </c>
      <c r="M984">
        <f t="shared" si="61"/>
        <v>129</v>
      </c>
      <c r="N984">
        <f t="shared" si="62"/>
        <v>9</v>
      </c>
      <c r="O984">
        <f t="shared" si="63"/>
        <v>43</v>
      </c>
      <c r="P984">
        <f t="shared" si="64"/>
        <v>25</v>
      </c>
    </row>
    <row r="985" spans="9:16" ht="15" customHeight="1" x14ac:dyDescent="0.25">
      <c r="I985" s="41" t="s">
        <v>342</v>
      </c>
      <c r="J985" s="41" t="s">
        <v>24</v>
      </c>
      <c r="K985" s="41" t="s">
        <v>1554</v>
      </c>
      <c r="L985" s="41" t="s">
        <v>339</v>
      </c>
      <c r="M985">
        <f t="shared" si="61"/>
        <v>134</v>
      </c>
      <c r="N985">
        <f t="shared" si="62"/>
        <v>9</v>
      </c>
      <c r="O985">
        <f t="shared" si="63"/>
        <v>38</v>
      </c>
      <c r="P985">
        <f t="shared" si="64"/>
        <v>0</v>
      </c>
    </row>
    <row r="986" spans="9:16" ht="15" customHeight="1" x14ac:dyDescent="0.25">
      <c r="I986" s="43" t="s">
        <v>23</v>
      </c>
      <c r="J986" s="43" t="s">
        <v>24</v>
      </c>
      <c r="K986" s="43" t="s">
        <v>1559</v>
      </c>
      <c r="L986" s="43" t="s">
        <v>345</v>
      </c>
      <c r="M986">
        <f t="shared" si="61"/>
        <v>136</v>
      </c>
      <c r="N986">
        <f t="shared" si="62"/>
        <v>9</v>
      </c>
      <c r="O986">
        <f t="shared" si="63"/>
        <v>43</v>
      </c>
      <c r="P986">
        <f t="shared" si="64"/>
        <v>2</v>
      </c>
    </row>
    <row r="987" spans="9:16" ht="15" customHeight="1" x14ac:dyDescent="0.25">
      <c r="I987" s="41" t="s">
        <v>17</v>
      </c>
      <c r="J987" s="41" t="s">
        <v>24</v>
      </c>
      <c r="K987" s="41" t="s">
        <v>1553</v>
      </c>
      <c r="L987" s="41" t="s">
        <v>33</v>
      </c>
      <c r="M987">
        <f t="shared" si="61"/>
        <v>141</v>
      </c>
      <c r="N987">
        <f t="shared" si="62"/>
        <v>9</v>
      </c>
      <c r="O987">
        <f t="shared" si="63"/>
        <v>39</v>
      </c>
      <c r="P987">
        <f t="shared" si="64"/>
        <v>30</v>
      </c>
    </row>
    <row r="988" spans="9:16" ht="15" customHeight="1" x14ac:dyDescent="0.25">
      <c r="I988" s="43" t="s">
        <v>10</v>
      </c>
      <c r="J988" s="43" t="s">
        <v>24</v>
      </c>
      <c r="K988" s="43" t="s">
        <v>1556</v>
      </c>
      <c r="L988" s="43" t="s">
        <v>13</v>
      </c>
      <c r="M988">
        <f t="shared" si="61"/>
        <v>143</v>
      </c>
      <c r="N988">
        <f t="shared" si="62"/>
        <v>9</v>
      </c>
      <c r="O988">
        <f t="shared" si="63"/>
        <v>42</v>
      </c>
      <c r="P988">
        <f t="shared" si="64"/>
        <v>21</v>
      </c>
    </row>
    <row r="989" spans="9:16" ht="15" customHeight="1" x14ac:dyDescent="0.25">
      <c r="I989" s="41" t="s">
        <v>344</v>
      </c>
      <c r="J989" s="41" t="s">
        <v>24</v>
      </c>
      <c r="K989" s="41" t="s">
        <v>1558</v>
      </c>
      <c r="L989" s="41" t="s">
        <v>19</v>
      </c>
      <c r="M989">
        <f t="shared" si="61"/>
        <v>131</v>
      </c>
      <c r="N989">
        <f t="shared" si="62"/>
        <v>9</v>
      </c>
      <c r="O989">
        <f t="shared" si="63"/>
        <v>48</v>
      </c>
      <c r="P989">
        <f t="shared" si="64"/>
        <v>23</v>
      </c>
    </row>
    <row r="990" spans="9:16" ht="15" customHeight="1" x14ac:dyDescent="0.25">
      <c r="I990" s="43" t="s">
        <v>344</v>
      </c>
      <c r="J990" s="43" t="s">
        <v>24</v>
      </c>
      <c r="K990" s="43" t="s">
        <v>1561</v>
      </c>
      <c r="L990" s="43" t="s">
        <v>43</v>
      </c>
      <c r="M990">
        <f t="shared" si="61"/>
        <v>131</v>
      </c>
      <c r="N990">
        <f t="shared" si="62"/>
        <v>9</v>
      </c>
      <c r="O990">
        <f t="shared" si="63"/>
        <v>51</v>
      </c>
      <c r="P990">
        <f t="shared" si="64"/>
        <v>25</v>
      </c>
    </row>
    <row r="991" spans="9:16" ht="15" customHeight="1" x14ac:dyDescent="0.25">
      <c r="I991" s="41" t="s">
        <v>10</v>
      </c>
      <c r="J991" s="41" t="s">
        <v>24</v>
      </c>
      <c r="K991" s="41" t="s">
        <v>1552</v>
      </c>
      <c r="L991" s="41" t="s">
        <v>339</v>
      </c>
      <c r="M991">
        <f t="shared" si="61"/>
        <v>143</v>
      </c>
      <c r="N991">
        <f t="shared" si="62"/>
        <v>9</v>
      </c>
      <c r="O991">
        <f t="shared" si="63"/>
        <v>37</v>
      </c>
      <c r="P991">
        <f t="shared" si="64"/>
        <v>0</v>
      </c>
    </row>
    <row r="992" spans="9:16" ht="15" customHeight="1" x14ac:dyDescent="0.25">
      <c r="I992" s="43" t="s">
        <v>17</v>
      </c>
      <c r="J992" s="43" t="s">
        <v>24</v>
      </c>
      <c r="K992" s="43" t="s">
        <v>1555</v>
      </c>
      <c r="L992" s="43" t="s">
        <v>345</v>
      </c>
      <c r="M992">
        <f t="shared" si="61"/>
        <v>141</v>
      </c>
      <c r="N992">
        <f t="shared" si="62"/>
        <v>9</v>
      </c>
      <c r="O992">
        <f t="shared" si="63"/>
        <v>41</v>
      </c>
      <c r="P992">
        <f t="shared" si="64"/>
        <v>2</v>
      </c>
    </row>
    <row r="993" spans="9:16" ht="15" customHeight="1" x14ac:dyDescent="0.25">
      <c r="I993" s="41" t="s">
        <v>23</v>
      </c>
      <c r="J993" s="41" t="s">
        <v>24</v>
      </c>
      <c r="K993" s="41" t="s">
        <v>1557</v>
      </c>
      <c r="L993" s="41" t="s">
        <v>33</v>
      </c>
      <c r="M993">
        <f t="shared" si="61"/>
        <v>136</v>
      </c>
      <c r="N993">
        <f t="shared" si="62"/>
        <v>9</v>
      </c>
      <c r="O993">
        <f t="shared" si="63"/>
        <v>47</v>
      </c>
      <c r="P993">
        <f t="shared" si="64"/>
        <v>30</v>
      </c>
    </row>
    <row r="994" spans="9:16" ht="15" customHeight="1" x14ac:dyDescent="0.25">
      <c r="I994" s="43" t="s">
        <v>342</v>
      </c>
      <c r="J994" s="43" t="s">
        <v>24</v>
      </c>
      <c r="K994" s="43" t="s">
        <v>1560</v>
      </c>
      <c r="L994" s="43" t="s">
        <v>13</v>
      </c>
      <c r="M994">
        <f t="shared" si="61"/>
        <v>134</v>
      </c>
      <c r="N994">
        <f t="shared" si="62"/>
        <v>9</v>
      </c>
      <c r="O994">
        <f t="shared" si="63"/>
        <v>49</v>
      </c>
      <c r="P994">
        <f t="shared" si="64"/>
        <v>21</v>
      </c>
    </row>
    <row r="995" spans="9:16" ht="15" customHeight="1" x14ac:dyDescent="0.25">
      <c r="I995" s="41" t="s">
        <v>340</v>
      </c>
      <c r="J995" s="41" t="s">
        <v>24</v>
      </c>
      <c r="K995" s="41" t="s">
        <v>12</v>
      </c>
      <c r="L995" s="41" t="s">
        <v>19</v>
      </c>
      <c r="M995">
        <f t="shared" si="61"/>
        <v>129</v>
      </c>
      <c r="N995">
        <f t="shared" si="62"/>
        <v>9</v>
      </c>
      <c r="O995">
        <f t="shared" si="63"/>
        <v>0</v>
      </c>
      <c r="P995">
        <f t="shared" si="64"/>
        <v>23</v>
      </c>
    </row>
    <row r="996" spans="9:16" ht="15" customHeight="1" x14ac:dyDescent="0.25">
      <c r="I996" s="43" t="s">
        <v>343</v>
      </c>
      <c r="J996" s="43" t="s">
        <v>24</v>
      </c>
      <c r="K996" s="43" t="s">
        <v>12</v>
      </c>
      <c r="L996" s="43" t="s">
        <v>43</v>
      </c>
      <c r="M996">
        <f t="shared" si="61"/>
        <v>132</v>
      </c>
      <c r="N996">
        <f t="shared" si="62"/>
        <v>9</v>
      </c>
      <c r="O996">
        <f t="shared" si="63"/>
        <v>0</v>
      </c>
      <c r="P996">
        <f t="shared" si="64"/>
        <v>25</v>
      </c>
    </row>
    <row r="997" spans="9:16" ht="15" customHeight="1" x14ac:dyDescent="0.25">
      <c r="I997" s="41" t="s">
        <v>335</v>
      </c>
      <c r="J997" s="41" t="s">
        <v>24</v>
      </c>
      <c r="K997" s="41" t="s">
        <v>1552</v>
      </c>
      <c r="L997" s="41" t="s">
        <v>339</v>
      </c>
      <c r="M997">
        <f t="shared" si="61"/>
        <v>139</v>
      </c>
      <c r="N997">
        <f t="shared" si="62"/>
        <v>9</v>
      </c>
      <c r="O997">
        <f t="shared" si="63"/>
        <v>37</v>
      </c>
      <c r="P997">
        <f t="shared" si="64"/>
        <v>0</v>
      </c>
    </row>
    <row r="998" spans="9:16" ht="15" customHeight="1" x14ac:dyDescent="0.25">
      <c r="I998" s="43" t="s">
        <v>338</v>
      </c>
      <c r="J998" s="43" t="s">
        <v>24</v>
      </c>
      <c r="K998" s="43" t="s">
        <v>1553</v>
      </c>
      <c r="L998" s="43" t="s">
        <v>345</v>
      </c>
      <c r="M998">
        <f t="shared" si="61"/>
        <v>135</v>
      </c>
      <c r="N998">
        <f t="shared" si="62"/>
        <v>9</v>
      </c>
      <c r="O998">
        <f t="shared" si="63"/>
        <v>39</v>
      </c>
      <c r="P998">
        <f t="shared" si="64"/>
        <v>2</v>
      </c>
    </row>
    <row r="999" spans="9:16" ht="15" customHeight="1" x14ac:dyDescent="0.25">
      <c r="I999" s="41" t="s">
        <v>337</v>
      </c>
      <c r="J999" s="41" t="s">
        <v>24</v>
      </c>
      <c r="K999" s="41" t="s">
        <v>1554</v>
      </c>
      <c r="L999" s="41" t="s">
        <v>33</v>
      </c>
      <c r="M999">
        <f t="shared" si="61"/>
        <v>137</v>
      </c>
      <c r="N999">
        <f t="shared" si="62"/>
        <v>9</v>
      </c>
      <c r="O999">
        <f t="shared" si="63"/>
        <v>38</v>
      </c>
      <c r="P999">
        <f t="shared" si="64"/>
        <v>30</v>
      </c>
    </row>
    <row r="1000" spans="9:16" ht="15" customHeight="1" x14ac:dyDescent="0.25">
      <c r="I1000" s="43" t="s">
        <v>343</v>
      </c>
      <c r="J1000" s="43" t="s">
        <v>24</v>
      </c>
      <c r="K1000" s="43" t="s">
        <v>1555</v>
      </c>
      <c r="L1000" s="43" t="s">
        <v>13</v>
      </c>
      <c r="M1000">
        <f t="shared" si="61"/>
        <v>132</v>
      </c>
      <c r="N1000">
        <f t="shared" si="62"/>
        <v>9</v>
      </c>
      <c r="O1000">
        <f t="shared" si="63"/>
        <v>41</v>
      </c>
      <c r="P1000">
        <f t="shared" si="64"/>
        <v>21</v>
      </c>
    </row>
    <row r="1001" spans="9:16" ht="15" customHeight="1" x14ac:dyDescent="0.25">
      <c r="I1001" s="41" t="s">
        <v>340</v>
      </c>
      <c r="J1001" s="41" t="s">
        <v>24</v>
      </c>
      <c r="K1001" s="41" t="s">
        <v>1556</v>
      </c>
      <c r="L1001" s="41" t="s">
        <v>19</v>
      </c>
      <c r="M1001">
        <f t="shared" si="61"/>
        <v>129</v>
      </c>
      <c r="N1001">
        <f t="shared" si="62"/>
        <v>9</v>
      </c>
      <c r="O1001">
        <f t="shared" si="63"/>
        <v>42</v>
      </c>
      <c r="P1001">
        <f t="shared" si="64"/>
        <v>23</v>
      </c>
    </row>
    <row r="1002" spans="9:16" ht="15" customHeight="1" x14ac:dyDescent="0.25">
      <c r="I1002" s="43" t="s">
        <v>10</v>
      </c>
      <c r="J1002" s="43" t="s">
        <v>24</v>
      </c>
      <c r="K1002" s="43" t="s">
        <v>1559</v>
      </c>
      <c r="L1002" s="43" t="s">
        <v>43</v>
      </c>
      <c r="M1002">
        <f t="shared" si="61"/>
        <v>143</v>
      </c>
      <c r="N1002">
        <f t="shared" si="62"/>
        <v>9</v>
      </c>
      <c r="O1002">
        <f t="shared" si="63"/>
        <v>43</v>
      </c>
      <c r="P1002">
        <f t="shared" si="64"/>
        <v>25</v>
      </c>
    </row>
    <row r="1003" spans="9:16" ht="15" customHeight="1" x14ac:dyDescent="0.25">
      <c r="I1003" s="41" t="s">
        <v>344</v>
      </c>
      <c r="J1003" s="41" t="s">
        <v>24</v>
      </c>
      <c r="K1003" s="41" t="s">
        <v>1557</v>
      </c>
      <c r="L1003" s="41" t="s">
        <v>339</v>
      </c>
      <c r="M1003">
        <f t="shared" si="61"/>
        <v>131</v>
      </c>
      <c r="N1003">
        <f t="shared" si="62"/>
        <v>9</v>
      </c>
      <c r="O1003">
        <f t="shared" si="63"/>
        <v>47</v>
      </c>
      <c r="P1003">
        <f t="shared" si="64"/>
        <v>0</v>
      </c>
    </row>
    <row r="1004" spans="9:16" ht="15" customHeight="1" x14ac:dyDescent="0.25">
      <c r="I1004" s="43" t="s">
        <v>338</v>
      </c>
      <c r="J1004" s="43" t="s">
        <v>24</v>
      </c>
      <c r="K1004" s="43" t="s">
        <v>1558</v>
      </c>
      <c r="L1004" s="43" t="s">
        <v>345</v>
      </c>
      <c r="M1004">
        <f t="shared" si="61"/>
        <v>135</v>
      </c>
      <c r="N1004">
        <f t="shared" si="62"/>
        <v>9</v>
      </c>
      <c r="O1004">
        <f t="shared" si="63"/>
        <v>48</v>
      </c>
      <c r="P1004">
        <f t="shared" si="64"/>
        <v>2</v>
      </c>
    </row>
    <row r="1005" spans="9:16" ht="15" customHeight="1" x14ac:dyDescent="0.25">
      <c r="I1005" s="41" t="s">
        <v>23</v>
      </c>
      <c r="J1005" s="41" t="s">
        <v>24</v>
      </c>
      <c r="K1005" s="41" t="s">
        <v>1560</v>
      </c>
      <c r="L1005" s="41" t="s">
        <v>33</v>
      </c>
      <c r="M1005">
        <f t="shared" si="61"/>
        <v>136</v>
      </c>
      <c r="N1005">
        <f t="shared" si="62"/>
        <v>9</v>
      </c>
      <c r="O1005">
        <f t="shared" si="63"/>
        <v>49</v>
      </c>
      <c r="P1005">
        <f t="shared" si="64"/>
        <v>30</v>
      </c>
    </row>
    <row r="1006" spans="9:16" ht="15" customHeight="1" x14ac:dyDescent="0.25">
      <c r="I1006" s="43" t="s">
        <v>17</v>
      </c>
      <c r="J1006" s="43" t="s">
        <v>24</v>
      </c>
      <c r="K1006" s="43" t="s">
        <v>1561</v>
      </c>
      <c r="L1006" s="43" t="s">
        <v>13</v>
      </c>
      <c r="M1006">
        <f t="shared" si="61"/>
        <v>141</v>
      </c>
      <c r="N1006">
        <f t="shared" si="62"/>
        <v>9</v>
      </c>
      <c r="O1006">
        <f t="shared" si="63"/>
        <v>51</v>
      </c>
      <c r="P1006">
        <f t="shared" si="64"/>
        <v>21</v>
      </c>
    </row>
    <row r="1007" spans="9:16" ht="15" customHeight="1" x14ac:dyDescent="0.25">
      <c r="I1007" s="41" t="s">
        <v>10</v>
      </c>
      <c r="J1007" s="41" t="s">
        <v>24</v>
      </c>
      <c r="K1007" s="41" t="s">
        <v>1561</v>
      </c>
      <c r="L1007" s="41" t="s">
        <v>19</v>
      </c>
      <c r="M1007">
        <f t="shared" si="61"/>
        <v>143</v>
      </c>
      <c r="N1007">
        <f t="shared" si="62"/>
        <v>9</v>
      </c>
      <c r="O1007">
        <f t="shared" si="63"/>
        <v>51</v>
      </c>
      <c r="P1007">
        <f t="shared" si="64"/>
        <v>23</v>
      </c>
    </row>
    <row r="1008" spans="9:16" ht="15" customHeight="1" x14ac:dyDescent="0.25">
      <c r="I1008" s="43" t="s">
        <v>337</v>
      </c>
      <c r="J1008" s="43" t="s">
        <v>24</v>
      </c>
      <c r="K1008" s="43" t="s">
        <v>1560</v>
      </c>
      <c r="L1008" s="43" t="s">
        <v>43</v>
      </c>
      <c r="M1008">
        <f t="shared" si="61"/>
        <v>137</v>
      </c>
      <c r="N1008">
        <f t="shared" si="62"/>
        <v>9</v>
      </c>
      <c r="O1008">
        <f t="shared" si="63"/>
        <v>49</v>
      </c>
      <c r="P1008">
        <f t="shared" si="64"/>
        <v>25</v>
      </c>
    </row>
    <row r="1009" spans="9:16" ht="15" customHeight="1" x14ac:dyDescent="0.25">
      <c r="I1009" s="41" t="s">
        <v>338</v>
      </c>
      <c r="J1009" s="41" t="s">
        <v>11</v>
      </c>
      <c r="K1009" s="41" t="s">
        <v>1558</v>
      </c>
      <c r="L1009" s="41" t="s">
        <v>339</v>
      </c>
      <c r="M1009">
        <f t="shared" si="61"/>
        <v>135</v>
      </c>
      <c r="N1009">
        <f t="shared" si="62"/>
        <v>32</v>
      </c>
      <c r="O1009">
        <f t="shared" si="63"/>
        <v>48</v>
      </c>
      <c r="P1009">
        <f t="shared" si="64"/>
        <v>0</v>
      </c>
    </row>
    <row r="1010" spans="9:16" ht="15" customHeight="1" x14ac:dyDescent="0.25">
      <c r="I1010" s="43" t="s">
        <v>338</v>
      </c>
      <c r="J1010" s="43" t="s">
        <v>11</v>
      </c>
      <c r="K1010" s="43" t="s">
        <v>1557</v>
      </c>
      <c r="L1010" s="43" t="s">
        <v>345</v>
      </c>
      <c r="M1010">
        <f t="shared" si="61"/>
        <v>135</v>
      </c>
      <c r="N1010">
        <f t="shared" si="62"/>
        <v>32</v>
      </c>
      <c r="O1010">
        <f t="shared" si="63"/>
        <v>47</v>
      </c>
      <c r="P1010">
        <f t="shared" si="64"/>
        <v>2</v>
      </c>
    </row>
    <row r="1011" spans="9:16" ht="15" customHeight="1" x14ac:dyDescent="0.25">
      <c r="I1011" s="41" t="s">
        <v>335</v>
      </c>
      <c r="J1011" s="41" t="s">
        <v>24</v>
      </c>
      <c r="K1011" s="41" t="s">
        <v>1559</v>
      </c>
      <c r="L1011" s="41" t="s">
        <v>33</v>
      </c>
      <c r="M1011">
        <f t="shared" si="61"/>
        <v>139</v>
      </c>
      <c r="N1011">
        <f t="shared" si="62"/>
        <v>9</v>
      </c>
      <c r="O1011">
        <f t="shared" si="63"/>
        <v>43</v>
      </c>
      <c r="P1011">
        <f t="shared" si="64"/>
        <v>30</v>
      </c>
    </row>
    <row r="1012" spans="9:16" ht="15" customHeight="1" x14ac:dyDescent="0.25">
      <c r="I1012" s="43" t="s">
        <v>335</v>
      </c>
      <c r="J1012" s="43" t="s">
        <v>24</v>
      </c>
      <c r="K1012" s="43" t="s">
        <v>1556</v>
      </c>
      <c r="L1012" s="43" t="s">
        <v>13</v>
      </c>
      <c r="M1012">
        <f t="shared" si="61"/>
        <v>139</v>
      </c>
      <c r="N1012">
        <f t="shared" si="62"/>
        <v>9</v>
      </c>
      <c r="O1012">
        <f t="shared" si="63"/>
        <v>42</v>
      </c>
      <c r="P1012">
        <f t="shared" si="64"/>
        <v>21</v>
      </c>
    </row>
    <row r="1013" spans="9:16" ht="15" customHeight="1" x14ac:dyDescent="0.25">
      <c r="I1013" s="41" t="s">
        <v>342</v>
      </c>
      <c r="J1013" s="41" t="s">
        <v>24</v>
      </c>
      <c r="K1013" s="41" t="s">
        <v>1555</v>
      </c>
      <c r="L1013" s="41" t="s">
        <v>19</v>
      </c>
      <c r="M1013">
        <f t="shared" si="61"/>
        <v>134</v>
      </c>
      <c r="N1013">
        <f t="shared" si="62"/>
        <v>9</v>
      </c>
      <c r="O1013">
        <f t="shared" si="63"/>
        <v>41</v>
      </c>
      <c r="P1013">
        <f t="shared" si="64"/>
        <v>23</v>
      </c>
    </row>
    <row r="1014" spans="9:16" ht="15" customHeight="1" x14ac:dyDescent="0.25">
      <c r="I1014" s="43" t="s">
        <v>342</v>
      </c>
      <c r="J1014" s="43" t="s">
        <v>11</v>
      </c>
      <c r="K1014" s="43" t="s">
        <v>1554</v>
      </c>
      <c r="L1014" s="43" t="s">
        <v>43</v>
      </c>
      <c r="M1014">
        <f t="shared" si="61"/>
        <v>134</v>
      </c>
      <c r="N1014">
        <f t="shared" si="62"/>
        <v>32</v>
      </c>
      <c r="O1014">
        <f t="shared" si="63"/>
        <v>38</v>
      </c>
      <c r="P1014">
        <f t="shared" si="64"/>
        <v>25</v>
      </c>
    </row>
    <row r="1015" spans="9:16" ht="15" customHeight="1" x14ac:dyDescent="0.25">
      <c r="I1015" s="41" t="s">
        <v>10</v>
      </c>
      <c r="J1015" s="41" t="s">
        <v>24</v>
      </c>
      <c r="K1015" s="41" t="s">
        <v>1553</v>
      </c>
      <c r="L1015" s="41" t="s">
        <v>339</v>
      </c>
      <c r="M1015">
        <f t="shared" si="61"/>
        <v>143</v>
      </c>
      <c r="N1015">
        <f t="shared" si="62"/>
        <v>9</v>
      </c>
      <c r="O1015">
        <f t="shared" si="63"/>
        <v>39</v>
      </c>
      <c r="P1015">
        <f t="shared" si="64"/>
        <v>0</v>
      </c>
    </row>
    <row r="1016" spans="9:16" ht="15" customHeight="1" x14ac:dyDescent="0.25">
      <c r="I1016" s="43" t="s">
        <v>17</v>
      </c>
      <c r="J1016" s="43" t="s">
        <v>11</v>
      </c>
      <c r="K1016" s="43" t="s">
        <v>1552</v>
      </c>
      <c r="L1016" s="43" t="s">
        <v>345</v>
      </c>
      <c r="M1016">
        <f t="shared" ref="M1016:M1079" si="65">_xlfn.XLOOKUP(I1016,$C$9:$C$37,$D$9:$D$37,2,0)</f>
        <v>141</v>
      </c>
      <c r="N1016">
        <f t="shared" ref="N1016:N1079" si="66">_xlfn.XLOOKUP(J1016,$C$9:$C$37,$D$9:$D$37,2,0)</f>
        <v>32</v>
      </c>
      <c r="O1016">
        <f t="shared" ref="O1016:O1079" si="67">_xlfn.XLOOKUP(K1016,$C$9:$C$37,$D$9:$D$37,2,0)</f>
        <v>37</v>
      </c>
      <c r="P1016">
        <f t="shared" ref="P1016:P1079" si="68">_xlfn.XLOOKUP(L1016,$C$9:$C$37,$D$9:$D$37,2,0)</f>
        <v>2</v>
      </c>
    </row>
    <row r="1017" spans="9:16" ht="15" customHeight="1" x14ac:dyDescent="0.25">
      <c r="I1017" s="41" t="s">
        <v>10</v>
      </c>
      <c r="J1017" s="41" t="s">
        <v>11</v>
      </c>
      <c r="K1017" s="41" t="s">
        <v>12</v>
      </c>
      <c r="L1017" s="41" t="s">
        <v>33</v>
      </c>
      <c r="M1017">
        <f t="shared" si="65"/>
        <v>143</v>
      </c>
      <c r="N1017">
        <f t="shared" si="66"/>
        <v>32</v>
      </c>
      <c r="O1017">
        <f t="shared" si="67"/>
        <v>0</v>
      </c>
      <c r="P1017">
        <f t="shared" si="68"/>
        <v>30</v>
      </c>
    </row>
    <row r="1018" spans="9:16" ht="15" customHeight="1" x14ac:dyDescent="0.25">
      <c r="I1018" s="43" t="s">
        <v>23</v>
      </c>
      <c r="J1018" s="43" t="s">
        <v>11</v>
      </c>
      <c r="K1018" s="43" t="s">
        <v>12</v>
      </c>
      <c r="L1018" s="43" t="s">
        <v>13</v>
      </c>
      <c r="M1018">
        <f t="shared" si="65"/>
        <v>136</v>
      </c>
      <c r="N1018">
        <f t="shared" si="66"/>
        <v>32</v>
      </c>
      <c r="O1018">
        <f t="shared" si="67"/>
        <v>0</v>
      </c>
      <c r="P1018">
        <f t="shared" si="68"/>
        <v>21</v>
      </c>
    </row>
    <row r="1019" spans="9:16" ht="15" customHeight="1" x14ac:dyDescent="0.25">
      <c r="I1019" s="41" t="s">
        <v>17</v>
      </c>
      <c r="J1019" s="41" t="s">
        <v>24</v>
      </c>
      <c r="K1019" s="41" t="s">
        <v>1552</v>
      </c>
      <c r="L1019" s="41" t="s">
        <v>19</v>
      </c>
      <c r="M1019">
        <f t="shared" si="65"/>
        <v>141</v>
      </c>
      <c r="N1019">
        <f t="shared" si="66"/>
        <v>9</v>
      </c>
      <c r="O1019">
        <f t="shared" si="67"/>
        <v>37</v>
      </c>
      <c r="P1019">
        <f t="shared" si="68"/>
        <v>23</v>
      </c>
    </row>
    <row r="1020" spans="9:16" ht="15" customHeight="1" x14ac:dyDescent="0.25">
      <c r="I1020" s="43" t="s">
        <v>337</v>
      </c>
      <c r="J1020" s="43" t="s">
        <v>24</v>
      </c>
      <c r="K1020" s="43" t="s">
        <v>1555</v>
      </c>
      <c r="L1020" s="43" t="s">
        <v>43</v>
      </c>
      <c r="M1020">
        <f t="shared" si="65"/>
        <v>137</v>
      </c>
      <c r="N1020">
        <f t="shared" si="66"/>
        <v>9</v>
      </c>
      <c r="O1020">
        <f t="shared" si="67"/>
        <v>41</v>
      </c>
      <c r="P1020">
        <f t="shared" si="68"/>
        <v>25</v>
      </c>
    </row>
    <row r="1021" spans="9:16" ht="15" customHeight="1" x14ac:dyDescent="0.25">
      <c r="I1021" s="41" t="s">
        <v>338</v>
      </c>
      <c r="J1021" s="41" t="s">
        <v>24</v>
      </c>
      <c r="K1021" s="41" t="s">
        <v>1557</v>
      </c>
      <c r="L1021" s="41" t="s">
        <v>339</v>
      </c>
      <c r="M1021">
        <f t="shared" si="65"/>
        <v>135</v>
      </c>
      <c r="N1021">
        <f t="shared" si="66"/>
        <v>9</v>
      </c>
      <c r="O1021">
        <f t="shared" si="67"/>
        <v>47</v>
      </c>
      <c r="P1021">
        <f t="shared" si="68"/>
        <v>0</v>
      </c>
    </row>
    <row r="1022" spans="9:16" ht="15" customHeight="1" x14ac:dyDescent="0.25">
      <c r="I1022" s="43" t="s">
        <v>335</v>
      </c>
      <c r="J1022" s="43" t="s">
        <v>24</v>
      </c>
      <c r="K1022" s="43" t="s">
        <v>1560</v>
      </c>
      <c r="L1022" s="43" t="s">
        <v>345</v>
      </c>
      <c r="M1022">
        <f t="shared" si="65"/>
        <v>139</v>
      </c>
      <c r="N1022">
        <f t="shared" si="66"/>
        <v>9</v>
      </c>
      <c r="O1022">
        <f t="shared" si="67"/>
        <v>49</v>
      </c>
      <c r="P1022">
        <f t="shared" si="68"/>
        <v>2</v>
      </c>
    </row>
    <row r="1023" spans="9:16" ht="15" customHeight="1" x14ac:dyDescent="0.25">
      <c r="I1023" s="41" t="s">
        <v>342</v>
      </c>
      <c r="J1023" s="41" t="s">
        <v>24</v>
      </c>
      <c r="K1023" s="41" t="s">
        <v>1553</v>
      </c>
      <c r="L1023" s="41" t="s">
        <v>33</v>
      </c>
      <c r="M1023">
        <f t="shared" si="65"/>
        <v>134</v>
      </c>
      <c r="N1023">
        <f t="shared" si="66"/>
        <v>9</v>
      </c>
      <c r="O1023">
        <f t="shared" si="67"/>
        <v>39</v>
      </c>
      <c r="P1023">
        <f t="shared" si="68"/>
        <v>30</v>
      </c>
    </row>
    <row r="1024" spans="9:16" ht="15" customHeight="1" x14ac:dyDescent="0.25">
      <c r="I1024" s="43" t="s">
        <v>23</v>
      </c>
      <c r="J1024" s="43" t="s">
        <v>24</v>
      </c>
      <c r="K1024" s="43" t="s">
        <v>1556</v>
      </c>
      <c r="L1024" s="43" t="s">
        <v>13</v>
      </c>
      <c r="M1024">
        <f t="shared" si="65"/>
        <v>136</v>
      </c>
      <c r="N1024">
        <f t="shared" si="66"/>
        <v>9</v>
      </c>
      <c r="O1024">
        <f t="shared" si="67"/>
        <v>42</v>
      </c>
      <c r="P1024">
        <f t="shared" si="68"/>
        <v>21</v>
      </c>
    </row>
    <row r="1025" spans="9:16" ht="15" customHeight="1" x14ac:dyDescent="0.25">
      <c r="I1025" s="41" t="s">
        <v>17</v>
      </c>
      <c r="J1025" s="41" t="s">
        <v>11</v>
      </c>
      <c r="K1025" s="41" t="s">
        <v>1558</v>
      </c>
      <c r="L1025" s="41" t="s">
        <v>19</v>
      </c>
      <c r="M1025">
        <f t="shared" si="65"/>
        <v>141</v>
      </c>
      <c r="N1025">
        <f t="shared" si="66"/>
        <v>32</v>
      </c>
      <c r="O1025">
        <f t="shared" si="67"/>
        <v>48</v>
      </c>
      <c r="P1025">
        <f t="shared" si="68"/>
        <v>23</v>
      </c>
    </row>
    <row r="1026" spans="9:16" ht="15" customHeight="1" x14ac:dyDescent="0.25">
      <c r="I1026" s="43" t="s">
        <v>10</v>
      </c>
      <c r="J1026" s="43" t="s">
        <v>11</v>
      </c>
      <c r="K1026" s="43" t="s">
        <v>1561</v>
      </c>
      <c r="L1026" s="43" t="s">
        <v>43</v>
      </c>
      <c r="M1026">
        <f t="shared" si="65"/>
        <v>143</v>
      </c>
      <c r="N1026">
        <f t="shared" si="66"/>
        <v>32</v>
      </c>
      <c r="O1026">
        <f t="shared" si="67"/>
        <v>51</v>
      </c>
      <c r="P1026">
        <f t="shared" si="68"/>
        <v>25</v>
      </c>
    </row>
    <row r="1027" spans="9:16" ht="15" customHeight="1" x14ac:dyDescent="0.25">
      <c r="I1027" s="41" t="s">
        <v>343</v>
      </c>
      <c r="J1027" s="41" t="s">
        <v>24</v>
      </c>
      <c r="K1027" s="41" t="s">
        <v>1554</v>
      </c>
      <c r="L1027" s="41" t="s">
        <v>339</v>
      </c>
      <c r="M1027">
        <f t="shared" si="65"/>
        <v>132</v>
      </c>
      <c r="N1027">
        <f t="shared" si="66"/>
        <v>9</v>
      </c>
      <c r="O1027">
        <f t="shared" si="67"/>
        <v>38</v>
      </c>
      <c r="P1027">
        <f t="shared" si="68"/>
        <v>0</v>
      </c>
    </row>
    <row r="1028" spans="9:16" ht="15" customHeight="1" x14ac:dyDescent="0.25">
      <c r="I1028" s="43" t="s">
        <v>340</v>
      </c>
      <c r="J1028" s="43" t="s">
        <v>24</v>
      </c>
      <c r="K1028" s="43" t="s">
        <v>1559</v>
      </c>
      <c r="L1028" s="43" t="s">
        <v>345</v>
      </c>
      <c r="M1028">
        <f t="shared" si="65"/>
        <v>129</v>
      </c>
      <c r="N1028">
        <f t="shared" si="66"/>
        <v>9</v>
      </c>
      <c r="O1028">
        <f t="shared" si="67"/>
        <v>43</v>
      </c>
      <c r="P1028">
        <f t="shared" si="68"/>
        <v>2</v>
      </c>
    </row>
    <row r="1029" spans="9:16" ht="15" customHeight="1" x14ac:dyDescent="0.25">
      <c r="I1029" s="41" t="s">
        <v>344</v>
      </c>
      <c r="J1029" s="41" t="s">
        <v>11</v>
      </c>
      <c r="K1029" s="41" t="s">
        <v>1554</v>
      </c>
      <c r="L1029" s="41" t="s">
        <v>33</v>
      </c>
      <c r="M1029">
        <f t="shared" si="65"/>
        <v>131</v>
      </c>
      <c r="N1029">
        <f t="shared" si="66"/>
        <v>32</v>
      </c>
      <c r="O1029">
        <f t="shared" si="67"/>
        <v>38</v>
      </c>
      <c r="P1029">
        <f t="shared" si="68"/>
        <v>30</v>
      </c>
    </row>
    <row r="1030" spans="9:16" ht="15" customHeight="1" x14ac:dyDescent="0.25">
      <c r="I1030" s="43" t="s">
        <v>335</v>
      </c>
      <c r="J1030" s="43" t="s">
        <v>11</v>
      </c>
      <c r="K1030" s="43" t="s">
        <v>1559</v>
      </c>
      <c r="L1030" s="43" t="s">
        <v>13</v>
      </c>
      <c r="M1030">
        <f t="shared" si="65"/>
        <v>139</v>
      </c>
      <c r="N1030">
        <f t="shared" si="66"/>
        <v>32</v>
      </c>
      <c r="O1030">
        <f t="shared" si="67"/>
        <v>43</v>
      </c>
      <c r="P1030">
        <f t="shared" si="68"/>
        <v>21</v>
      </c>
    </row>
    <row r="1031" spans="9:16" ht="15" customHeight="1" x14ac:dyDescent="0.25">
      <c r="I1031" s="41" t="s">
        <v>343</v>
      </c>
      <c r="J1031" s="41" t="s">
        <v>11</v>
      </c>
      <c r="K1031" s="41" t="s">
        <v>1553</v>
      </c>
      <c r="L1031" s="41" t="s">
        <v>19</v>
      </c>
      <c r="M1031">
        <f t="shared" si="65"/>
        <v>132</v>
      </c>
      <c r="N1031">
        <f t="shared" si="66"/>
        <v>32</v>
      </c>
      <c r="O1031">
        <f t="shared" si="67"/>
        <v>39</v>
      </c>
      <c r="P1031">
        <f t="shared" si="68"/>
        <v>23</v>
      </c>
    </row>
    <row r="1032" spans="9:16" ht="15" customHeight="1" x14ac:dyDescent="0.25">
      <c r="I1032" s="43" t="s">
        <v>340</v>
      </c>
      <c r="J1032" s="43" t="s">
        <v>24</v>
      </c>
      <c r="K1032" s="43" t="s">
        <v>1556</v>
      </c>
      <c r="L1032" s="43" t="s">
        <v>43</v>
      </c>
      <c r="M1032">
        <f t="shared" si="65"/>
        <v>129</v>
      </c>
      <c r="N1032">
        <f t="shared" si="66"/>
        <v>9</v>
      </c>
      <c r="O1032">
        <f t="shared" si="67"/>
        <v>42</v>
      </c>
      <c r="P1032">
        <f t="shared" si="68"/>
        <v>25</v>
      </c>
    </row>
    <row r="1033" spans="9:16" ht="15" customHeight="1" x14ac:dyDescent="0.25">
      <c r="I1033" s="41" t="s">
        <v>344</v>
      </c>
      <c r="J1033" s="41" t="s">
        <v>11</v>
      </c>
      <c r="K1033" s="41" t="s">
        <v>1558</v>
      </c>
      <c r="L1033" s="41" t="s">
        <v>339</v>
      </c>
      <c r="M1033">
        <f t="shared" si="65"/>
        <v>131</v>
      </c>
      <c r="N1033">
        <f t="shared" si="66"/>
        <v>32</v>
      </c>
      <c r="O1033">
        <f t="shared" si="67"/>
        <v>48</v>
      </c>
      <c r="P1033">
        <f t="shared" si="68"/>
        <v>0</v>
      </c>
    </row>
    <row r="1034" spans="9:16" ht="15" customHeight="1" x14ac:dyDescent="0.25">
      <c r="I1034" s="43" t="s">
        <v>337</v>
      </c>
      <c r="J1034" s="43" t="s">
        <v>11</v>
      </c>
      <c r="K1034" s="43" t="s">
        <v>1561</v>
      </c>
      <c r="L1034" s="43" t="s">
        <v>345</v>
      </c>
      <c r="M1034">
        <f t="shared" si="65"/>
        <v>137</v>
      </c>
      <c r="N1034">
        <f t="shared" si="66"/>
        <v>32</v>
      </c>
      <c r="O1034">
        <f t="shared" si="67"/>
        <v>51</v>
      </c>
      <c r="P1034">
        <f t="shared" si="68"/>
        <v>2</v>
      </c>
    </row>
    <row r="1035" spans="9:16" ht="15" customHeight="1" x14ac:dyDescent="0.25">
      <c r="I1035" s="41" t="s">
        <v>338</v>
      </c>
      <c r="J1035" s="41" t="s">
        <v>24</v>
      </c>
      <c r="K1035" s="41" t="s">
        <v>1552</v>
      </c>
      <c r="L1035" s="41" t="s">
        <v>33</v>
      </c>
      <c r="M1035">
        <f t="shared" si="65"/>
        <v>135</v>
      </c>
      <c r="N1035">
        <f t="shared" si="66"/>
        <v>9</v>
      </c>
      <c r="O1035">
        <f t="shared" si="67"/>
        <v>37</v>
      </c>
      <c r="P1035">
        <f t="shared" si="68"/>
        <v>30</v>
      </c>
    </row>
    <row r="1036" spans="9:16" ht="15" customHeight="1" x14ac:dyDescent="0.25">
      <c r="I1036" s="43" t="s">
        <v>335</v>
      </c>
      <c r="J1036" s="43" t="s">
        <v>11</v>
      </c>
      <c r="K1036" s="43" t="s">
        <v>1555</v>
      </c>
      <c r="L1036" s="43" t="s">
        <v>13</v>
      </c>
      <c r="M1036">
        <f t="shared" si="65"/>
        <v>139</v>
      </c>
      <c r="N1036">
        <f t="shared" si="66"/>
        <v>32</v>
      </c>
      <c r="O1036">
        <f t="shared" si="67"/>
        <v>41</v>
      </c>
      <c r="P1036">
        <f t="shared" si="68"/>
        <v>21</v>
      </c>
    </row>
    <row r="1037" spans="9:16" ht="15" customHeight="1" x14ac:dyDescent="0.25">
      <c r="I1037" s="41" t="s">
        <v>343</v>
      </c>
      <c r="J1037" s="41" t="s">
        <v>24</v>
      </c>
      <c r="K1037" s="41" t="s">
        <v>1557</v>
      </c>
      <c r="L1037" s="41" t="s">
        <v>19</v>
      </c>
      <c r="M1037">
        <f t="shared" si="65"/>
        <v>132</v>
      </c>
      <c r="N1037">
        <f t="shared" si="66"/>
        <v>9</v>
      </c>
      <c r="O1037">
        <f t="shared" si="67"/>
        <v>47</v>
      </c>
      <c r="P1037">
        <f t="shared" si="68"/>
        <v>23</v>
      </c>
    </row>
    <row r="1038" spans="9:16" ht="15" customHeight="1" x14ac:dyDescent="0.25">
      <c r="I1038" s="43" t="s">
        <v>340</v>
      </c>
      <c r="J1038" s="43" t="s">
        <v>11</v>
      </c>
      <c r="K1038" s="43" t="s">
        <v>1560</v>
      </c>
      <c r="L1038" s="43" t="s">
        <v>43</v>
      </c>
      <c r="M1038">
        <f t="shared" si="65"/>
        <v>129</v>
      </c>
      <c r="N1038">
        <f t="shared" si="66"/>
        <v>32</v>
      </c>
      <c r="O1038">
        <f t="shared" si="67"/>
        <v>49</v>
      </c>
      <c r="P1038">
        <f t="shared" si="68"/>
        <v>25</v>
      </c>
    </row>
    <row r="1039" spans="9:16" ht="15" customHeight="1" x14ac:dyDescent="0.25">
      <c r="I1039" s="41" t="s">
        <v>342</v>
      </c>
      <c r="J1039" s="41" t="s">
        <v>24</v>
      </c>
      <c r="K1039" s="41" t="s">
        <v>12</v>
      </c>
      <c r="L1039" s="41" t="s">
        <v>339</v>
      </c>
      <c r="M1039">
        <f t="shared" si="65"/>
        <v>134</v>
      </c>
      <c r="N1039">
        <f t="shared" si="66"/>
        <v>9</v>
      </c>
      <c r="O1039">
        <f t="shared" si="67"/>
        <v>0</v>
      </c>
      <c r="P1039">
        <f t="shared" si="68"/>
        <v>0</v>
      </c>
    </row>
    <row r="1040" spans="9:16" ht="15" customHeight="1" x14ac:dyDescent="0.25">
      <c r="I1040" s="43" t="s">
        <v>23</v>
      </c>
      <c r="J1040" s="43" t="s">
        <v>11</v>
      </c>
      <c r="K1040" s="43" t="s">
        <v>12</v>
      </c>
      <c r="L1040" s="43" t="s">
        <v>345</v>
      </c>
      <c r="M1040">
        <f t="shared" si="65"/>
        <v>136</v>
      </c>
      <c r="N1040">
        <f t="shared" si="66"/>
        <v>32</v>
      </c>
      <c r="O1040">
        <f t="shared" si="67"/>
        <v>0</v>
      </c>
      <c r="P1040">
        <f t="shared" si="68"/>
        <v>2</v>
      </c>
    </row>
    <row r="1041" spans="9:16" ht="15" customHeight="1" x14ac:dyDescent="0.25">
      <c r="I1041" s="41" t="s">
        <v>17</v>
      </c>
      <c r="J1041" s="41" t="s">
        <v>24</v>
      </c>
      <c r="K1041" s="41" t="s">
        <v>1552</v>
      </c>
      <c r="L1041" s="41" t="s">
        <v>33</v>
      </c>
      <c r="M1041">
        <f t="shared" si="65"/>
        <v>141</v>
      </c>
      <c r="N1041">
        <f t="shared" si="66"/>
        <v>9</v>
      </c>
      <c r="O1041">
        <f t="shared" si="67"/>
        <v>37</v>
      </c>
      <c r="P1041">
        <f t="shared" si="68"/>
        <v>30</v>
      </c>
    </row>
    <row r="1042" spans="9:16" ht="15" customHeight="1" x14ac:dyDescent="0.25">
      <c r="I1042" s="43" t="s">
        <v>10</v>
      </c>
      <c r="J1042" s="43" t="s">
        <v>24</v>
      </c>
      <c r="K1042" s="43" t="s">
        <v>1553</v>
      </c>
      <c r="L1042" s="43" t="s">
        <v>13</v>
      </c>
      <c r="M1042">
        <f t="shared" si="65"/>
        <v>143</v>
      </c>
      <c r="N1042">
        <f t="shared" si="66"/>
        <v>9</v>
      </c>
      <c r="O1042">
        <f t="shared" si="67"/>
        <v>39</v>
      </c>
      <c r="P1042">
        <f t="shared" si="68"/>
        <v>21</v>
      </c>
    </row>
    <row r="1043" spans="9:16" ht="15" customHeight="1" x14ac:dyDescent="0.25">
      <c r="I1043" s="41" t="s">
        <v>344</v>
      </c>
      <c r="J1043" s="41" t="s">
        <v>24</v>
      </c>
      <c r="K1043" s="41" t="s">
        <v>1554</v>
      </c>
      <c r="L1043" s="41" t="s">
        <v>19</v>
      </c>
      <c r="M1043">
        <f t="shared" si="65"/>
        <v>131</v>
      </c>
      <c r="N1043">
        <f t="shared" si="66"/>
        <v>9</v>
      </c>
      <c r="O1043">
        <f t="shared" si="67"/>
        <v>38</v>
      </c>
      <c r="P1043">
        <f t="shared" si="68"/>
        <v>23</v>
      </c>
    </row>
    <row r="1044" spans="9:16" ht="15" customHeight="1" x14ac:dyDescent="0.25">
      <c r="I1044" s="43" t="s">
        <v>344</v>
      </c>
      <c r="J1044" s="43" t="s">
        <v>11</v>
      </c>
      <c r="K1044" s="43" t="s">
        <v>1555</v>
      </c>
      <c r="L1044" s="43" t="s">
        <v>43</v>
      </c>
      <c r="M1044">
        <f t="shared" si="65"/>
        <v>131</v>
      </c>
      <c r="N1044">
        <f t="shared" si="66"/>
        <v>32</v>
      </c>
      <c r="O1044">
        <f t="shared" si="67"/>
        <v>41</v>
      </c>
      <c r="P1044">
        <f t="shared" si="68"/>
        <v>25</v>
      </c>
    </row>
    <row r="1045" spans="9:16" ht="15" customHeight="1" x14ac:dyDescent="0.25">
      <c r="I1045" s="41" t="s">
        <v>10</v>
      </c>
      <c r="J1045" s="41" t="s">
        <v>24</v>
      </c>
      <c r="K1045" s="41" t="s">
        <v>1556</v>
      </c>
      <c r="L1045" s="41" t="s">
        <v>339</v>
      </c>
      <c r="M1045">
        <f t="shared" si="65"/>
        <v>143</v>
      </c>
      <c r="N1045">
        <f t="shared" si="66"/>
        <v>9</v>
      </c>
      <c r="O1045">
        <f t="shared" si="67"/>
        <v>42</v>
      </c>
      <c r="P1045">
        <f t="shared" si="68"/>
        <v>0</v>
      </c>
    </row>
    <row r="1046" spans="9:16" ht="15" customHeight="1" x14ac:dyDescent="0.25">
      <c r="I1046" s="43" t="s">
        <v>17</v>
      </c>
      <c r="J1046" s="43" t="s">
        <v>11</v>
      </c>
      <c r="K1046" s="43" t="s">
        <v>1559</v>
      </c>
      <c r="L1046" s="43" t="s">
        <v>345</v>
      </c>
      <c r="M1046">
        <f t="shared" si="65"/>
        <v>141</v>
      </c>
      <c r="N1046">
        <f t="shared" si="66"/>
        <v>32</v>
      </c>
      <c r="O1046">
        <f t="shared" si="67"/>
        <v>43</v>
      </c>
      <c r="P1046">
        <f t="shared" si="68"/>
        <v>2</v>
      </c>
    </row>
    <row r="1047" spans="9:16" ht="15" customHeight="1" x14ac:dyDescent="0.25">
      <c r="I1047" s="41" t="s">
        <v>23</v>
      </c>
      <c r="J1047" s="41" t="s">
        <v>24</v>
      </c>
      <c r="K1047" s="41" t="s">
        <v>1557</v>
      </c>
      <c r="L1047" s="41" t="s">
        <v>33</v>
      </c>
      <c r="M1047">
        <f t="shared" si="65"/>
        <v>136</v>
      </c>
      <c r="N1047">
        <f t="shared" si="66"/>
        <v>9</v>
      </c>
      <c r="O1047">
        <f t="shared" si="67"/>
        <v>47</v>
      </c>
      <c r="P1047">
        <f t="shared" si="68"/>
        <v>30</v>
      </c>
    </row>
    <row r="1048" spans="9:16" ht="15" customHeight="1" x14ac:dyDescent="0.25">
      <c r="I1048" s="43" t="s">
        <v>342</v>
      </c>
      <c r="J1048" s="43" t="s">
        <v>11</v>
      </c>
      <c r="K1048" s="43" t="s">
        <v>1558</v>
      </c>
      <c r="L1048" s="43" t="s">
        <v>13</v>
      </c>
      <c r="M1048">
        <f t="shared" si="65"/>
        <v>134</v>
      </c>
      <c r="N1048">
        <f t="shared" si="66"/>
        <v>32</v>
      </c>
      <c r="O1048">
        <f t="shared" si="67"/>
        <v>48</v>
      </c>
      <c r="P1048">
        <f t="shared" si="68"/>
        <v>21</v>
      </c>
    </row>
    <row r="1049" spans="9:16" ht="15" customHeight="1" x14ac:dyDescent="0.25">
      <c r="I1049" s="41" t="s">
        <v>340</v>
      </c>
      <c r="J1049" s="41" t="s">
        <v>24</v>
      </c>
      <c r="K1049" s="41" t="s">
        <v>1560</v>
      </c>
      <c r="L1049" s="41" t="s">
        <v>19</v>
      </c>
      <c r="M1049">
        <f t="shared" si="65"/>
        <v>129</v>
      </c>
      <c r="N1049">
        <f t="shared" si="66"/>
        <v>9</v>
      </c>
      <c r="O1049">
        <f t="shared" si="67"/>
        <v>49</v>
      </c>
      <c r="P1049">
        <f t="shared" si="68"/>
        <v>23</v>
      </c>
    </row>
    <row r="1050" spans="9:16" ht="15" customHeight="1" x14ac:dyDescent="0.25">
      <c r="I1050" s="43" t="s">
        <v>343</v>
      </c>
      <c r="J1050" s="43" t="s">
        <v>11</v>
      </c>
      <c r="K1050" s="43" t="s">
        <v>1561</v>
      </c>
      <c r="L1050" s="43" t="s">
        <v>43</v>
      </c>
      <c r="M1050">
        <f t="shared" si="65"/>
        <v>132</v>
      </c>
      <c r="N1050">
        <f t="shared" si="66"/>
        <v>32</v>
      </c>
      <c r="O1050">
        <f t="shared" si="67"/>
        <v>51</v>
      </c>
      <c r="P1050">
        <f t="shared" si="68"/>
        <v>25</v>
      </c>
    </row>
    <row r="1051" spans="9:16" ht="15" customHeight="1" x14ac:dyDescent="0.25">
      <c r="I1051" s="41" t="s">
        <v>335</v>
      </c>
      <c r="J1051" s="41" t="s">
        <v>11</v>
      </c>
      <c r="K1051" s="41" t="s">
        <v>1561</v>
      </c>
      <c r="L1051" s="41" t="s">
        <v>339</v>
      </c>
      <c r="M1051">
        <f t="shared" si="65"/>
        <v>139</v>
      </c>
      <c r="N1051">
        <f t="shared" si="66"/>
        <v>32</v>
      </c>
      <c r="O1051">
        <f t="shared" si="67"/>
        <v>51</v>
      </c>
      <c r="P1051">
        <f t="shared" si="68"/>
        <v>0</v>
      </c>
    </row>
    <row r="1052" spans="9:16" ht="15" customHeight="1" x14ac:dyDescent="0.25">
      <c r="I1052" s="43" t="s">
        <v>338</v>
      </c>
      <c r="J1052" s="43" t="s">
        <v>24</v>
      </c>
      <c r="K1052" s="43" t="s">
        <v>1560</v>
      </c>
      <c r="L1052" s="43" t="s">
        <v>345</v>
      </c>
      <c r="M1052">
        <f t="shared" si="65"/>
        <v>135</v>
      </c>
      <c r="N1052">
        <f t="shared" si="66"/>
        <v>9</v>
      </c>
      <c r="O1052">
        <f t="shared" si="67"/>
        <v>49</v>
      </c>
      <c r="P1052">
        <f t="shared" si="68"/>
        <v>2</v>
      </c>
    </row>
    <row r="1053" spans="9:16" ht="15" customHeight="1" x14ac:dyDescent="0.25">
      <c r="I1053" s="41" t="s">
        <v>337</v>
      </c>
      <c r="J1053" s="41" t="s">
        <v>11</v>
      </c>
      <c r="K1053" s="41" t="s">
        <v>1558</v>
      </c>
      <c r="L1053" s="41" t="s">
        <v>33</v>
      </c>
      <c r="M1053">
        <f t="shared" si="65"/>
        <v>137</v>
      </c>
      <c r="N1053">
        <f t="shared" si="66"/>
        <v>32</v>
      </c>
      <c r="O1053">
        <f t="shared" si="67"/>
        <v>48</v>
      </c>
      <c r="P1053">
        <f t="shared" si="68"/>
        <v>30</v>
      </c>
    </row>
    <row r="1054" spans="9:16" ht="15" customHeight="1" x14ac:dyDescent="0.25">
      <c r="I1054" s="43" t="s">
        <v>343</v>
      </c>
      <c r="J1054" s="43" t="s">
        <v>24</v>
      </c>
      <c r="K1054" s="43" t="s">
        <v>1557</v>
      </c>
      <c r="L1054" s="43" t="s">
        <v>13</v>
      </c>
      <c r="M1054">
        <f t="shared" si="65"/>
        <v>132</v>
      </c>
      <c r="N1054">
        <f t="shared" si="66"/>
        <v>9</v>
      </c>
      <c r="O1054">
        <f t="shared" si="67"/>
        <v>47</v>
      </c>
      <c r="P1054">
        <f t="shared" si="68"/>
        <v>21</v>
      </c>
    </row>
    <row r="1055" spans="9:16" ht="15" customHeight="1" x14ac:dyDescent="0.25">
      <c r="I1055" s="41" t="s">
        <v>340</v>
      </c>
      <c r="J1055" s="41" t="s">
        <v>24</v>
      </c>
      <c r="K1055" s="41" t="s">
        <v>1559</v>
      </c>
      <c r="L1055" s="41" t="s">
        <v>19</v>
      </c>
      <c r="M1055">
        <f t="shared" si="65"/>
        <v>129</v>
      </c>
      <c r="N1055">
        <f t="shared" si="66"/>
        <v>9</v>
      </c>
      <c r="O1055">
        <f t="shared" si="67"/>
        <v>43</v>
      </c>
      <c r="P1055">
        <f t="shared" si="68"/>
        <v>23</v>
      </c>
    </row>
    <row r="1056" spans="9:16" ht="15" customHeight="1" x14ac:dyDescent="0.25">
      <c r="I1056" s="43" t="s">
        <v>10</v>
      </c>
      <c r="J1056" s="43" t="s">
        <v>11</v>
      </c>
      <c r="K1056" s="43" t="s">
        <v>1556</v>
      </c>
      <c r="L1056" s="43" t="s">
        <v>43</v>
      </c>
      <c r="M1056">
        <f t="shared" si="65"/>
        <v>143</v>
      </c>
      <c r="N1056">
        <f t="shared" si="66"/>
        <v>32</v>
      </c>
      <c r="O1056">
        <f t="shared" si="67"/>
        <v>42</v>
      </c>
      <c r="P1056">
        <f t="shared" si="68"/>
        <v>25</v>
      </c>
    </row>
    <row r="1057" spans="9:16" ht="15" customHeight="1" x14ac:dyDescent="0.25">
      <c r="I1057" s="41" t="s">
        <v>344</v>
      </c>
      <c r="J1057" s="41" t="s">
        <v>11</v>
      </c>
      <c r="K1057" s="41" t="s">
        <v>1555</v>
      </c>
      <c r="L1057" s="41" t="s">
        <v>339</v>
      </c>
      <c r="M1057">
        <f t="shared" si="65"/>
        <v>131</v>
      </c>
      <c r="N1057">
        <f t="shared" si="66"/>
        <v>32</v>
      </c>
      <c r="O1057">
        <f t="shared" si="67"/>
        <v>41</v>
      </c>
      <c r="P1057">
        <f t="shared" si="68"/>
        <v>0</v>
      </c>
    </row>
    <row r="1058" spans="9:16" ht="15" customHeight="1" x14ac:dyDescent="0.25">
      <c r="I1058" s="43" t="s">
        <v>338</v>
      </c>
      <c r="J1058" s="43" t="s">
        <v>11</v>
      </c>
      <c r="K1058" s="43" t="s">
        <v>1554</v>
      </c>
      <c r="L1058" s="43" t="s">
        <v>345</v>
      </c>
      <c r="M1058">
        <f t="shared" si="65"/>
        <v>135</v>
      </c>
      <c r="N1058">
        <f t="shared" si="66"/>
        <v>32</v>
      </c>
      <c r="O1058">
        <f t="shared" si="67"/>
        <v>38</v>
      </c>
      <c r="P1058">
        <f t="shared" si="68"/>
        <v>2</v>
      </c>
    </row>
    <row r="1059" spans="9:16" ht="15" customHeight="1" x14ac:dyDescent="0.25">
      <c r="I1059" s="41" t="s">
        <v>23</v>
      </c>
      <c r="J1059" s="41" t="s">
        <v>11</v>
      </c>
      <c r="K1059" s="41" t="s">
        <v>1553</v>
      </c>
      <c r="L1059" s="41" t="s">
        <v>33</v>
      </c>
      <c r="M1059">
        <f t="shared" si="65"/>
        <v>136</v>
      </c>
      <c r="N1059">
        <f t="shared" si="66"/>
        <v>32</v>
      </c>
      <c r="O1059">
        <f t="shared" si="67"/>
        <v>39</v>
      </c>
      <c r="P1059">
        <f t="shared" si="68"/>
        <v>30</v>
      </c>
    </row>
    <row r="1060" spans="9:16" ht="15" customHeight="1" x14ac:dyDescent="0.25">
      <c r="I1060" s="43" t="s">
        <v>17</v>
      </c>
      <c r="J1060" s="43" t="s">
        <v>11</v>
      </c>
      <c r="K1060" s="43" t="s">
        <v>1552</v>
      </c>
      <c r="L1060" s="43" t="s">
        <v>13</v>
      </c>
      <c r="M1060">
        <f t="shared" si="65"/>
        <v>141</v>
      </c>
      <c r="N1060">
        <f t="shared" si="66"/>
        <v>32</v>
      </c>
      <c r="O1060">
        <f t="shared" si="67"/>
        <v>37</v>
      </c>
      <c r="P1060">
        <f t="shared" si="68"/>
        <v>21</v>
      </c>
    </row>
    <row r="1061" spans="9:16" ht="15" customHeight="1" x14ac:dyDescent="0.25">
      <c r="I1061" s="41" t="s">
        <v>10</v>
      </c>
      <c r="J1061" s="41" t="s">
        <v>11</v>
      </c>
      <c r="K1061" s="41" t="s">
        <v>12</v>
      </c>
      <c r="L1061" s="41" t="s">
        <v>19</v>
      </c>
      <c r="M1061">
        <f t="shared" si="65"/>
        <v>143</v>
      </c>
      <c r="N1061">
        <f t="shared" si="66"/>
        <v>32</v>
      </c>
      <c r="O1061">
        <f t="shared" si="67"/>
        <v>0</v>
      </c>
      <c r="P1061">
        <f t="shared" si="68"/>
        <v>23</v>
      </c>
    </row>
    <row r="1062" spans="9:16" ht="15" customHeight="1" x14ac:dyDescent="0.25">
      <c r="I1062" s="43" t="s">
        <v>337</v>
      </c>
      <c r="J1062" s="43" t="s">
        <v>24</v>
      </c>
      <c r="K1062" s="43" t="s">
        <v>12</v>
      </c>
      <c r="L1062" s="43" t="s">
        <v>43</v>
      </c>
      <c r="M1062">
        <f t="shared" si="65"/>
        <v>137</v>
      </c>
      <c r="N1062">
        <f t="shared" si="66"/>
        <v>9</v>
      </c>
      <c r="O1062">
        <f t="shared" si="67"/>
        <v>0</v>
      </c>
      <c r="P1062">
        <f t="shared" si="68"/>
        <v>25</v>
      </c>
    </row>
    <row r="1063" spans="9:16" ht="15" customHeight="1" x14ac:dyDescent="0.25">
      <c r="I1063" s="41" t="s">
        <v>338</v>
      </c>
      <c r="J1063" s="41" t="s">
        <v>11</v>
      </c>
      <c r="K1063" s="41" t="s">
        <v>1552</v>
      </c>
      <c r="L1063" s="41" t="s">
        <v>339</v>
      </c>
      <c r="M1063">
        <f t="shared" si="65"/>
        <v>135</v>
      </c>
      <c r="N1063">
        <f t="shared" si="66"/>
        <v>32</v>
      </c>
      <c r="O1063">
        <f t="shared" si="67"/>
        <v>37</v>
      </c>
      <c r="P1063">
        <f t="shared" si="68"/>
        <v>0</v>
      </c>
    </row>
    <row r="1064" spans="9:16" ht="15" customHeight="1" x14ac:dyDescent="0.25">
      <c r="I1064" s="43" t="s">
        <v>338</v>
      </c>
      <c r="J1064" s="43" t="s">
        <v>11</v>
      </c>
      <c r="K1064" s="43" t="s">
        <v>1555</v>
      </c>
      <c r="L1064" s="43" t="s">
        <v>345</v>
      </c>
      <c r="M1064">
        <f t="shared" si="65"/>
        <v>135</v>
      </c>
      <c r="N1064">
        <f t="shared" si="66"/>
        <v>32</v>
      </c>
      <c r="O1064">
        <f t="shared" si="67"/>
        <v>41</v>
      </c>
      <c r="P1064">
        <f t="shared" si="68"/>
        <v>2</v>
      </c>
    </row>
    <row r="1065" spans="9:16" ht="15" customHeight="1" x14ac:dyDescent="0.25">
      <c r="I1065" s="41" t="s">
        <v>335</v>
      </c>
      <c r="J1065" s="41" t="s">
        <v>11</v>
      </c>
      <c r="K1065" s="41" t="s">
        <v>1557</v>
      </c>
      <c r="L1065" s="41" t="s">
        <v>33</v>
      </c>
      <c r="M1065">
        <f t="shared" si="65"/>
        <v>139</v>
      </c>
      <c r="N1065">
        <f t="shared" si="66"/>
        <v>32</v>
      </c>
      <c r="O1065">
        <f t="shared" si="67"/>
        <v>47</v>
      </c>
      <c r="P1065">
        <f t="shared" si="68"/>
        <v>30</v>
      </c>
    </row>
    <row r="1066" spans="9:16" ht="15" customHeight="1" x14ac:dyDescent="0.25">
      <c r="I1066" s="43" t="s">
        <v>335</v>
      </c>
      <c r="J1066" s="43" t="s">
        <v>11</v>
      </c>
      <c r="K1066" s="43" t="s">
        <v>1560</v>
      </c>
      <c r="L1066" s="43" t="s">
        <v>13</v>
      </c>
      <c r="M1066">
        <f t="shared" si="65"/>
        <v>139</v>
      </c>
      <c r="N1066">
        <f t="shared" si="66"/>
        <v>32</v>
      </c>
      <c r="O1066">
        <f t="shared" si="67"/>
        <v>49</v>
      </c>
      <c r="P1066">
        <f t="shared" si="68"/>
        <v>21</v>
      </c>
    </row>
    <row r="1067" spans="9:16" ht="15" customHeight="1" x14ac:dyDescent="0.25">
      <c r="I1067" s="41" t="s">
        <v>342</v>
      </c>
      <c r="J1067" s="41" t="s">
        <v>24</v>
      </c>
      <c r="K1067" s="41" t="s">
        <v>1553</v>
      </c>
      <c r="L1067" s="41" t="s">
        <v>19</v>
      </c>
      <c r="M1067">
        <f t="shared" si="65"/>
        <v>134</v>
      </c>
      <c r="N1067">
        <f t="shared" si="66"/>
        <v>9</v>
      </c>
      <c r="O1067">
        <f t="shared" si="67"/>
        <v>39</v>
      </c>
      <c r="P1067">
        <f t="shared" si="68"/>
        <v>23</v>
      </c>
    </row>
    <row r="1068" spans="9:16" ht="15" customHeight="1" x14ac:dyDescent="0.25">
      <c r="I1068" s="43" t="s">
        <v>342</v>
      </c>
      <c r="J1068" s="43" t="s">
        <v>11</v>
      </c>
      <c r="K1068" s="43" t="s">
        <v>1556</v>
      </c>
      <c r="L1068" s="43" t="s">
        <v>43</v>
      </c>
      <c r="M1068">
        <f t="shared" si="65"/>
        <v>134</v>
      </c>
      <c r="N1068">
        <f t="shared" si="66"/>
        <v>32</v>
      </c>
      <c r="O1068">
        <f t="shared" si="67"/>
        <v>42</v>
      </c>
      <c r="P1068">
        <f t="shared" si="68"/>
        <v>25</v>
      </c>
    </row>
    <row r="1069" spans="9:16" ht="15" customHeight="1" x14ac:dyDescent="0.25">
      <c r="I1069" s="41" t="s">
        <v>10</v>
      </c>
      <c r="J1069" s="41" t="s">
        <v>24</v>
      </c>
      <c r="K1069" s="41" t="s">
        <v>1558</v>
      </c>
      <c r="L1069" s="41" t="s">
        <v>339</v>
      </c>
      <c r="M1069">
        <f t="shared" si="65"/>
        <v>143</v>
      </c>
      <c r="N1069">
        <f t="shared" si="66"/>
        <v>9</v>
      </c>
      <c r="O1069">
        <f t="shared" si="67"/>
        <v>48</v>
      </c>
      <c r="P1069">
        <f t="shared" si="68"/>
        <v>0</v>
      </c>
    </row>
    <row r="1070" spans="9:16" ht="15" customHeight="1" x14ac:dyDescent="0.25">
      <c r="I1070" s="43" t="s">
        <v>17</v>
      </c>
      <c r="J1070" s="43" t="s">
        <v>11</v>
      </c>
      <c r="K1070" s="43" t="s">
        <v>1561</v>
      </c>
      <c r="L1070" s="43" t="s">
        <v>345</v>
      </c>
      <c r="M1070">
        <f t="shared" si="65"/>
        <v>141</v>
      </c>
      <c r="N1070">
        <f t="shared" si="66"/>
        <v>32</v>
      </c>
      <c r="O1070">
        <f t="shared" si="67"/>
        <v>51</v>
      </c>
      <c r="P1070">
        <f t="shared" si="68"/>
        <v>2</v>
      </c>
    </row>
    <row r="1071" spans="9:16" ht="15" customHeight="1" x14ac:dyDescent="0.25">
      <c r="I1071" s="41" t="s">
        <v>10</v>
      </c>
      <c r="J1071" s="41" t="s">
        <v>24</v>
      </c>
      <c r="K1071" s="41" t="s">
        <v>1554</v>
      </c>
      <c r="L1071" s="41" t="s">
        <v>33</v>
      </c>
      <c r="M1071">
        <f t="shared" si="65"/>
        <v>143</v>
      </c>
      <c r="N1071">
        <f t="shared" si="66"/>
        <v>9</v>
      </c>
      <c r="O1071">
        <f t="shared" si="67"/>
        <v>38</v>
      </c>
      <c r="P1071">
        <f t="shared" si="68"/>
        <v>30</v>
      </c>
    </row>
    <row r="1072" spans="9:16" ht="15" customHeight="1" x14ac:dyDescent="0.25">
      <c r="I1072" s="43" t="s">
        <v>23</v>
      </c>
      <c r="J1072" s="43" t="s">
        <v>11</v>
      </c>
      <c r="K1072" s="43" t="s">
        <v>1559</v>
      </c>
      <c r="L1072" s="43" t="s">
        <v>13</v>
      </c>
      <c r="M1072">
        <f t="shared" si="65"/>
        <v>136</v>
      </c>
      <c r="N1072">
        <f t="shared" si="66"/>
        <v>32</v>
      </c>
      <c r="O1072">
        <f t="shared" si="67"/>
        <v>43</v>
      </c>
      <c r="P1072">
        <f t="shared" si="68"/>
        <v>21</v>
      </c>
    </row>
    <row r="1073" spans="9:16" ht="15" customHeight="1" x14ac:dyDescent="0.25">
      <c r="I1073" s="41" t="s">
        <v>17</v>
      </c>
      <c r="J1073" s="41" t="s">
        <v>24</v>
      </c>
      <c r="K1073" s="41" t="s">
        <v>1554</v>
      </c>
      <c r="L1073" s="41" t="s">
        <v>19</v>
      </c>
      <c r="M1073">
        <f t="shared" si="65"/>
        <v>141</v>
      </c>
      <c r="N1073">
        <f t="shared" si="66"/>
        <v>9</v>
      </c>
      <c r="O1073">
        <f t="shared" si="67"/>
        <v>38</v>
      </c>
      <c r="P1073">
        <f t="shared" si="68"/>
        <v>23</v>
      </c>
    </row>
    <row r="1074" spans="9:16" ht="15" customHeight="1" x14ac:dyDescent="0.25">
      <c r="I1074" s="43" t="s">
        <v>337</v>
      </c>
      <c r="J1074" s="43" t="s">
        <v>24</v>
      </c>
      <c r="K1074" s="43" t="s">
        <v>1559</v>
      </c>
      <c r="L1074" s="43" t="s">
        <v>43</v>
      </c>
      <c r="M1074">
        <f t="shared" si="65"/>
        <v>137</v>
      </c>
      <c r="N1074">
        <f t="shared" si="66"/>
        <v>9</v>
      </c>
      <c r="O1074">
        <f t="shared" si="67"/>
        <v>43</v>
      </c>
      <c r="P1074">
        <f t="shared" si="68"/>
        <v>25</v>
      </c>
    </row>
    <row r="1075" spans="9:16" ht="15" customHeight="1" x14ac:dyDescent="0.25">
      <c r="I1075" s="41" t="s">
        <v>338</v>
      </c>
      <c r="J1075" s="41" t="s">
        <v>24</v>
      </c>
      <c r="K1075" s="41" t="s">
        <v>1553</v>
      </c>
      <c r="L1075" s="41" t="s">
        <v>339</v>
      </c>
      <c r="M1075">
        <f t="shared" si="65"/>
        <v>135</v>
      </c>
      <c r="N1075">
        <f t="shared" si="66"/>
        <v>9</v>
      </c>
      <c r="O1075">
        <f t="shared" si="67"/>
        <v>39</v>
      </c>
      <c r="P1075">
        <f t="shared" si="68"/>
        <v>0</v>
      </c>
    </row>
    <row r="1076" spans="9:16" ht="15" customHeight="1" x14ac:dyDescent="0.25">
      <c r="I1076" s="43" t="s">
        <v>335</v>
      </c>
      <c r="J1076" s="43" t="s">
        <v>11</v>
      </c>
      <c r="K1076" s="43" t="s">
        <v>1556</v>
      </c>
      <c r="L1076" s="43" t="s">
        <v>345</v>
      </c>
      <c r="M1076">
        <f t="shared" si="65"/>
        <v>139</v>
      </c>
      <c r="N1076">
        <f t="shared" si="66"/>
        <v>32</v>
      </c>
      <c r="O1076">
        <f t="shared" si="67"/>
        <v>42</v>
      </c>
      <c r="P1076">
        <f t="shared" si="68"/>
        <v>2</v>
      </c>
    </row>
    <row r="1077" spans="9:16" ht="15" customHeight="1" x14ac:dyDescent="0.25">
      <c r="I1077" s="41" t="s">
        <v>342</v>
      </c>
      <c r="J1077" s="41" t="s">
        <v>24</v>
      </c>
      <c r="K1077" s="41" t="s">
        <v>1558</v>
      </c>
      <c r="L1077" s="41" t="s">
        <v>33</v>
      </c>
      <c r="M1077">
        <f t="shared" si="65"/>
        <v>134</v>
      </c>
      <c r="N1077">
        <f t="shared" si="66"/>
        <v>9</v>
      </c>
      <c r="O1077">
        <f t="shared" si="67"/>
        <v>48</v>
      </c>
      <c r="P1077">
        <f t="shared" si="68"/>
        <v>30</v>
      </c>
    </row>
    <row r="1078" spans="9:16" ht="15" customHeight="1" x14ac:dyDescent="0.25">
      <c r="I1078" s="43" t="s">
        <v>23</v>
      </c>
      <c r="J1078" s="43" t="s">
        <v>24</v>
      </c>
      <c r="K1078" s="43" t="s">
        <v>1561</v>
      </c>
      <c r="L1078" s="43" t="s">
        <v>33</v>
      </c>
      <c r="M1078">
        <f t="shared" si="65"/>
        <v>136</v>
      </c>
      <c r="N1078">
        <f t="shared" si="66"/>
        <v>9</v>
      </c>
      <c r="O1078">
        <f t="shared" si="67"/>
        <v>51</v>
      </c>
      <c r="P1078">
        <f t="shared" si="68"/>
        <v>30</v>
      </c>
    </row>
    <row r="1079" spans="9:16" ht="15" customHeight="1" x14ac:dyDescent="0.25">
      <c r="I1079" s="41" t="s">
        <v>17</v>
      </c>
      <c r="J1079" s="41" t="s">
        <v>24</v>
      </c>
      <c r="K1079" s="41" t="s">
        <v>1552</v>
      </c>
      <c r="L1079" s="41" t="s">
        <v>13</v>
      </c>
      <c r="M1079">
        <f t="shared" si="65"/>
        <v>141</v>
      </c>
      <c r="N1079">
        <f t="shared" si="66"/>
        <v>9</v>
      </c>
      <c r="O1079">
        <f t="shared" si="67"/>
        <v>37</v>
      </c>
      <c r="P1079">
        <f t="shared" si="68"/>
        <v>21</v>
      </c>
    </row>
    <row r="1080" spans="9:16" ht="15" customHeight="1" x14ac:dyDescent="0.25">
      <c r="I1080" s="43" t="s">
        <v>10</v>
      </c>
      <c r="J1080" s="43" t="s">
        <v>11</v>
      </c>
      <c r="K1080" s="43" t="s">
        <v>1555</v>
      </c>
      <c r="L1080" s="43" t="s">
        <v>19</v>
      </c>
      <c r="M1080">
        <f t="shared" ref="M1080:M1143" si="69">_xlfn.XLOOKUP(I1080,$C$9:$C$37,$D$9:$D$37,2,0)</f>
        <v>143</v>
      </c>
      <c r="N1080">
        <f t="shared" ref="N1080:N1143" si="70">_xlfn.XLOOKUP(J1080,$C$9:$C$37,$D$9:$D$37,2,0)</f>
        <v>32</v>
      </c>
      <c r="O1080">
        <f t="shared" ref="O1080:O1143" si="71">_xlfn.XLOOKUP(K1080,$C$9:$C$37,$D$9:$D$37,2,0)</f>
        <v>41</v>
      </c>
      <c r="P1080">
        <f t="shared" ref="P1080:P1143" si="72">_xlfn.XLOOKUP(L1080,$C$9:$C$37,$D$9:$D$37,2,0)</f>
        <v>23</v>
      </c>
    </row>
    <row r="1081" spans="9:16" ht="15" customHeight="1" x14ac:dyDescent="0.25">
      <c r="I1081" s="41" t="s">
        <v>343</v>
      </c>
      <c r="J1081" s="41" t="s">
        <v>24</v>
      </c>
      <c r="K1081" s="41" t="s">
        <v>1557</v>
      </c>
      <c r="L1081" s="41" t="s">
        <v>43</v>
      </c>
      <c r="M1081">
        <f t="shared" si="69"/>
        <v>132</v>
      </c>
      <c r="N1081">
        <f t="shared" si="70"/>
        <v>9</v>
      </c>
      <c r="O1081">
        <f t="shared" si="71"/>
        <v>47</v>
      </c>
      <c r="P1081">
        <f t="shared" si="72"/>
        <v>25</v>
      </c>
    </row>
    <row r="1082" spans="9:16" ht="15" customHeight="1" x14ac:dyDescent="0.25">
      <c r="I1082" s="43" t="s">
        <v>340</v>
      </c>
      <c r="J1082" s="43" t="s">
        <v>11</v>
      </c>
      <c r="K1082" s="43" t="s">
        <v>1560</v>
      </c>
      <c r="L1082" s="43" t="s">
        <v>339</v>
      </c>
      <c r="M1082">
        <f t="shared" si="69"/>
        <v>129</v>
      </c>
      <c r="N1082">
        <f t="shared" si="70"/>
        <v>32</v>
      </c>
      <c r="O1082">
        <f t="shared" si="71"/>
        <v>49</v>
      </c>
      <c r="P1082">
        <f t="shared" si="72"/>
        <v>0</v>
      </c>
    </row>
    <row r="1083" spans="9:16" ht="15" customHeight="1" x14ac:dyDescent="0.25">
      <c r="I1083" s="41" t="s">
        <v>344</v>
      </c>
      <c r="J1083" s="41" t="s">
        <v>24</v>
      </c>
      <c r="K1083" s="41" t="s">
        <v>12</v>
      </c>
      <c r="L1083" s="41" t="s">
        <v>345</v>
      </c>
      <c r="M1083">
        <f t="shared" si="69"/>
        <v>131</v>
      </c>
      <c r="N1083">
        <f t="shared" si="70"/>
        <v>9</v>
      </c>
      <c r="O1083">
        <f t="shared" si="71"/>
        <v>0</v>
      </c>
      <c r="P1083">
        <f t="shared" si="72"/>
        <v>2</v>
      </c>
    </row>
    <row r="1084" spans="9:16" ht="15" customHeight="1" x14ac:dyDescent="0.25">
      <c r="I1084" s="43" t="s">
        <v>335</v>
      </c>
      <c r="J1084" s="43" t="s">
        <v>11</v>
      </c>
      <c r="K1084" s="43" t="s">
        <v>12</v>
      </c>
      <c r="L1084" s="43" t="s">
        <v>33</v>
      </c>
      <c r="M1084">
        <f t="shared" si="69"/>
        <v>139</v>
      </c>
      <c r="N1084">
        <f t="shared" si="70"/>
        <v>32</v>
      </c>
      <c r="O1084">
        <f t="shared" si="71"/>
        <v>0</v>
      </c>
      <c r="P1084">
        <f t="shared" si="72"/>
        <v>30</v>
      </c>
    </row>
    <row r="1085" spans="9:16" ht="15" customHeight="1" x14ac:dyDescent="0.25">
      <c r="I1085" s="41" t="s">
        <v>343</v>
      </c>
      <c r="J1085" s="41" t="s">
        <v>24</v>
      </c>
      <c r="K1085" s="41" t="s">
        <v>1552</v>
      </c>
      <c r="L1085" s="41" t="s">
        <v>13</v>
      </c>
      <c r="M1085">
        <f t="shared" si="69"/>
        <v>132</v>
      </c>
      <c r="N1085">
        <f t="shared" si="70"/>
        <v>9</v>
      </c>
      <c r="O1085">
        <f t="shared" si="71"/>
        <v>37</v>
      </c>
      <c r="P1085">
        <f t="shared" si="72"/>
        <v>21</v>
      </c>
    </row>
    <row r="1086" spans="9:16" ht="15" customHeight="1" x14ac:dyDescent="0.25">
      <c r="I1086" s="43" t="s">
        <v>340</v>
      </c>
      <c r="J1086" s="43" t="s">
        <v>11</v>
      </c>
      <c r="K1086" s="43" t="s">
        <v>1553</v>
      </c>
      <c r="L1086" s="43" t="s">
        <v>19</v>
      </c>
      <c r="M1086">
        <f t="shared" si="69"/>
        <v>129</v>
      </c>
      <c r="N1086">
        <f t="shared" si="70"/>
        <v>32</v>
      </c>
      <c r="O1086">
        <f t="shared" si="71"/>
        <v>39</v>
      </c>
      <c r="P1086">
        <f t="shared" si="72"/>
        <v>23</v>
      </c>
    </row>
    <row r="1087" spans="9:16" ht="15" customHeight="1" x14ac:dyDescent="0.25">
      <c r="I1087" s="41" t="s">
        <v>344</v>
      </c>
      <c r="J1087" s="41" t="s">
        <v>11</v>
      </c>
      <c r="K1087" s="41" t="s">
        <v>1554</v>
      </c>
      <c r="L1087" s="41" t="s">
        <v>43</v>
      </c>
      <c r="M1087">
        <f t="shared" si="69"/>
        <v>131</v>
      </c>
      <c r="N1087">
        <f t="shared" si="70"/>
        <v>32</v>
      </c>
      <c r="O1087">
        <f t="shared" si="71"/>
        <v>38</v>
      </c>
      <c r="P1087">
        <f t="shared" si="72"/>
        <v>25</v>
      </c>
    </row>
    <row r="1088" spans="9:16" ht="15" customHeight="1" x14ac:dyDescent="0.25">
      <c r="I1088" s="43" t="s">
        <v>337</v>
      </c>
      <c r="J1088" s="43" t="s">
        <v>24</v>
      </c>
      <c r="K1088" s="43" t="s">
        <v>1555</v>
      </c>
      <c r="L1088" s="43" t="s">
        <v>339</v>
      </c>
      <c r="M1088">
        <f t="shared" si="69"/>
        <v>137</v>
      </c>
      <c r="N1088">
        <f t="shared" si="70"/>
        <v>9</v>
      </c>
      <c r="O1088">
        <f t="shared" si="71"/>
        <v>41</v>
      </c>
      <c r="P1088">
        <f t="shared" si="72"/>
        <v>0</v>
      </c>
    </row>
    <row r="1089" spans="9:16" ht="15" customHeight="1" x14ac:dyDescent="0.25">
      <c r="I1089" s="41" t="s">
        <v>338</v>
      </c>
      <c r="J1089" s="41" t="s">
        <v>11</v>
      </c>
      <c r="K1089" s="41" t="s">
        <v>1556</v>
      </c>
      <c r="L1089" s="41" t="s">
        <v>345</v>
      </c>
      <c r="M1089">
        <f t="shared" si="69"/>
        <v>135</v>
      </c>
      <c r="N1089">
        <f t="shared" si="70"/>
        <v>32</v>
      </c>
      <c r="O1089">
        <f t="shared" si="71"/>
        <v>42</v>
      </c>
      <c r="P1089">
        <f t="shared" si="72"/>
        <v>2</v>
      </c>
    </row>
    <row r="1090" spans="9:16" ht="15" customHeight="1" x14ac:dyDescent="0.25">
      <c r="I1090" s="43" t="s">
        <v>335</v>
      </c>
      <c r="J1090" s="43" t="s">
        <v>24</v>
      </c>
      <c r="K1090" s="43" t="s">
        <v>1559</v>
      </c>
      <c r="L1090" s="43" t="s">
        <v>33</v>
      </c>
      <c r="M1090">
        <f t="shared" si="69"/>
        <v>139</v>
      </c>
      <c r="N1090">
        <f t="shared" si="70"/>
        <v>9</v>
      </c>
      <c r="O1090">
        <f t="shared" si="71"/>
        <v>43</v>
      </c>
      <c r="P1090">
        <f t="shared" si="72"/>
        <v>30</v>
      </c>
    </row>
    <row r="1091" spans="9:16" ht="15" customHeight="1" x14ac:dyDescent="0.25">
      <c r="I1091" s="41" t="s">
        <v>343</v>
      </c>
      <c r="J1091" s="41" t="s">
        <v>24</v>
      </c>
      <c r="K1091" s="41" t="s">
        <v>1557</v>
      </c>
      <c r="L1091" s="41" t="s">
        <v>13</v>
      </c>
      <c r="M1091">
        <f t="shared" si="69"/>
        <v>132</v>
      </c>
      <c r="N1091">
        <f t="shared" si="70"/>
        <v>9</v>
      </c>
      <c r="O1091">
        <f t="shared" si="71"/>
        <v>47</v>
      </c>
      <c r="P1091">
        <f t="shared" si="72"/>
        <v>21</v>
      </c>
    </row>
    <row r="1092" spans="9:16" ht="15" customHeight="1" x14ac:dyDescent="0.25">
      <c r="I1092" s="43" t="s">
        <v>340</v>
      </c>
      <c r="J1092" s="43" t="s">
        <v>11</v>
      </c>
      <c r="K1092" s="43" t="s">
        <v>1558</v>
      </c>
      <c r="L1092" s="43" t="s">
        <v>19</v>
      </c>
      <c r="M1092">
        <f t="shared" si="69"/>
        <v>129</v>
      </c>
      <c r="N1092">
        <f t="shared" si="70"/>
        <v>32</v>
      </c>
      <c r="O1092">
        <f t="shared" si="71"/>
        <v>48</v>
      </c>
      <c r="P1092">
        <f t="shared" si="72"/>
        <v>23</v>
      </c>
    </row>
    <row r="1093" spans="9:16" ht="15" customHeight="1" x14ac:dyDescent="0.25">
      <c r="I1093" s="41" t="s">
        <v>342</v>
      </c>
      <c r="J1093" s="41" t="s">
        <v>11</v>
      </c>
      <c r="K1093" s="41" t="s">
        <v>1560</v>
      </c>
      <c r="L1093" s="41" t="s">
        <v>43</v>
      </c>
      <c r="M1093">
        <f t="shared" si="69"/>
        <v>134</v>
      </c>
      <c r="N1093">
        <f t="shared" si="70"/>
        <v>32</v>
      </c>
      <c r="O1093">
        <f t="shared" si="71"/>
        <v>49</v>
      </c>
      <c r="P1093">
        <f t="shared" si="72"/>
        <v>25</v>
      </c>
    </row>
    <row r="1094" spans="9:16" ht="15" customHeight="1" x14ac:dyDescent="0.25">
      <c r="I1094" s="43" t="s">
        <v>23</v>
      </c>
      <c r="J1094" s="43" t="s">
        <v>11</v>
      </c>
      <c r="K1094" s="43" t="s">
        <v>1561</v>
      </c>
      <c r="L1094" s="43" t="s">
        <v>339</v>
      </c>
      <c r="M1094">
        <f t="shared" si="69"/>
        <v>136</v>
      </c>
      <c r="N1094">
        <f t="shared" si="70"/>
        <v>32</v>
      </c>
      <c r="O1094">
        <f t="shared" si="71"/>
        <v>51</v>
      </c>
      <c r="P1094">
        <f t="shared" si="72"/>
        <v>0</v>
      </c>
    </row>
    <row r="1095" spans="9:16" ht="15" customHeight="1" x14ac:dyDescent="0.25">
      <c r="I1095" s="41" t="s">
        <v>17</v>
      </c>
      <c r="J1095" s="41" t="s">
        <v>11</v>
      </c>
      <c r="K1095" s="41" t="s">
        <v>1561</v>
      </c>
      <c r="L1095" s="41" t="s">
        <v>345</v>
      </c>
      <c r="M1095">
        <f t="shared" si="69"/>
        <v>141</v>
      </c>
      <c r="N1095">
        <f t="shared" si="70"/>
        <v>32</v>
      </c>
      <c r="O1095">
        <f t="shared" si="71"/>
        <v>51</v>
      </c>
      <c r="P1095">
        <f t="shared" si="72"/>
        <v>2</v>
      </c>
    </row>
    <row r="1096" spans="9:16" ht="15" customHeight="1" x14ac:dyDescent="0.25">
      <c r="I1096" s="43" t="s">
        <v>10</v>
      </c>
      <c r="J1096" s="43" t="s">
        <v>11</v>
      </c>
      <c r="K1096" s="43" t="s">
        <v>1560</v>
      </c>
      <c r="L1096" s="43" t="s">
        <v>33</v>
      </c>
      <c r="M1096">
        <f t="shared" si="69"/>
        <v>143</v>
      </c>
      <c r="N1096">
        <f t="shared" si="70"/>
        <v>32</v>
      </c>
      <c r="O1096">
        <f t="shared" si="71"/>
        <v>49</v>
      </c>
      <c r="P1096">
        <f t="shared" si="72"/>
        <v>30</v>
      </c>
    </row>
    <row r="1097" spans="9:16" ht="15" customHeight="1" x14ac:dyDescent="0.25">
      <c r="I1097" s="41" t="s">
        <v>344</v>
      </c>
      <c r="J1097" s="41" t="s">
        <v>11</v>
      </c>
      <c r="K1097" s="41" t="s">
        <v>1558</v>
      </c>
      <c r="L1097" s="41" t="s">
        <v>13</v>
      </c>
      <c r="M1097">
        <f t="shared" si="69"/>
        <v>131</v>
      </c>
      <c r="N1097">
        <f t="shared" si="70"/>
        <v>32</v>
      </c>
      <c r="O1097">
        <f t="shared" si="71"/>
        <v>48</v>
      </c>
      <c r="P1097">
        <f t="shared" si="72"/>
        <v>21</v>
      </c>
    </row>
    <row r="1098" spans="9:16" ht="15" customHeight="1" x14ac:dyDescent="0.25">
      <c r="I1098" s="43" t="s">
        <v>344</v>
      </c>
      <c r="J1098" s="43" t="s">
        <v>24</v>
      </c>
      <c r="K1098" s="43" t="s">
        <v>1557</v>
      </c>
      <c r="L1098" s="43" t="s">
        <v>19</v>
      </c>
      <c r="M1098">
        <f t="shared" si="69"/>
        <v>131</v>
      </c>
      <c r="N1098">
        <f t="shared" si="70"/>
        <v>9</v>
      </c>
      <c r="O1098">
        <f t="shared" si="71"/>
        <v>47</v>
      </c>
      <c r="P1098">
        <f t="shared" si="72"/>
        <v>23</v>
      </c>
    </row>
    <row r="1099" spans="9:16" ht="15" customHeight="1" x14ac:dyDescent="0.25">
      <c r="I1099" s="41" t="s">
        <v>10</v>
      </c>
      <c r="J1099" s="41" t="s">
        <v>11</v>
      </c>
      <c r="K1099" s="41" t="s">
        <v>1559</v>
      </c>
      <c r="L1099" s="41" t="s">
        <v>43</v>
      </c>
      <c r="M1099">
        <f t="shared" si="69"/>
        <v>143</v>
      </c>
      <c r="N1099">
        <f t="shared" si="70"/>
        <v>32</v>
      </c>
      <c r="O1099">
        <f t="shared" si="71"/>
        <v>43</v>
      </c>
      <c r="P1099">
        <f t="shared" si="72"/>
        <v>25</v>
      </c>
    </row>
    <row r="1100" spans="9:16" ht="15" customHeight="1" x14ac:dyDescent="0.25">
      <c r="I1100" s="43" t="s">
        <v>17</v>
      </c>
      <c r="J1100" s="43" t="s">
        <v>11</v>
      </c>
      <c r="K1100" s="43" t="s">
        <v>1556</v>
      </c>
      <c r="L1100" s="43" t="s">
        <v>339</v>
      </c>
      <c r="M1100">
        <f t="shared" si="69"/>
        <v>141</v>
      </c>
      <c r="N1100">
        <f t="shared" si="70"/>
        <v>32</v>
      </c>
      <c r="O1100">
        <f t="shared" si="71"/>
        <v>42</v>
      </c>
      <c r="P1100">
        <f t="shared" si="72"/>
        <v>0</v>
      </c>
    </row>
    <row r="1101" spans="9:16" ht="15" customHeight="1" x14ac:dyDescent="0.25">
      <c r="I1101" s="41" t="s">
        <v>23</v>
      </c>
      <c r="J1101" s="41" t="s">
        <v>11</v>
      </c>
      <c r="K1101" s="41" t="s">
        <v>1555</v>
      </c>
      <c r="L1101" s="41" t="s">
        <v>345</v>
      </c>
      <c r="M1101">
        <f t="shared" si="69"/>
        <v>136</v>
      </c>
      <c r="N1101">
        <f t="shared" si="70"/>
        <v>32</v>
      </c>
      <c r="O1101">
        <f t="shared" si="71"/>
        <v>41</v>
      </c>
      <c r="P1101">
        <f t="shared" si="72"/>
        <v>2</v>
      </c>
    </row>
    <row r="1102" spans="9:16" ht="15" customHeight="1" x14ac:dyDescent="0.25">
      <c r="I1102" s="43" t="s">
        <v>342</v>
      </c>
      <c r="J1102" s="43" t="s">
        <v>11</v>
      </c>
      <c r="K1102" s="43" t="s">
        <v>1554</v>
      </c>
      <c r="L1102" s="43" t="s">
        <v>33</v>
      </c>
      <c r="M1102">
        <f t="shared" si="69"/>
        <v>134</v>
      </c>
      <c r="N1102">
        <f t="shared" si="70"/>
        <v>32</v>
      </c>
      <c r="O1102">
        <f t="shared" si="71"/>
        <v>38</v>
      </c>
      <c r="P1102">
        <f t="shared" si="72"/>
        <v>30</v>
      </c>
    </row>
    <row r="1103" spans="9:16" ht="15" customHeight="1" x14ac:dyDescent="0.25">
      <c r="I1103" s="41" t="s">
        <v>340</v>
      </c>
      <c r="J1103" s="41" t="s">
        <v>24</v>
      </c>
      <c r="K1103" s="41" t="s">
        <v>1553</v>
      </c>
      <c r="L1103" s="41" t="s">
        <v>13</v>
      </c>
      <c r="M1103">
        <f t="shared" si="69"/>
        <v>129</v>
      </c>
      <c r="N1103">
        <f t="shared" si="70"/>
        <v>9</v>
      </c>
      <c r="O1103">
        <f t="shared" si="71"/>
        <v>39</v>
      </c>
      <c r="P1103">
        <f t="shared" si="72"/>
        <v>21</v>
      </c>
    </row>
    <row r="1104" spans="9:16" ht="15" customHeight="1" x14ac:dyDescent="0.25">
      <c r="I1104" s="43" t="s">
        <v>343</v>
      </c>
      <c r="J1104" s="43" t="s">
        <v>11</v>
      </c>
      <c r="K1104" s="43" t="s">
        <v>1552</v>
      </c>
      <c r="L1104" s="43" t="s">
        <v>19</v>
      </c>
      <c r="M1104">
        <f t="shared" si="69"/>
        <v>132</v>
      </c>
      <c r="N1104">
        <f t="shared" si="70"/>
        <v>32</v>
      </c>
      <c r="O1104">
        <f t="shared" si="71"/>
        <v>37</v>
      </c>
      <c r="P1104">
        <f t="shared" si="72"/>
        <v>23</v>
      </c>
    </row>
    <row r="1105" spans="9:16" ht="15" customHeight="1" x14ac:dyDescent="0.25">
      <c r="I1105" s="41" t="s">
        <v>335</v>
      </c>
      <c r="J1105" s="41" t="s">
        <v>24</v>
      </c>
      <c r="K1105" s="41" t="s">
        <v>12</v>
      </c>
      <c r="L1105" s="41" t="s">
        <v>43</v>
      </c>
      <c r="M1105">
        <f t="shared" si="69"/>
        <v>139</v>
      </c>
      <c r="N1105">
        <f t="shared" si="70"/>
        <v>9</v>
      </c>
      <c r="O1105">
        <f t="shared" si="71"/>
        <v>0</v>
      </c>
      <c r="P1105">
        <f t="shared" si="72"/>
        <v>25</v>
      </c>
    </row>
    <row r="1106" spans="9:16" ht="15" customHeight="1" x14ac:dyDescent="0.25">
      <c r="I1106" s="43" t="s">
        <v>338</v>
      </c>
      <c r="J1106" s="43" t="s">
        <v>11</v>
      </c>
      <c r="K1106" s="43" t="s">
        <v>12</v>
      </c>
      <c r="L1106" s="43" t="s">
        <v>339</v>
      </c>
      <c r="M1106">
        <f t="shared" si="69"/>
        <v>135</v>
      </c>
      <c r="N1106">
        <f t="shared" si="70"/>
        <v>32</v>
      </c>
      <c r="O1106">
        <f t="shared" si="71"/>
        <v>0</v>
      </c>
      <c r="P1106">
        <f t="shared" si="72"/>
        <v>0</v>
      </c>
    </row>
    <row r="1107" spans="9:16" ht="15" customHeight="1" x14ac:dyDescent="0.25">
      <c r="I1107" s="41" t="s">
        <v>337</v>
      </c>
      <c r="J1107" s="41" t="s">
        <v>24</v>
      </c>
      <c r="K1107" s="41" t="s">
        <v>1552</v>
      </c>
      <c r="L1107" s="41" t="s">
        <v>345</v>
      </c>
      <c r="M1107">
        <f t="shared" si="69"/>
        <v>137</v>
      </c>
      <c r="N1107">
        <f t="shared" si="70"/>
        <v>9</v>
      </c>
      <c r="O1107">
        <f t="shared" si="71"/>
        <v>37</v>
      </c>
      <c r="P1107">
        <f t="shared" si="72"/>
        <v>2</v>
      </c>
    </row>
    <row r="1108" spans="9:16" ht="15" customHeight="1" x14ac:dyDescent="0.25">
      <c r="I1108" s="43" t="s">
        <v>343</v>
      </c>
      <c r="J1108" s="43" t="s">
        <v>11</v>
      </c>
      <c r="K1108" s="43" t="s">
        <v>1555</v>
      </c>
      <c r="L1108" s="43" t="s">
        <v>33</v>
      </c>
      <c r="M1108">
        <f t="shared" si="69"/>
        <v>132</v>
      </c>
      <c r="N1108">
        <f t="shared" si="70"/>
        <v>32</v>
      </c>
      <c r="O1108">
        <f t="shared" si="71"/>
        <v>41</v>
      </c>
      <c r="P1108">
        <f t="shared" si="72"/>
        <v>30</v>
      </c>
    </row>
    <row r="1109" spans="9:16" ht="15" customHeight="1" x14ac:dyDescent="0.25">
      <c r="I1109" s="41" t="s">
        <v>340</v>
      </c>
      <c r="J1109" s="41" t="s">
        <v>24</v>
      </c>
      <c r="K1109" s="41" t="s">
        <v>1557</v>
      </c>
      <c r="L1109" s="41" t="s">
        <v>13</v>
      </c>
      <c r="M1109">
        <f t="shared" si="69"/>
        <v>129</v>
      </c>
      <c r="N1109">
        <f t="shared" si="70"/>
        <v>9</v>
      </c>
      <c r="O1109">
        <f t="shared" si="71"/>
        <v>47</v>
      </c>
      <c r="P1109">
        <f t="shared" si="72"/>
        <v>21</v>
      </c>
    </row>
    <row r="1110" spans="9:16" ht="15" customHeight="1" x14ac:dyDescent="0.25">
      <c r="I1110" s="43" t="s">
        <v>10</v>
      </c>
      <c r="J1110" s="43" t="s">
        <v>24</v>
      </c>
      <c r="K1110" s="43" t="s">
        <v>1560</v>
      </c>
      <c r="L1110" s="43" t="s">
        <v>19</v>
      </c>
      <c r="M1110">
        <f t="shared" si="69"/>
        <v>143</v>
      </c>
      <c r="N1110">
        <f t="shared" si="70"/>
        <v>9</v>
      </c>
      <c r="O1110">
        <f t="shared" si="71"/>
        <v>49</v>
      </c>
      <c r="P1110">
        <f t="shared" si="72"/>
        <v>23</v>
      </c>
    </row>
    <row r="1111" spans="9:16" ht="15" customHeight="1" x14ac:dyDescent="0.25">
      <c r="I1111" s="41" t="s">
        <v>344</v>
      </c>
      <c r="J1111" s="41" t="s">
        <v>24</v>
      </c>
      <c r="K1111" s="41" t="s">
        <v>33</v>
      </c>
      <c r="L1111" s="41" t="s">
        <v>43</v>
      </c>
      <c r="M1111">
        <f t="shared" si="69"/>
        <v>131</v>
      </c>
      <c r="N1111">
        <f t="shared" si="70"/>
        <v>9</v>
      </c>
      <c r="O1111">
        <f t="shared" si="71"/>
        <v>30</v>
      </c>
      <c r="P1111">
        <f t="shared" si="72"/>
        <v>25</v>
      </c>
    </row>
    <row r="1112" spans="9:16" ht="15" customHeight="1" x14ac:dyDescent="0.25">
      <c r="I1112" s="43" t="s">
        <v>338</v>
      </c>
      <c r="J1112" s="43" t="s">
        <v>11</v>
      </c>
      <c r="K1112" s="43" t="s">
        <v>13</v>
      </c>
      <c r="L1112" s="43" t="s">
        <v>339</v>
      </c>
      <c r="M1112">
        <f t="shared" si="69"/>
        <v>135</v>
      </c>
      <c r="N1112">
        <f t="shared" si="70"/>
        <v>32</v>
      </c>
      <c r="O1112">
        <f t="shared" si="71"/>
        <v>21</v>
      </c>
      <c r="P1112">
        <f t="shared" si="72"/>
        <v>0</v>
      </c>
    </row>
    <row r="1113" spans="9:16" ht="15" customHeight="1" x14ac:dyDescent="0.25">
      <c r="I1113" s="41" t="s">
        <v>23</v>
      </c>
      <c r="J1113" s="41" t="s">
        <v>11</v>
      </c>
      <c r="K1113" s="41" t="s">
        <v>19</v>
      </c>
      <c r="L1113" s="41" t="s">
        <v>345</v>
      </c>
      <c r="M1113">
        <f t="shared" si="69"/>
        <v>136</v>
      </c>
      <c r="N1113">
        <f t="shared" si="70"/>
        <v>32</v>
      </c>
      <c r="O1113">
        <f t="shared" si="71"/>
        <v>23</v>
      </c>
      <c r="P1113">
        <f t="shared" si="72"/>
        <v>2</v>
      </c>
    </row>
    <row r="1114" spans="9:16" ht="15" customHeight="1" x14ac:dyDescent="0.25">
      <c r="I1114" s="43" t="s">
        <v>17</v>
      </c>
      <c r="J1114" s="43" t="s">
        <v>11</v>
      </c>
      <c r="K1114" s="43" t="s">
        <v>43</v>
      </c>
      <c r="L1114" s="43" t="s">
        <v>33</v>
      </c>
      <c r="M1114">
        <f t="shared" si="69"/>
        <v>141</v>
      </c>
      <c r="N1114">
        <f t="shared" si="70"/>
        <v>32</v>
      </c>
      <c r="O1114">
        <f t="shared" si="71"/>
        <v>25</v>
      </c>
      <c r="P1114">
        <f t="shared" si="72"/>
        <v>30</v>
      </c>
    </row>
    <row r="1115" spans="9:16" ht="15" customHeight="1" x14ac:dyDescent="0.25">
      <c r="I1115" s="41" t="s">
        <v>10</v>
      </c>
      <c r="J1115" s="41" t="s">
        <v>11</v>
      </c>
      <c r="K1115" s="41" t="s">
        <v>339</v>
      </c>
      <c r="L1115" s="41" t="s">
        <v>13</v>
      </c>
      <c r="M1115">
        <f t="shared" si="69"/>
        <v>143</v>
      </c>
      <c r="N1115">
        <f t="shared" si="70"/>
        <v>32</v>
      </c>
      <c r="O1115">
        <f t="shared" si="71"/>
        <v>0</v>
      </c>
      <c r="P1115">
        <f t="shared" si="72"/>
        <v>21</v>
      </c>
    </row>
    <row r="1116" spans="9:16" ht="15" customHeight="1" x14ac:dyDescent="0.25">
      <c r="I1116" s="43" t="s">
        <v>337</v>
      </c>
      <c r="J1116" s="43" t="s">
        <v>11</v>
      </c>
      <c r="K1116" s="43" t="s">
        <v>345</v>
      </c>
      <c r="L1116" s="43" t="s">
        <v>19</v>
      </c>
      <c r="M1116">
        <f t="shared" si="69"/>
        <v>137</v>
      </c>
      <c r="N1116">
        <f t="shared" si="70"/>
        <v>32</v>
      </c>
      <c r="O1116">
        <f t="shared" si="71"/>
        <v>2</v>
      </c>
      <c r="P1116">
        <f t="shared" si="72"/>
        <v>23</v>
      </c>
    </row>
    <row r="1117" spans="9:16" ht="15" customHeight="1" x14ac:dyDescent="0.25">
      <c r="I1117" s="41" t="s">
        <v>338</v>
      </c>
      <c r="J1117" s="41" t="s">
        <v>11</v>
      </c>
      <c r="K1117" s="41" t="s">
        <v>33</v>
      </c>
      <c r="L1117" s="41" t="s">
        <v>43</v>
      </c>
      <c r="M1117">
        <f t="shared" si="69"/>
        <v>135</v>
      </c>
      <c r="N1117">
        <f t="shared" si="70"/>
        <v>32</v>
      </c>
      <c r="O1117">
        <f t="shared" si="71"/>
        <v>30</v>
      </c>
      <c r="P1117">
        <f t="shared" si="72"/>
        <v>25</v>
      </c>
    </row>
    <row r="1118" spans="9:16" ht="15" customHeight="1" x14ac:dyDescent="0.25">
      <c r="I1118" s="43" t="s">
        <v>338</v>
      </c>
      <c r="J1118" s="43" t="s">
        <v>24</v>
      </c>
      <c r="K1118" s="43" t="s">
        <v>13</v>
      </c>
      <c r="L1118" s="43" t="s">
        <v>339</v>
      </c>
      <c r="M1118">
        <f t="shared" si="69"/>
        <v>135</v>
      </c>
      <c r="N1118">
        <f t="shared" si="70"/>
        <v>9</v>
      </c>
      <c r="O1118">
        <f t="shared" si="71"/>
        <v>21</v>
      </c>
      <c r="P1118">
        <f t="shared" si="72"/>
        <v>0</v>
      </c>
    </row>
    <row r="1119" spans="9:16" ht="15" customHeight="1" x14ac:dyDescent="0.25">
      <c r="I1119" s="41" t="s">
        <v>335</v>
      </c>
      <c r="J1119" s="41" t="s">
        <v>11</v>
      </c>
      <c r="K1119" s="41" t="s">
        <v>19</v>
      </c>
      <c r="L1119" s="41" t="s">
        <v>345</v>
      </c>
      <c r="M1119">
        <f t="shared" si="69"/>
        <v>139</v>
      </c>
      <c r="N1119">
        <f t="shared" si="70"/>
        <v>32</v>
      </c>
      <c r="O1119">
        <f t="shared" si="71"/>
        <v>23</v>
      </c>
      <c r="P1119">
        <f t="shared" si="72"/>
        <v>2</v>
      </c>
    </row>
    <row r="1120" spans="9:16" ht="15" customHeight="1" x14ac:dyDescent="0.25">
      <c r="I1120" s="43" t="s">
        <v>335</v>
      </c>
      <c r="J1120" s="43" t="s">
        <v>24</v>
      </c>
      <c r="K1120" s="43" t="s">
        <v>43</v>
      </c>
      <c r="L1120" s="43" t="s">
        <v>33</v>
      </c>
      <c r="M1120">
        <f t="shared" si="69"/>
        <v>139</v>
      </c>
      <c r="N1120">
        <f t="shared" si="70"/>
        <v>9</v>
      </c>
      <c r="O1120">
        <f t="shared" si="71"/>
        <v>25</v>
      </c>
      <c r="P1120">
        <f t="shared" si="72"/>
        <v>30</v>
      </c>
    </row>
    <row r="1121" spans="9:16" ht="15" customHeight="1" x14ac:dyDescent="0.25">
      <c r="I1121" s="41" t="s">
        <v>342</v>
      </c>
      <c r="J1121" s="41" t="s">
        <v>24</v>
      </c>
      <c r="K1121" s="41" t="s">
        <v>339</v>
      </c>
      <c r="L1121" s="41" t="s">
        <v>13</v>
      </c>
      <c r="M1121">
        <f t="shared" si="69"/>
        <v>134</v>
      </c>
      <c r="N1121">
        <f t="shared" si="70"/>
        <v>9</v>
      </c>
      <c r="O1121">
        <f t="shared" si="71"/>
        <v>0</v>
      </c>
      <c r="P1121">
        <f t="shared" si="72"/>
        <v>21</v>
      </c>
    </row>
    <row r="1122" spans="9:16" ht="15" customHeight="1" x14ac:dyDescent="0.25">
      <c r="I1122" s="43" t="s">
        <v>342</v>
      </c>
      <c r="J1122" s="43" t="s">
        <v>11</v>
      </c>
      <c r="K1122" s="43" t="s">
        <v>345</v>
      </c>
      <c r="L1122" s="43" t="s">
        <v>19</v>
      </c>
      <c r="M1122">
        <f t="shared" si="69"/>
        <v>134</v>
      </c>
      <c r="N1122">
        <f t="shared" si="70"/>
        <v>32</v>
      </c>
      <c r="O1122">
        <f t="shared" si="71"/>
        <v>2</v>
      </c>
      <c r="P1122">
        <f t="shared" si="72"/>
        <v>23</v>
      </c>
    </row>
    <row r="1123" spans="9:16" ht="15" customHeight="1" x14ac:dyDescent="0.25">
      <c r="I1123" s="41" t="s">
        <v>10</v>
      </c>
      <c r="J1123" s="41" t="s">
        <v>24</v>
      </c>
      <c r="K1123" s="41" t="s">
        <v>33</v>
      </c>
      <c r="L1123" s="41" t="s">
        <v>43</v>
      </c>
      <c r="M1123">
        <f t="shared" si="69"/>
        <v>143</v>
      </c>
      <c r="N1123">
        <f t="shared" si="70"/>
        <v>9</v>
      </c>
      <c r="O1123">
        <f t="shared" si="71"/>
        <v>30</v>
      </c>
      <c r="P1123">
        <f t="shared" si="72"/>
        <v>25</v>
      </c>
    </row>
    <row r="1124" spans="9:16" ht="15" customHeight="1" x14ac:dyDescent="0.25">
      <c r="I1124" s="43" t="s">
        <v>17</v>
      </c>
      <c r="J1124" s="43" t="s">
        <v>24</v>
      </c>
      <c r="K1124" s="43" t="s">
        <v>12</v>
      </c>
      <c r="L1124" s="43" t="s">
        <v>19</v>
      </c>
      <c r="M1124">
        <f t="shared" si="69"/>
        <v>141</v>
      </c>
      <c r="N1124">
        <f t="shared" si="70"/>
        <v>9</v>
      </c>
      <c r="O1124">
        <f t="shared" si="71"/>
        <v>0</v>
      </c>
      <c r="P1124">
        <f t="shared" si="72"/>
        <v>23</v>
      </c>
    </row>
    <row r="1125" spans="9:16" ht="15" customHeight="1" x14ac:dyDescent="0.25">
      <c r="I1125" s="41" t="s">
        <v>10</v>
      </c>
      <c r="J1125" s="41" t="s">
        <v>24</v>
      </c>
      <c r="K1125" s="41" t="s">
        <v>12</v>
      </c>
      <c r="L1125" s="41" t="s">
        <v>43</v>
      </c>
      <c r="M1125">
        <f t="shared" si="69"/>
        <v>143</v>
      </c>
      <c r="N1125">
        <f t="shared" si="70"/>
        <v>9</v>
      </c>
      <c r="O1125">
        <f t="shared" si="71"/>
        <v>0</v>
      </c>
      <c r="P1125">
        <f t="shared" si="72"/>
        <v>25</v>
      </c>
    </row>
    <row r="1126" spans="9:16" ht="15" customHeight="1" x14ac:dyDescent="0.25">
      <c r="I1126" s="43" t="s">
        <v>344</v>
      </c>
      <c r="J1126" s="43" t="s">
        <v>11</v>
      </c>
      <c r="K1126" s="43" t="s">
        <v>1552</v>
      </c>
      <c r="L1126" s="43" t="s">
        <v>339</v>
      </c>
      <c r="M1126">
        <f t="shared" si="69"/>
        <v>131</v>
      </c>
      <c r="N1126">
        <f t="shared" si="70"/>
        <v>32</v>
      </c>
      <c r="O1126">
        <f t="shared" si="71"/>
        <v>37</v>
      </c>
      <c r="P1126">
        <f t="shared" si="72"/>
        <v>0</v>
      </c>
    </row>
    <row r="1127" spans="9:16" ht="15" customHeight="1" x14ac:dyDescent="0.25">
      <c r="I1127" s="41" t="s">
        <v>344</v>
      </c>
      <c r="J1127" s="41" t="s">
        <v>11</v>
      </c>
      <c r="K1127" s="41" t="s">
        <v>1555</v>
      </c>
      <c r="L1127" s="41" t="s">
        <v>345</v>
      </c>
      <c r="M1127">
        <f t="shared" si="69"/>
        <v>131</v>
      </c>
      <c r="N1127">
        <f t="shared" si="70"/>
        <v>32</v>
      </c>
      <c r="O1127">
        <f t="shared" si="71"/>
        <v>41</v>
      </c>
      <c r="P1127">
        <f t="shared" si="72"/>
        <v>2</v>
      </c>
    </row>
    <row r="1128" spans="9:16" ht="15" customHeight="1" x14ac:dyDescent="0.25">
      <c r="I1128" s="43" t="s">
        <v>10</v>
      </c>
      <c r="J1128" s="43" t="s">
        <v>24</v>
      </c>
      <c r="K1128" s="43" t="s">
        <v>1557</v>
      </c>
      <c r="L1128" s="43" t="s">
        <v>33</v>
      </c>
      <c r="M1128">
        <f t="shared" si="69"/>
        <v>143</v>
      </c>
      <c r="N1128">
        <f t="shared" si="70"/>
        <v>9</v>
      </c>
      <c r="O1128">
        <f t="shared" si="71"/>
        <v>47</v>
      </c>
      <c r="P1128">
        <f t="shared" si="72"/>
        <v>30</v>
      </c>
    </row>
    <row r="1129" spans="9:16" ht="15" customHeight="1" x14ac:dyDescent="0.25">
      <c r="I1129" s="41" t="s">
        <v>17</v>
      </c>
      <c r="J1129" s="41" t="s">
        <v>24</v>
      </c>
      <c r="K1129" s="41" t="s">
        <v>1560</v>
      </c>
      <c r="L1129" s="41" t="s">
        <v>13</v>
      </c>
      <c r="M1129">
        <f t="shared" si="69"/>
        <v>141</v>
      </c>
      <c r="N1129">
        <f t="shared" si="70"/>
        <v>9</v>
      </c>
      <c r="O1129">
        <f t="shared" si="71"/>
        <v>49</v>
      </c>
      <c r="P1129">
        <f t="shared" si="72"/>
        <v>21</v>
      </c>
    </row>
    <row r="1130" spans="9:16" ht="15" customHeight="1" x14ac:dyDescent="0.25">
      <c r="I1130" s="43" t="s">
        <v>23</v>
      </c>
      <c r="J1130" s="43" t="s">
        <v>11</v>
      </c>
      <c r="K1130" s="43" t="s">
        <v>1553</v>
      </c>
      <c r="L1130" s="43" t="s">
        <v>19</v>
      </c>
      <c r="M1130">
        <f t="shared" si="69"/>
        <v>136</v>
      </c>
      <c r="N1130">
        <f t="shared" si="70"/>
        <v>32</v>
      </c>
      <c r="O1130">
        <f t="shared" si="71"/>
        <v>39</v>
      </c>
      <c r="P1130">
        <f t="shared" si="72"/>
        <v>23</v>
      </c>
    </row>
    <row r="1131" spans="9:16" ht="15" customHeight="1" x14ac:dyDescent="0.25">
      <c r="I1131" s="41" t="s">
        <v>337</v>
      </c>
      <c r="J1131" s="41" t="s">
        <v>11</v>
      </c>
      <c r="K1131" s="41" t="s">
        <v>1561</v>
      </c>
      <c r="L1131" s="41" t="s">
        <v>33</v>
      </c>
      <c r="M1131">
        <f t="shared" si="69"/>
        <v>137</v>
      </c>
      <c r="N1131">
        <f t="shared" si="70"/>
        <v>32</v>
      </c>
      <c r="O1131">
        <f t="shared" si="71"/>
        <v>51</v>
      </c>
      <c r="P1131">
        <f t="shared" si="72"/>
        <v>30</v>
      </c>
    </row>
    <row r="1132" spans="9:16" ht="15" customHeight="1" x14ac:dyDescent="0.25">
      <c r="I1132" s="43" t="s">
        <v>338</v>
      </c>
      <c r="J1132" s="43" t="s">
        <v>11</v>
      </c>
      <c r="K1132" s="43" t="s">
        <v>1560</v>
      </c>
      <c r="L1132" s="43" t="s">
        <v>13</v>
      </c>
      <c r="M1132">
        <f t="shared" si="69"/>
        <v>135</v>
      </c>
      <c r="N1132">
        <f t="shared" si="70"/>
        <v>32</v>
      </c>
      <c r="O1132">
        <f t="shared" si="71"/>
        <v>49</v>
      </c>
      <c r="P1132">
        <f t="shared" si="72"/>
        <v>21</v>
      </c>
    </row>
    <row r="1133" spans="9:16" ht="15" customHeight="1" x14ac:dyDescent="0.25">
      <c r="I1133" s="41" t="s">
        <v>335</v>
      </c>
      <c r="J1133" s="41" t="s">
        <v>24</v>
      </c>
      <c r="K1133" s="41" t="s">
        <v>1558</v>
      </c>
      <c r="L1133" s="41" t="s">
        <v>19</v>
      </c>
      <c r="M1133">
        <f t="shared" si="69"/>
        <v>139</v>
      </c>
      <c r="N1133">
        <f t="shared" si="70"/>
        <v>9</v>
      </c>
      <c r="O1133">
        <f t="shared" si="71"/>
        <v>48</v>
      </c>
      <c r="P1133">
        <f t="shared" si="72"/>
        <v>23</v>
      </c>
    </row>
    <row r="1134" spans="9:16" ht="15" customHeight="1" x14ac:dyDescent="0.25">
      <c r="I1134" s="43" t="s">
        <v>343</v>
      </c>
      <c r="J1134" s="43" t="s">
        <v>24</v>
      </c>
      <c r="K1134" s="43" t="s">
        <v>1557</v>
      </c>
      <c r="L1134" s="43" t="s">
        <v>43</v>
      </c>
      <c r="M1134">
        <f t="shared" si="69"/>
        <v>132</v>
      </c>
      <c r="N1134">
        <f t="shared" si="70"/>
        <v>9</v>
      </c>
      <c r="O1134">
        <f t="shared" si="71"/>
        <v>47</v>
      </c>
      <c r="P1134">
        <f t="shared" si="72"/>
        <v>25</v>
      </c>
    </row>
    <row r="1135" spans="9:16" ht="15" customHeight="1" x14ac:dyDescent="0.25">
      <c r="I1135" s="41" t="s">
        <v>340</v>
      </c>
      <c r="J1135" s="41" t="s">
        <v>24</v>
      </c>
      <c r="K1135" s="41" t="s">
        <v>1559</v>
      </c>
      <c r="L1135" s="41" t="s">
        <v>339</v>
      </c>
      <c r="M1135">
        <f t="shared" si="69"/>
        <v>129</v>
      </c>
      <c r="N1135">
        <f t="shared" si="70"/>
        <v>9</v>
      </c>
      <c r="O1135">
        <f t="shared" si="71"/>
        <v>43</v>
      </c>
      <c r="P1135">
        <f t="shared" si="72"/>
        <v>0</v>
      </c>
    </row>
    <row r="1136" spans="9:16" ht="15" customHeight="1" x14ac:dyDescent="0.25">
      <c r="I1136" s="43" t="s">
        <v>342</v>
      </c>
      <c r="J1136" s="43" t="s">
        <v>11</v>
      </c>
      <c r="K1136" s="43" t="s">
        <v>1556</v>
      </c>
      <c r="L1136" s="43" t="s">
        <v>345</v>
      </c>
      <c r="M1136">
        <f t="shared" si="69"/>
        <v>134</v>
      </c>
      <c r="N1136">
        <f t="shared" si="70"/>
        <v>32</v>
      </c>
      <c r="O1136">
        <f t="shared" si="71"/>
        <v>42</v>
      </c>
      <c r="P1136">
        <f t="shared" si="72"/>
        <v>2</v>
      </c>
    </row>
    <row r="1137" spans="9:16" ht="15" customHeight="1" x14ac:dyDescent="0.25">
      <c r="I1137" s="41" t="s">
        <v>23</v>
      </c>
      <c r="J1137" s="41" t="s">
        <v>24</v>
      </c>
      <c r="K1137" s="41" t="s">
        <v>1555</v>
      </c>
      <c r="L1137" s="41" t="s">
        <v>33</v>
      </c>
      <c r="M1137">
        <f t="shared" si="69"/>
        <v>136</v>
      </c>
      <c r="N1137">
        <f t="shared" si="70"/>
        <v>9</v>
      </c>
      <c r="O1137">
        <f t="shared" si="71"/>
        <v>41</v>
      </c>
      <c r="P1137">
        <f t="shared" si="72"/>
        <v>30</v>
      </c>
    </row>
    <row r="1138" spans="9:16" ht="15" customHeight="1" x14ac:dyDescent="0.25">
      <c r="I1138" s="43" t="s">
        <v>17</v>
      </c>
      <c r="J1138" s="43" t="s">
        <v>11</v>
      </c>
      <c r="K1138" s="43" t="s">
        <v>1554</v>
      </c>
      <c r="L1138" s="43" t="s">
        <v>13</v>
      </c>
      <c r="M1138">
        <f t="shared" si="69"/>
        <v>141</v>
      </c>
      <c r="N1138">
        <f t="shared" si="70"/>
        <v>32</v>
      </c>
      <c r="O1138">
        <f t="shared" si="71"/>
        <v>38</v>
      </c>
      <c r="P1138">
        <f t="shared" si="72"/>
        <v>21</v>
      </c>
    </row>
    <row r="1139" spans="9:16" ht="15" customHeight="1" x14ac:dyDescent="0.25">
      <c r="I1139" s="41" t="s">
        <v>10</v>
      </c>
      <c r="J1139" s="41" t="s">
        <v>11</v>
      </c>
      <c r="K1139" s="41" t="s">
        <v>1553</v>
      </c>
      <c r="L1139" s="41" t="s">
        <v>19</v>
      </c>
      <c r="M1139">
        <f t="shared" si="69"/>
        <v>143</v>
      </c>
      <c r="N1139">
        <f t="shared" si="70"/>
        <v>32</v>
      </c>
      <c r="O1139">
        <f t="shared" si="71"/>
        <v>39</v>
      </c>
      <c r="P1139">
        <f t="shared" si="72"/>
        <v>23</v>
      </c>
    </row>
    <row r="1140" spans="9:16" ht="15" customHeight="1" x14ac:dyDescent="0.25">
      <c r="I1140" s="43" t="s">
        <v>344</v>
      </c>
      <c r="J1140" s="43" t="s">
        <v>11</v>
      </c>
      <c r="K1140" s="43" t="s">
        <v>1552</v>
      </c>
      <c r="L1140" s="43" t="s">
        <v>43</v>
      </c>
      <c r="M1140">
        <f t="shared" si="69"/>
        <v>131</v>
      </c>
      <c r="N1140">
        <f t="shared" si="70"/>
        <v>32</v>
      </c>
      <c r="O1140">
        <f t="shared" si="71"/>
        <v>37</v>
      </c>
      <c r="P1140">
        <f t="shared" si="72"/>
        <v>25</v>
      </c>
    </row>
    <row r="1141" spans="9:16" ht="15" customHeight="1" x14ac:dyDescent="0.25">
      <c r="I1141" s="41" t="s">
        <v>344</v>
      </c>
      <c r="J1141" s="41" t="s">
        <v>24</v>
      </c>
      <c r="K1141" s="41" t="s">
        <v>12</v>
      </c>
      <c r="L1141" s="41" t="s">
        <v>339</v>
      </c>
      <c r="M1141">
        <f t="shared" si="69"/>
        <v>131</v>
      </c>
      <c r="N1141">
        <f t="shared" si="70"/>
        <v>9</v>
      </c>
      <c r="O1141">
        <f t="shared" si="71"/>
        <v>0</v>
      </c>
      <c r="P1141">
        <f t="shared" si="72"/>
        <v>0</v>
      </c>
    </row>
    <row r="1142" spans="9:16" ht="15" customHeight="1" x14ac:dyDescent="0.25">
      <c r="I1142" s="43" t="s">
        <v>10</v>
      </c>
      <c r="J1142" s="43" t="s">
        <v>24</v>
      </c>
      <c r="K1142" s="43" t="s">
        <v>12</v>
      </c>
      <c r="L1142" s="43" t="s">
        <v>345</v>
      </c>
      <c r="M1142">
        <f t="shared" si="69"/>
        <v>143</v>
      </c>
      <c r="N1142">
        <f t="shared" si="70"/>
        <v>9</v>
      </c>
      <c r="O1142">
        <f t="shared" si="71"/>
        <v>0</v>
      </c>
      <c r="P1142">
        <f t="shared" si="72"/>
        <v>2</v>
      </c>
    </row>
    <row r="1143" spans="9:16" ht="15" customHeight="1" x14ac:dyDescent="0.25">
      <c r="I1143" s="41" t="s">
        <v>17</v>
      </c>
      <c r="J1143" s="41" t="s">
        <v>24</v>
      </c>
      <c r="K1143" s="41" t="s">
        <v>1552</v>
      </c>
      <c r="L1143" s="41" t="s">
        <v>33</v>
      </c>
      <c r="M1143">
        <f t="shared" si="69"/>
        <v>141</v>
      </c>
      <c r="N1143">
        <f t="shared" si="70"/>
        <v>9</v>
      </c>
      <c r="O1143">
        <f t="shared" si="71"/>
        <v>37</v>
      </c>
      <c r="P1143">
        <f t="shared" si="72"/>
        <v>30</v>
      </c>
    </row>
    <row r="1144" spans="9:16" ht="15" customHeight="1" x14ac:dyDescent="0.25">
      <c r="I1144" s="43" t="s">
        <v>23</v>
      </c>
      <c r="J1144" s="43" t="s">
        <v>24</v>
      </c>
      <c r="K1144" s="43" t="s">
        <v>1555</v>
      </c>
      <c r="L1144" s="43" t="s">
        <v>13</v>
      </c>
      <c r="M1144">
        <f t="shared" ref="M1144:M1207" si="73">_xlfn.XLOOKUP(I1144,$C$9:$C$37,$D$9:$D$37,2,0)</f>
        <v>136</v>
      </c>
      <c r="N1144">
        <f t="shared" ref="N1144:N1207" si="74">_xlfn.XLOOKUP(J1144,$C$9:$C$37,$D$9:$D$37,2,0)</f>
        <v>9</v>
      </c>
      <c r="O1144">
        <f t="shared" ref="O1144:O1207" si="75">_xlfn.XLOOKUP(K1144,$C$9:$C$37,$D$9:$D$37,2,0)</f>
        <v>41</v>
      </c>
      <c r="P1144">
        <f t="shared" ref="P1144:P1207" si="76">_xlfn.XLOOKUP(L1144,$C$9:$C$37,$D$9:$D$37,2,0)</f>
        <v>21</v>
      </c>
    </row>
    <row r="1145" spans="9:16" ht="15" customHeight="1" x14ac:dyDescent="0.25">
      <c r="I1145" s="41" t="s">
        <v>342</v>
      </c>
      <c r="J1145" s="41" t="s">
        <v>24</v>
      </c>
      <c r="K1145" s="41" t="s">
        <v>1557</v>
      </c>
      <c r="L1145" s="41" t="s">
        <v>19</v>
      </c>
      <c r="M1145">
        <f t="shared" si="73"/>
        <v>134</v>
      </c>
      <c r="N1145">
        <f t="shared" si="74"/>
        <v>9</v>
      </c>
      <c r="O1145">
        <f t="shared" si="75"/>
        <v>47</v>
      </c>
      <c r="P1145">
        <f t="shared" si="76"/>
        <v>23</v>
      </c>
    </row>
    <row r="1146" spans="9:16" ht="15" customHeight="1" x14ac:dyDescent="0.25">
      <c r="I1146" s="43" t="s">
        <v>340</v>
      </c>
      <c r="J1146" s="43" t="s">
        <v>24</v>
      </c>
      <c r="K1146" s="43" t="s">
        <v>1560</v>
      </c>
      <c r="L1146" s="43" t="s">
        <v>43</v>
      </c>
      <c r="M1146">
        <f t="shared" si="73"/>
        <v>129</v>
      </c>
      <c r="N1146">
        <f t="shared" si="74"/>
        <v>9</v>
      </c>
      <c r="O1146">
        <f t="shared" si="75"/>
        <v>49</v>
      </c>
      <c r="P1146">
        <f t="shared" si="76"/>
        <v>25</v>
      </c>
    </row>
    <row r="1147" spans="9:16" ht="15" customHeight="1" x14ac:dyDescent="0.25">
      <c r="I1147" s="41" t="s">
        <v>343</v>
      </c>
      <c r="J1147" s="41" t="s">
        <v>11</v>
      </c>
      <c r="K1147" s="41" t="s">
        <v>1553</v>
      </c>
      <c r="L1147" s="41" t="s">
        <v>339</v>
      </c>
      <c r="M1147">
        <f t="shared" si="73"/>
        <v>132</v>
      </c>
      <c r="N1147">
        <f t="shared" si="74"/>
        <v>32</v>
      </c>
      <c r="O1147">
        <f t="shared" si="75"/>
        <v>39</v>
      </c>
      <c r="P1147">
        <f t="shared" si="76"/>
        <v>0</v>
      </c>
    </row>
    <row r="1148" spans="9:16" ht="15" customHeight="1" x14ac:dyDescent="0.25">
      <c r="I1148" s="43" t="s">
        <v>335</v>
      </c>
      <c r="J1148" s="43" t="s">
        <v>11</v>
      </c>
      <c r="K1148" s="43" t="s">
        <v>1556</v>
      </c>
      <c r="L1148" s="43" t="s">
        <v>345</v>
      </c>
      <c r="M1148">
        <f t="shared" si="73"/>
        <v>139</v>
      </c>
      <c r="N1148">
        <f t="shared" si="74"/>
        <v>32</v>
      </c>
      <c r="O1148">
        <f t="shared" si="75"/>
        <v>42</v>
      </c>
      <c r="P1148">
        <f t="shared" si="76"/>
        <v>2</v>
      </c>
    </row>
    <row r="1149" spans="9:16" ht="15" customHeight="1" x14ac:dyDescent="0.25">
      <c r="I1149" s="41" t="s">
        <v>338</v>
      </c>
      <c r="J1149" s="41" t="s">
        <v>24</v>
      </c>
      <c r="K1149" s="41" t="s">
        <v>1558</v>
      </c>
      <c r="L1149" s="41" t="s">
        <v>33</v>
      </c>
      <c r="M1149">
        <f t="shared" si="73"/>
        <v>135</v>
      </c>
      <c r="N1149">
        <f t="shared" si="74"/>
        <v>9</v>
      </c>
      <c r="O1149">
        <f t="shared" si="75"/>
        <v>48</v>
      </c>
      <c r="P1149">
        <f t="shared" si="76"/>
        <v>30</v>
      </c>
    </row>
    <row r="1150" spans="9:16" ht="15" customHeight="1" x14ac:dyDescent="0.25">
      <c r="I1150" s="43" t="s">
        <v>337</v>
      </c>
      <c r="J1150" s="43" t="s">
        <v>24</v>
      </c>
      <c r="K1150" s="43" t="s">
        <v>1561</v>
      </c>
      <c r="L1150" s="43" t="s">
        <v>13</v>
      </c>
      <c r="M1150">
        <f t="shared" si="73"/>
        <v>137</v>
      </c>
      <c r="N1150">
        <f t="shared" si="74"/>
        <v>9</v>
      </c>
      <c r="O1150">
        <f t="shared" si="75"/>
        <v>51</v>
      </c>
      <c r="P1150">
        <f t="shared" si="76"/>
        <v>21</v>
      </c>
    </row>
    <row r="1151" spans="9:16" ht="15" customHeight="1" x14ac:dyDescent="0.25">
      <c r="I1151" s="41" t="s">
        <v>343</v>
      </c>
      <c r="J1151" s="41" t="s">
        <v>11</v>
      </c>
      <c r="K1151" s="41" t="s">
        <v>1554</v>
      </c>
      <c r="L1151" s="41" t="s">
        <v>19</v>
      </c>
      <c r="M1151">
        <f t="shared" si="73"/>
        <v>132</v>
      </c>
      <c r="N1151">
        <f t="shared" si="74"/>
        <v>32</v>
      </c>
      <c r="O1151">
        <f t="shared" si="75"/>
        <v>38</v>
      </c>
      <c r="P1151">
        <f t="shared" si="76"/>
        <v>23</v>
      </c>
    </row>
    <row r="1152" spans="9:16" ht="15" customHeight="1" x14ac:dyDescent="0.25">
      <c r="I1152" s="43" t="s">
        <v>340</v>
      </c>
      <c r="J1152" s="43" t="s">
        <v>11</v>
      </c>
      <c r="K1152" s="43" t="s">
        <v>1559</v>
      </c>
      <c r="L1152" s="43" t="s">
        <v>43</v>
      </c>
      <c r="M1152">
        <f t="shared" si="73"/>
        <v>129</v>
      </c>
      <c r="N1152">
        <f t="shared" si="74"/>
        <v>32</v>
      </c>
      <c r="O1152">
        <f t="shared" si="75"/>
        <v>43</v>
      </c>
      <c r="P1152">
        <f t="shared" si="76"/>
        <v>25</v>
      </c>
    </row>
    <row r="1153" spans="9:16" ht="15" customHeight="1" x14ac:dyDescent="0.25">
      <c r="I1153" s="41" t="s">
        <v>10</v>
      </c>
      <c r="J1153" s="41" t="s">
        <v>11</v>
      </c>
      <c r="K1153" s="41" t="s">
        <v>1554</v>
      </c>
      <c r="L1153" s="41" t="s">
        <v>339</v>
      </c>
      <c r="M1153">
        <f t="shared" si="73"/>
        <v>143</v>
      </c>
      <c r="N1153">
        <f t="shared" si="74"/>
        <v>32</v>
      </c>
      <c r="O1153">
        <f t="shared" si="75"/>
        <v>38</v>
      </c>
      <c r="P1153">
        <f t="shared" si="76"/>
        <v>0</v>
      </c>
    </row>
    <row r="1154" spans="9:16" ht="15" customHeight="1" x14ac:dyDescent="0.25">
      <c r="I1154" s="43" t="s">
        <v>344</v>
      </c>
      <c r="J1154" s="43" t="s">
        <v>24</v>
      </c>
      <c r="K1154" s="43" t="s">
        <v>1559</v>
      </c>
      <c r="L1154" s="43" t="s">
        <v>345</v>
      </c>
      <c r="M1154">
        <f t="shared" si="73"/>
        <v>131</v>
      </c>
      <c r="N1154">
        <f t="shared" si="74"/>
        <v>9</v>
      </c>
      <c r="O1154">
        <f t="shared" si="75"/>
        <v>43</v>
      </c>
      <c r="P1154">
        <f t="shared" si="76"/>
        <v>2</v>
      </c>
    </row>
    <row r="1155" spans="9:16" ht="15" customHeight="1" x14ac:dyDescent="0.25">
      <c r="I1155" s="41" t="s">
        <v>338</v>
      </c>
      <c r="J1155" s="41" t="s">
        <v>11</v>
      </c>
      <c r="K1155" s="41" t="s">
        <v>1553</v>
      </c>
      <c r="L1155" s="41" t="s">
        <v>33</v>
      </c>
      <c r="M1155">
        <f t="shared" si="73"/>
        <v>135</v>
      </c>
      <c r="N1155">
        <f t="shared" si="74"/>
        <v>32</v>
      </c>
      <c r="O1155">
        <f t="shared" si="75"/>
        <v>39</v>
      </c>
      <c r="P1155">
        <f t="shared" si="76"/>
        <v>30</v>
      </c>
    </row>
    <row r="1156" spans="9:16" ht="15" customHeight="1" x14ac:dyDescent="0.25">
      <c r="I1156" s="43" t="s">
        <v>23</v>
      </c>
      <c r="J1156" s="43" t="s">
        <v>11</v>
      </c>
      <c r="K1156" s="43" t="s">
        <v>1556</v>
      </c>
      <c r="L1156" s="43" t="s">
        <v>13</v>
      </c>
      <c r="M1156">
        <f t="shared" si="73"/>
        <v>136</v>
      </c>
      <c r="N1156">
        <f t="shared" si="74"/>
        <v>32</v>
      </c>
      <c r="O1156">
        <f t="shared" si="75"/>
        <v>42</v>
      </c>
      <c r="P1156">
        <f t="shared" si="76"/>
        <v>21</v>
      </c>
    </row>
    <row r="1157" spans="9:16" ht="15" customHeight="1" x14ac:dyDescent="0.25">
      <c r="I1157" s="41" t="s">
        <v>17</v>
      </c>
      <c r="J1157" s="41" t="s">
        <v>24</v>
      </c>
      <c r="K1157" s="41" t="s">
        <v>1558</v>
      </c>
      <c r="L1157" s="41" t="s">
        <v>19</v>
      </c>
      <c r="M1157">
        <f t="shared" si="73"/>
        <v>141</v>
      </c>
      <c r="N1157">
        <f t="shared" si="74"/>
        <v>9</v>
      </c>
      <c r="O1157">
        <f t="shared" si="75"/>
        <v>48</v>
      </c>
      <c r="P1157">
        <f t="shared" si="76"/>
        <v>23</v>
      </c>
    </row>
    <row r="1158" spans="9:16" ht="15" customHeight="1" x14ac:dyDescent="0.25">
      <c r="I1158" s="43" t="s">
        <v>10</v>
      </c>
      <c r="J1158" s="43" t="s">
        <v>11</v>
      </c>
      <c r="K1158" s="43" t="s">
        <v>1561</v>
      </c>
      <c r="L1158" s="43" t="s">
        <v>43</v>
      </c>
      <c r="M1158">
        <f t="shared" si="73"/>
        <v>143</v>
      </c>
      <c r="N1158">
        <f t="shared" si="74"/>
        <v>32</v>
      </c>
      <c r="O1158">
        <f t="shared" si="75"/>
        <v>51</v>
      </c>
      <c r="P1158">
        <f t="shared" si="76"/>
        <v>25</v>
      </c>
    </row>
    <row r="1159" spans="9:16" ht="15" customHeight="1" x14ac:dyDescent="0.25">
      <c r="I1159" s="41" t="s">
        <v>337</v>
      </c>
      <c r="J1159" s="41" t="s">
        <v>24</v>
      </c>
      <c r="K1159" s="41" t="s">
        <v>1552</v>
      </c>
      <c r="L1159" s="41" t="s">
        <v>339</v>
      </c>
      <c r="M1159">
        <f t="shared" si="73"/>
        <v>137</v>
      </c>
      <c r="N1159">
        <f t="shared" si="74"/>
        <v>9</v>
      </c>
      <c r="O1159">
        <f t="shared" si="75"/>
        <v>37</v>
      </c>
      <c r="P1159">
        <f t="shared" si="76"/>
        <v>0</v>
      </c>
    </row>
    <row r="1160" spans="9:16" ht="15" customHeight="1" x14ac:dyDescent="0.25">
      <c r="I1160" s="43" t="s">
        <v>338</v>
      </c>
      <c r="J1160" s="43" t="s">
        <v>11</v>
      </c>
      <c r="K1160" s="43" t="s">
        <v>1555</v>
      </c>
      <c r="L1160" s="43" t="s">
        <v>345</v>
      </c>
      <c r="M1160">
        <f t="shared" si="73"/>
        <v>135</v>
      </c>
      <c r="N1160">
        <f t="shared" si="74"/>
        <v>32</v>
      </c>
      <c r="O1160">
        <f t="shared" si="75"/>
        <v>41</v>
      </c>
      <c r="P1160">
        <f t="shared" si="76"/>
        <v>2</v>
      </c>
    </row>
    <row r="1161" spans="9:16" ht="15" customHeight="1" x14ac:dyDescent="0.25">
      <c r="I1161" s="41" t="s">
        <v>338</v>
      </c>
      <c r="J1161" s="41" t="s">
        <v>24</v>
      </c>
      <c r="K1161" s="41" t="s">
        <v>1557</v>
      </c>
      <c r="L1161" s="41" t="s">
        <v>33</v>
      </c>
      <c r="M1161">
        <f t="shared" si="73"/>
        <v>135</v>
      </c>
      <c r="N1161">
        <f t="shared" si="74"/>
        <v>9</v>
      </c>
      <c r="O1161">
        <f t="shared" si="75"/>
        <v>47</v>
      </c>
      <c r="P1161">
        <f t="shared" si="76"/>
        <v>30</v>
      </c>
    </row>
    <row r="1162" spans="9:16" ht="15" customHeight="1" x14ac:dyDescent="0.25">
      <c r="I1162" s="43" t="s">
        <v>335</v>
      </c>
      <c r="J1162" s="43" t="s">
        <v>11</v>
      </c>
      <c r="K1162" s="43" t="s">
        <v>1560</v>
      </c>
      <c r="L1162" s="43" t="s">
        <v>13</v>
      </c>
      <c r="M1162">
        <f t="shared" si="73"/>
        <v>139</v>
      </c>
      <c r="N1162">
        <f t="shared" si="74"/>
        <v>32</v>
      </c>
      <c r="O1162">
        <f t="shared" si="75"/>
        <v>49</v>
      </c>
      <c r="P1162">
        <f t="shared" si="76"/>
        <v>21</v>
      </c>
    </row>
    <row r="1163" spans="9:16" ht="15" customHeight="1" x14ac:dyDescent="0.25">
      <c r="I1163" s="41" t="s">
        <v>335</v>
      </c>
      <c r="J1163" s="41" t="s">
        <v>24</v>
      </c>
      <c r="K1163" s="41" t="s">
        <v>12</v>
      </c>
      <c r="L1163" s="41" t="s">
        <v>19</v>
      </c>
      <c r="M1163">
        <f t="shared" si="73"/>
        <v>139</v>
      </c>
      <c r="N1163">
        <f t="shared" si="74"/>
        <v>9</v>
      </c>
      <c r="O1163">
        <f t="shared" si="75"/>
        <v>0</v>
      </c>
      <c r="P1163">
        <f t="shared" si="76"/>
        <v>23</v>
      </c>
    </row>
    <row r="1164" spans="9:16" ht="15" customHeight="1" x14ac:dyDescent="0.25">
      <c r="I1164" s="43" t="s">
        <v>342</v>
      </c>
      <c r="J1164" s="43" t="s">
        <v>24</v>
      </c>
      <c r="K1164" s="43" t="s">
        <v>12</v>
      </c>
      <c r="L1164" s="43" t="s">
        <v>43</v>
      </c>
      <c r="M1164">
        <f t="shared" si="73"/>
        <v>134</v>
      </c>
      <c r="N1164">
        <f t="shared" si="74"/>
        <v>9</v>
      </c>
      <c r="O1164">
        <f t="shared" si="75"/>
        <v>0</v>
      </c>
      <c r="P1164">
        <f t="shared" si="76"/>
        <v>25</v>
      </c>
    </row>
    <row r="1165" spans="9:16" ht="15" customHeight="1" x14ac:dyDescent="0.25">
      <c r="I1165" s="41" t="s">
        <v>342</v>
      </c>
      <c r="J1165" s="41" t="s">
        <v>24</v>
      </c>
      <c r="K1165" s="41" t="s">
        <v>1552</v>
      </c>
      <c r="L1165" s="41" t="s">
        <v>339</v>
      </c>
      <c r="M1165">
        <f t="shared" si="73"/>
        <v>134</v>
      </c>
      <c r="N1165">
        <f t="shared" si="74"/>
        <v>9</v>
      </c>
      <c r="O1165">
        <f t="shared" si="75"/>
        <v>37</v>
      </c>
      <c r="P1165">
        <f t="shared" si="76"/>
        <v>0</v>
      </c>
    </row>
    <row r="1166" spans="9:16" ht="15" customHeight="1" x14ac:dyDescent="0.25">
      <c r="I1166" s="43" t="s">
        <v>10</v>
      </c>
      <c r="J1166" s="43" t="s">
        <v>11</v>
      </c>
      <c r="K1166" s="43" t="s">
        <v>1553</v>
      </c>
      <c r="L1166" s="43" t="s">
        <v>345</v>
      </c>
      <c r="M1166">
        <f t="shared" si="73"/>
        <v>143</v>
      </c>
      <c r="N1166">
        <f t="shared" si="74"/>
        <v>32</v>
      </c>
      <c r="O1166">
        <f t="shared" si="75"/>
        <v>39</v>
      </c>
      <c r="P1166">
        <f t="shared" si="76"/>
        <v>2</v>
      </c>
    </row>
    <row r="1167" spans="9:16" ht="15" customHeight="1" x14ac:dyDescent="0.25">
      <c r="I1167" s="41" t="s">
        <v>17</v>
      </c>
      <c r="J1167" s="41" t="s">
        <v>24</v>
      </c>
      <c r="K1167" s="41" t="s">
        <v>1554</v>
      </c>
      <c r="L1167" s="41" t="s">
        <v>33</v>
      </c>
      <c r="M1167">
        <f t="shared" si="73"/>
        <v>141</v>
      </c>
      <c r="N1167">
        <f t="shared" si="74"/>
        <v>9</v>
      </c>
      <c r="O1167">
        <f t="shared" si="75"/>
        <v>38</v>
      </c>
      <c r="P1167">
        <f t="shared" si="76"/>
        <v>30</v>
      </c>
    </row>
    <row r="1168" spans="9:16" ht="15" customHeight="1" x14ac:dyDescent="0.25">
      <c r="I1168" s="43" t="s">
        <v>10</v>
      </c>
      <c r="J1168" s="43" t="s">
        <v>11</v>
      </c>
      <c r="K1168" s="43" t="s">
        <v>1555</v>
      </c>
      <c r="L1168" s="43" t="s">
        <v>13</v>
      </c>
      <c r="M1168">
        <f t="shared" si="73"/>
        <v>143</v>
      </c>
      <c r="N1168">
        <f t="shared" si="74"/>
        <v>32</v>
      </c>
      <c r="O1168">
        <f t="shared" si="75"/>
        <v>41</v>
      </c>
      <c r="P1168">
        <f t="shared" si="76"/>
        <v>21</v>
      </c>
    </row>
    <row r="1169" spans="9:16" ht="15" customHeight="1" x14ac:dyDescent="0.25">
      <c r="I1169" s="41" t="s">
        <v>23</v>
      </c>
      <c r="J1169" s="41" t="s">
        <v>24</v>
      </c>
      <c r="K1169" s="41" t="s">
        <v>1556</v>
      </c>
      <c r="L1169" s="41" t="s">
        <v>19</v>
      </c>
      <c r="M1169">
        <f t="shared" si="73"/>
        <v>136</v>
      </c>
      <c r="N1169">
        <f t="shared" si="74"/>
        <v>9</v>
      </c>
      <c r="O1169">
        <f t="shared" si="75"/>
        <v>42</v>
      </c>
      <c r="P1169">
        <f t="shared" si="76"/>
        <v>23</v>
      </c>
    </row>
    <row r="1170" spans="9:16" ht="15" customHeight="1" x14ac:dyDescent="0.25">
      <c r="I1170" s="43" t="s">
        <v>17</v>
      </c>
      <c r="J1170" s="43" t="s">
        <v>11</v>
      </c>
      <c r="K1170" s="43" t="s">
        <v>1559</v>
      </c>
      <c r="L1170" s="43" t="s">
        <v>43</v>
      </c>
      <c r="M1170">
        <f t="shared" si="73"/>
        <v>141</v>
      </c>
      <c r="N1170">
        <f t="shared" si="74"/>
        <v>32</v>
      </c>
      <c r="O1170">
        <f t="shared" si="75"/>
        <v>43</v>
      </c>
      <c r="P1170">
        <f t="shared" si="76"/>
        <v>25</v>
      </c>
    </row>
    <row r="1171" spans="9:16" ht="15" customHeight="1" x14ac:dyDescent="0.25">
      <c r="I1171" s="41" t="s">
        <v>337</v>
      </c>
      <c r="J1171" s="41" t="s">
        <v>24</v>
      </c>
      <c r="K1171" s="41" t="s">
        <v>1557</v>
      </c>
      <c r="L1171" s="41" t="s">
        <v>339</v>
      </c>
      <c r="M1171">
        <f t="shared" si="73"/>
        <v>137</v>
      </c>
      <c r="N1171">
        <f t="shared" si="74"/>
        <v>9</v>
      </c>
      <c r="O1171">
        <f t="shared" si="75"/>
        <v>47</v>
      </c>
      <c r="P1171">
        <f t="shared" si="76"/>
        <v>0</v>
      </c>
    </row>
    <row r="1172" spans="9:16" ht="15" customHeight="1" x14ac:dyDescent="0.25">
      <c r="I1172" s="43" t="s">
        <v>338</v>
      </c>
      <c r="J1172" s="43" t="s">
        <v>11</v>
      </c>
      <c r="K1172" s="43" t="s">
        <v>1558</v>
      </c>
      <c r="L1172" s="43" t="s">
        <v>345</v>
      </c>
      <c r="M1172">
        <f t="shared" si="73"/>
        <v>135</v>
      </c>
      <c r="N1172">
        <f t="shared" si="74"/>
        <v>32</v>
      </c>
      <c r="O1172">
        <f t="shared" si="75"/>
        <v>48</v>
      </c>
      <c r="P1172">
        <f t="shared" si="76"/>
        <v>2</v>
      </c>
    </row>
    <row r="1173" spans="9:16" ht="15" customHeight="1" x14ac:dyDescent="0.25">
      <c r="I1173" s="41" t="s">
        <v>335</v>
      </c>
      <c r="J1173" s="41" t="s">
        <v>11</v>
      </c>
      <c r="K1173" s="41" t="s">
        <v>1560</v>
      </c>
      <c r="L1173" s="41" t="s">
        <v>33</v>
      </c>
      <c r="M1173">
        <f t="shared" si="73"/>
        <v>139</v>
      </c>
      <c r="N1173">
        <f t="shared" si="74"/>
        <v>32</v>
      </c>
      <c r="O1173">
        <f t="shared" si="75"/>
        <v>49</v>
      </c>
      <c r="P1173">
        <f t="shared" si="76"/>
        <v>30</v>
      </c>
    </row>
    <row r="1174" spans="9:16" ht="15" customHeight="1" x14ac:dyDescent="0.25">
      <c r="I1174" s="43" t="s">
        <v>342</v>
      </c>
      <c r="J1174" s="43" t="s">
        <v>24</v>
      </c>
      <c r="K1174" s="43" t="s">
        <v>1561</v>
      </c>
      <c r="L1174" s="43" t="s">
        <v>13</v>
      </c>
      <c r="M1174">
        <f t="shared" si="73"/>
        <v>134</v>
      </c>
      <c r="N1174">
        <f t="shared" si="74"/>
        <v>9</v>
      </c>
      <c r="O1174">
        <f t="shared" si="75"/>
        <v>51</v>
      </c>
      <c r="P1174">
        <f t="shared" si="76"/>
        <v>21</v>
      </c>
    </row>
    <row r="1175" spans="9:16" ht="15" customHeight="1" x14ac:dyDescent="0.25">
      <c r="I1175" s="41" t="s">
        <v>23</v>
      </c>
      <c r="J1175" s="41" t="s">
        <v>11</v>
      </c>
      <c r="K1175" s="41" t="s">
        <v>1561</v>
      </c>
      <c r="L1175" s="41" t="s">
        <v>19</v>
      </c>
      <c r="M1175">
        <f t="shared" si="73"/>
        <v>136</v>
      </c>
      <c r="N1175">
        <f t="shared" si="74"/>
        <v>32</v>
      </c>
      <c r="O1175">
        <f t="shared" si="75"/>
        <v>51</v>
      </c>
      <c r="P1175">
        <f t="shared" si="76"/>
        <v>23</v>
      </c>
    </row>
    <row r="1176" spans="9:16" ht="15" customHeight="1" x14ac:dyDescent="0.25">
      <c r="I1176" s="43" t="s">
        <v>17</v>
      </c>
      <c r="J1176" s="43" t="s">
        <v>24</v>
      </c>
      <c r="K1176" s="43" t="s">
        <v>1560</v>
      </c>
      <c r="L1176" s="43" t="s">
        <v>43</v>
      </c>
      <c r="M1176">
        <f t="shared" si="73"/>
        <v>141</v>
      </c>
      <c r="N1176">
        <f t="shared" si="74"/>
        <v>9</v>
      </c>
      <c r="O1176">
        <f t="shared" si="75"/>
        <v>49</v>
      </c>
      <c r="P1176">
        <f t="shared" si="76"/>
        <v>25</v>
      </c>
    </row>
    <row r="1177" spans="9:16" ht="15" customHeight="1" x14ac:dyDescent="0.25">
      <c r="I1177" s="41" t="s">
        <v>10</v>
      </c>
      <c r="J1177" s="41" t="s">
        <v>24</v>
      </c>
      <c r="K1177" s="41" t="s">
        <v>1558</v>
      </c>
      <c r="L1177" s="41" t="s">
        <v>339</v>
      </c>
      <c r="M1177">
        <f t="shared" si="73"/>
        <v>143</v>
      </c>
      <c r="N1177">
        <f t="shared" si="74"/>
        <v>9</v>
      </c>
      <c r="O1177">
        <f t="shared" si="75"/>
        <v>48</v>
      </c>
      <c r="P1177">
        <f t="shared" si="76"/>
        <v>0</v>
      </c>
    </row>
    <row r="1178" spans="9:16" ht="15" customHeight="1" x14ac:dyDescent="0.25">
      <c r="I1178" s="43" t="s">
        <v>343</v>
      </c>
      <c r="J1178" s="43" t="s">
        <v>11</v>
      </c>
      <c r="K1178" s="43" t="s">
        <v>1557</v>
      </c>
      <c r="L1178" s="43" t="s">
        <v>345</v>
      </c>
      <c r="M1178">
        <f t="shared" si="73"/>
        <v>132</v>
      </c>
      <c r="N1178">
        <f t="shared" si="74"/>
        <v>32</v>
      </c>
      <c r="O1178">
        <f t="shared" si="75"/>
        <v>47</v>
      </c>
      <c r="P1178">
        <f t="shared" si="76"/>
        <v>2</v>
      </c>
    </row>
    <row r="1179" spans="9:16" ht="15" customHeight="1" x14ac:dyDescent="0.25">
      <c r="I1179" s="41" t="s">
        <v>340</v>
      </c>
      <c r="J1179" s="41" t="s">
        <v>11</v>
      </c>
      <c r="K1179" s="41" t="s">
        <v>1559</v>
      </c>
      <c r="L1179" s="41" t="s">
        <v>33</v>
      </c>
      <c r="M1179">
        <f t="shared" si="73"/>
        <v>129</v>
      </c>
      <c r="N1179">
        <f t="shared" si="74"/>
        <v>32</v>
      </c>
      <c r="O1179">
        <f t="shared" si="75"/>
        <v>43</v>
      </c>
      <c r="P1179">
        <f t="shared" si="76"/>
        <v>30</v>
      </c>
    </row>
    <row r="1180" spans="9:16" ht="15" customHeight="1" x14ac:dyDescent="0.25">
      <c r="I1180" s="43" t="s">
        <v>344</v>
      </c>
      <c r="J1180" s="43" t="s">
        <v>11</v>
      </c>
      <c r="K1180" s="43" t="s">
        <v>1556</v>
      </c>
      <c r="L1180" s="43" t="s">
        <v>13</v>
      </c>
      <c r="M1180">
        <f t="shared" si="73"/>
        <v>131</v>
      </c>
      <c r="N1180">
        <f t="shared" si="74"/>
        <v>32</v>
      </c>
      <c r="O1180">
        <f t="shared" si="75"/>
        <v>42</v>
      </c>
      <c r="P1180">
        <f t="shared" si="76"/>
        <v>21</v>
      </c>
    </row>
    <row r="1181" spans="9:16" ht="15" customHeight="1" x14ac:dyDescent="0.25">
      <c r="I1181" s="41" t="s">
        <v>335</v>
      </c>
      <c r="J1181" s="41" t="s">
        <v>11</v>
      </c>
      <c r="K1181" s="41" t="s">
        <v>1555</v>
      </c>
      <c r="L1181" s="41" t="s">
        <v>19</v>
      </c>
      <c r="M1181">
        <f t="shared" si="73"/>
        <v>139</v>
      </c>
      <c r="N1181">
        <f t="shared" si="74"/>
        <v>32</v>
      </c>
      <c r="O1181">
        <f t="shared" si="75"/>
        <v>41</v>
      </c>
      <c r="P1181">
        <f t="shared" si="76"/>
        <v>23</v>
      </c>
    </row>
    <row r="1182" spans="9:16" ht="15" customHeight="1" x14ac:dyDescent="0.25">
      <c r="I1182" s="43" t="s">
        <v>343</v>
      </c>
      <c r="J1182" s="43" t="s">
        <v>11</v>
      </c>
      <c r="K1182" s="43" t="s">
        <v>1554</v>
      </c>
      <c r="L1182" s="43" t="s">
        <v>43</v>
      </c>
      <c r="M1182">
        <f t="shared" si="73"/>
        <v>132</v>
      </c>
      <c r="N1182">
        <f t="shared" si="74"/>
        <v>32</v>
      </c>
      <c r="O1182">
        <f t="shared" si="75"/>
        <v>38</v>
      </c>
      <c r="P1182">
        <f t="shared" si="76"/>
        <v>25</v>
      </c>
    </row>
    <row r="1183" spans="9:16" ht="15" customHeight="1" x14ac:dyDescent="0.25">
      <c r="I1183" s="41" t="s">
        <v>340</v>
      </c>
      <c r="J1183" s="41" t="s">
        <v>11</v>
      </c>
      <c r="K1183" s="41" t="s">
        <v>1553</v>
      </c>
      <c r="L1183" s="41" t="s">
        <v>339</v>
      </c>
      <c r="M1183">
        <f t="shared" si="73"/>
        <v>129</v>
      </c>
      <c r="N1183">
        <f t="shared" si="74"/>
        <v>32</v>
      </c>
      <c r="O1183">
        <f t="shared" si="75"/>
        <v>39</v>
      </c>
      <c r="P1183">
        <f t="shared" si="76"/>
        <v>0</v>
      </c>
    </row>
    <row r="1184" spans="9:16" ht="15" customHeight="1" x14ac:dyDescent="0.25">
      <c r="I1184" s="43" t="s">
        <v>344</v>
      </c>
      <c r="J1184" s="43" t="s">
        <v>24</v>
      </c>
      <c r="K1184" s="43" t="s">
        <v>1552</v>
      </c>
      <c r="L1184" s="43" t="s">
        <v>345</v>
      </c>
      <c r="M1184">
        <f t="shared" si="73"/>
        <v>131</v>
      </c>
      <c r="N1184">
        <f t="shared" si="74"/>
        <v>9</v>
      </c>
      <c r="O1184">
        <f t="shared" si="75"/>
        <v>37</v>
      </c>
      <c r="P1184">
        <f t="shared" si="76"/>
        <v>2</v>
      </c>
    </row>
    <row r="1185" spans="9:16" ht="15" customHeight="1" x14ac:dyDescent="0.25">
      <c r="I1185" s="41" t="s">
        <v>337</v>
      </c>
      <c r="J1185" s="41" t="s">
        <v>11</v>
      </c>
      <c r="K1185" s="41" t="s">
        <v>12</v>
      </c>
      <c r="L1185" s="41" t="s">
        <v>33</v>
      </c>
      <c r="M1185">
        <f t="shared" si="73"/>
        <v>137</v>
      </c>
      <c r="N1185">
        <f t="shared" si="74"/>
        <v>32</v>
      </c>
      <c r="O1185">
        <f t="shared" si="75"/>
        <v>0</v>
      </c>
      <c r="P1185">
        <f t="shared" si="76"/>
        <v>30</v>
      </c>
    </row>
    <row r="1186" spans="9:16" ht="15" customHeight="1" x14ac:dyDescent="0.25">
      <c r="I1186" s="43" t="s">
        <v>338</v>
      </c>
      <c r="J1186" s="43" t="s">
        <v>11</v>
      </c>
      <c r="K1186" s="43" t="s">
        <v>12</v>
      </c>
      <c r="L1186" s="43" t="s">
        <v>13</v>
      </c>
      <c r="M1186">
        <f t="shared" si="73"/>
        <v>135</v>
      </c>
      <c r="N1186">
        <f t="shared" si="74"/>
        <v>32</v>
      </c>
      <c r="O1186">
        <f t="shared" si="75"/>
        <v>0</v>
      </c>
      <c r="P1186">
        <f t="shared" si="76"/>
        <v>21</v>
      </c>
    </row>
    <row r="1187" spans="9:16" ht="15" customHeight="1" x14ac:dyDescent="0.25">
      <c r="I1187" s="41" t="s">
        <v>335</v>
      </c>
      <c r="J1187" s="41" t="s">
        <v>11</v>
      </c>
      <c r="K1187" s="41" t="s">
        <v>1552</v>
      </c>
      <c r="L1187" s="41" t="s">
        <v>19</v>
      </c>
      <c r="M1187">
        <f t="shared" si="73"/>
        <v>139</v>
      </c>
      <c r="N1187">
        <f t="shared" si="74"/>
        <v>32</v>
      </c>
      <c r="O1187">
        <f t="shared" si="75"/>
        <v>37</v>
      </c>
      <c r="P1187">
        <f t="shared" si="76"/>
        <v>23</v>
      </c>
    </row>
    <row r="1188" spans="9:16" ht="15" customHeight="1" x14ac:dyDescent="0.25">
      <c r="I1188" s="43" t="s">
        <v>343</v>
      </c>
      <c r="J1188" s="43" t="s">
        <v>11</v>
      </c>
      <c r="K1188" s="43" t="s">
        <v>1555</v>
      </c>
      <c r="L1188" s="43" t="s">
        <v>43</v>
      </c>
      <c r="M1188">
        <f t="shared" si="73"/>
        <v>132</v>
      </c>
      <c r="N1188">
        <f t="shared" si="74"/>
        <v>32</v>
      </c>
      <c r="O1188">
        <f t="shared" si="75"/>
        <v>41</v>
      </c>
      <c r="P1188">
        <f t="shared" si="76"/>
        <v>25</v>
      </c>
    </row>
    <row r="1189" spans="9:16" ht="15" customHeight="1" x14ac:dyDescent="0.25">
      <c r="I1189" s="41" t="s">
        <v>340</v>
      </c>
      <c r="J1189" s="41" t="s">
        <v>24</v>
      </c>
      <c r="K1189" s="41" t="s">
        <v>1557</v>
      </c>
      <c r="L1189" s="41" t="s">
        <v>339</v>
      </c>
      <c r="M1189">
        <f t="shared" si="73"/>
        <v>129</v>
      </c>
      <c r="N1189">
        <f t="shared" si="74"/>
        <v>9</v>
      </c>
      <c r="O1189">
        <f t="shared" si="75"/>
        <v>47</v>
      </c>
      <c r="P1189">
        <f t="shared" si="76"/>
        <v>0</v>
      </c>
    </row>
    <row r="1190" spans="9:16" ht="15" customHeight="1" x14ac:dyDescent="0.25">
      <c r="I1190" s="43" t="s">
        <v>342</v>
      </c>
      <c r="J1190" s="43" t="s">
        <v>11</v>
      </c>
      <c r="K1190" s="43" t="s">
        <v>1560</v>
      </c>
      <c r="L1190" s="43" t="s">
        <v>345</v>
      </c>
      <c r="M1190">
        <f t="shared" si="73"/>
        <v>134</v>
      </c>
      <c r="N1190">
        <f t="shared" si="74"/>
        <v>32</v>
      </c>
      <c r="O1190">
        <f t="shared" si="75"/>
        <v>49</v>
      </c>
      <c r="P1190">
        <f t="shared" si="76"/>
        <v>2</v>
      </c>
    </row>
    <row r="1191" spans="9:16" ht="15" customHeight="1" x14ac:dyDescent="0.25">
      <c r="I1191" s="41" t="s">
        <v>23</v>
      </c>
      <c r="J1191" s="41" t="s">
        <v>24</v>
      </c>
      <c r="K1191" s="41" t="s">
        <v>1553</v>
      </c>
      <c r="L1191" s="41" t="s">
        <v>33</v>
      </c>
      <c r="M1191">
        <f t="shared" si="73"/>
        <v>136</v>
      </c>
      <c r="N1191">
        <f t="shared" si="74"/>
        <v>9</v>
      </c>
      <c r="O1191">
        <f t="shared" si="75"/>
        <v>39</v>
      </c>
      <c r="P1191">
        <f t="shared" si="76"/>
        <v>30</v>
      </c>
    </row>
    <row r="1192" spans="9:16" ht="15" customHeight="1" x14ac:dyDescent="0.25">
      <c r="I1192" s="43" t="s">
        <v>17</v>
      </c>
      <c r="J1192" s="43" t="s">
        <v>11</v>
      </c>
      <c r="K1192" s="43" t="s">
        <v>1556</v>
      </c>
      <c r="L1192" s="43" t="s">
        <v>13</v>
      </c>
      <c r="M1192">
        <f t="shared" si="73"/>
        <v>141</v>
      </c>
      <c r="N1192">
        <f t="shared" si="74"/>
        <v>32</v>
      </c>
      <c r="O1192">
        <f t="shared" si="75"/>
        <v>42</v>
      </c>
      <c r="P1192">
        <f t="shared" si="76"/>
        <v>21</v>
      </c>
    </row>
    <row r="1193" spans="9:16" ht="15" customHeight="1" x14ac:dyDescent="0.25">
      <c r="I1193" s="41" t="s">
        <v>10</v>
      </c>
      <c r="J1193" s="41" t="s">
        <v>24</v>
      </c>
      <c r="K1193" s="41" t="s">
        <v>1558</v>
      </c>
      <c r="L1193" s="41" t="s">
        <v>19</v>
      </c>
      <c r="M1193">
        <f t="shared" si="73"/>
        <v>143</v>
      </c>
      <c r="N1193">
        <f t="shared" si="74"/>
        <v>9</v>
      </c>
      <c r="O1193">
        <f t="shared" si="75"/>
        <v>48</v>
      </c>
      <c r="P1193">
        <f t="shared" si="76"/>
        <v>23</v>
      </c>
    </row>
    <row r="1194" spans="9:16" ht="15" customHeight="1" x14ac:dyDescent="0.25">
      <c r="I1194" s="43" t="s">
        <v>344</v>
      </c>
      <c r="J1194" s="43" t="s">
        <v>11</v>
      </c>
      <c r="K1194" s="43" t="s">
        <v>1561</v>
      </c>
      <c r="L1194" s="43" t="s">
        <v>43</v>
      </c>
      <c r="M1194">
        <f t="shared" si="73"/>
        <v>131</v>
      </c>
      <c r="N1194">
        <f t="shared" si="74"/>
        <v>32</v>
      </c>
      <c r="O1194">
        <f t="shared" si="75"/>
        <v>51</v>
      </c>
      <c r="P1194">
        <f t="shared" si="76"/>
        <v>25</v>
      </c>
    </row>
    <row r="1195" spans="9:16" ht="15" customHeight="1" x14ac:dyDescent="0.25">
      <c r="I1195" s="41" t="s">
        <v>344</v>
      </c>
      <c r="J1195" s="41" t="s">
        <v>24</v>
      </c>
      <c r="K1195" s="41" t="s">
        <v>1554</v>
      </c>
      <c r="L1195" s="41" t="s">
        <v>339</v>
      </c>
      <c r="M1195">
        <f t="shared" si="73"/>
        <v>131</v>
      </c>
      <c r="N1195">
        <f t="shared" si="74"/>
        <v>9</v>
      </c>
      <c r="O1195">
        <f t="shared" si="75"/>
        <v>38</v>
      </c>
      <c r="P1195">
        <f t="shared" si="76"/>
        <v>0</v>
      </c>
    </row>
    <row r="1196" spans="9:16" ht="15" customHeight="1" x14ac:dyDescent="0.25">
      <c r="I1196" s="43" t="s">
        <v>10</v>
      </c>
      <c r="J1196" s="43" t="s">
        <v>24</v>
      </c>
      <c r="K1196" s="43" t="s">
        <v>1559</v>
      </c>
      <c r="L1196" s="43" t="s">
        <v>345</v>
      </c>
      <c r="M1196">
        <f t="shared" si="73"/>
        <v>143</v>
      </c>
      <c r="N1196">
        <f t="shared" si="74"/>
        <v>9</v>
      </c>
      <c r="O1196">
        <f t="shared" si="75"/>
        <v>43</v>
      </c>
      <c r="P1196">
        <f t="shared" si="76"/>
        <v>2</v>
      </c>
    </row>
    <row r="1197" spans="9:16" ht="15" customHeight="1" x14ac:dyDescent="0.25">
      <c r="I1197" s="41" t="s">
        <v>17</v>
      </c>
      <c r="J1197" s="41" t="s">
        <v>24</v>
      </c>
      <c r="K1197" s="41" t="s">
        <v>1554</v>
      </c>
      <c r="L1197" s="41" t="s">
        <v>33</v>
      </c>
      <c r="M1197">
        <f t="shared" si="73"/>
        <v>141</v>
      </c>
      <c r="N1197">
        <f t="shared" si="74"/>
        <v>9</v>
      </c>
      <c r="O1197">
        <f t="shared" si="75"/>
        <v>38</v>
      </c>
      <c r="P1197">
        <f t="shared" si="76"/>
        <v>30</v>
      </c>
    </row>
    <row r="1198" spans="9:16" ht="15" customHeight="1" x14ac:dyDescent="0.25">
      <c r="I1198" s="43" t="s">
        <v>23</v>
      </c>
      <c r="J1198" s="43" t="s">
        <v>11</v>
      </c>
      <c r="K1198" s="43" t="s">
        <v>1559</v>
      </c>
      <c r="L1198" s="43" t="s">
        <v>13</v>
      </c>
      <c r="M1198">
        <f t="shared" si="73"/>
        <v>136</v>
      </c>
      <c r="N1198">
        <f t="shared" si="74"/>
        <v>32</v>
      </c>
      <c r="O1198">
        <f t="shared" si="75"/>
        <v>43</v>
      </c>
      <c r="P1198">
        <f t="shared" si="76"/>
        <v>21</v>
      </c>
    </row>
    <row r="1199" spans="9:16" ht="15" customHeight="1" x14ac:dyDescent="0.25">
      <c r="I1199" s="41" t="s">
        <v>342</v>
      </c>
      <c r="J1199" s="41" t="s">
        <v>11</v>
      </c>
      <c r="K1199" s="41" t="s">
        <v>1553</v>
      </c>
      <c r="L1199" s="41" t="s">
        <v>19</v>
      </c>
      <c r="M1199">
        <f t="shared" si="73"/>
        <v>134</v>
      </c>
      <c r="N1199">
        <f t="shared" si="74"/>
        <v>32</v>
      </c>
      <c r="O1199">
        <f t="shared" si="75"/>
        <v>39</v>
      </c>
      <c r="P1199">
        <f t="shared" si="76"/>
        <v>23</v>
      </c>
    </row>
    <row r="1200" spans="9:16" ht="15" customHeight="1" x14ac:dyDescent="0.25">
      <c r="I1200" s="43" t="s">
        <v>340</v>
      </c>
      <c r="J1200" s="43" t="s">
        <v>11</v>
      </c>
      <c r="K1200" s="43" t="s">
        <v>1556</v>
      </c>
      <c r="L1200" s="43" t="s">
        <v>43</v>
      </c>
      <c r="M1200">
        <f t="shared" si="73"/>
        <v>129</v>
      </c>
      <c r="N1200">
        <f t="shared" si="74"/>
        <v>32</v>
      </c>
      <c r="O1200">
        <f t="shared" si="75"/>
        <v>42</v>
      </c>
      <c r="P1200">
        <f t="shared" si="76"/>
        <v>25</v>
      </c>
    </row>
    <row r="1201" spans="9:16" ht="15" customHeight="1" x14ac:dyDescent="0.25">
      <c r="I1201" s="41" t="s">
        <v>343</v>
      </c>
      <c r="J1201" s="41" t="s">
        <v>11</v>
      </c>
      <c r="K1201" s="41" t="s">
        <v>1558</v>
      </c>
      <c r="L1201" s="41" t="s">
        <v>339</v>
      </c>
      <c r="M1201">
        <f t="shared" si="73"/>
        <v>132</v>
      </c>
      <c r="N1201">
        <f t="shared" si="74"/>
        <v>32</v>
      </c>
      <c r="O1201">
        <f t="shared" si="75"/>
        <v>48</v>
      </c>
      <c r="P1201">
        <f t="shared" si="76"/>
        <v>0</v>
      </c>
    </row>
    <row r="1202" spans="9:16" ht="15" customHeight="1" x14ac:dyDescent="0.25">
      <c r="I1202" s="43" t="s">
        <v>335</v>
      </c>
      <c r="J1202" s="43" t="s">
        <v>11</v>
      </c>
      <c r="K1202" s="43" t="s">
        <v>1561</v>
      </c>
      <c r="L1202" s="43" t="s">
        <v>345</v>
      </c>
      <c r="M1202">
        <f t="shared" si="73"/>
        <v>139</v>
      </c>
      <c r="N1202">
        <f t="shared" si="74"/>
        <v>32</v>
      </c>
      <c r="O1202">
        <f t="shared" si="75"/>
        <v>51</v>
      </c>
      <c r="P1202">
        <f t="shared" si="76"/>
        <v>2</v>
      </c>
    </row>
    <row r="1203" spans="9:16" ht="15" customHeight="1" x14ac:dyDescent="0.25">
      <c r="I1203" s="41" t="s">
        <v>338</v>
      </c>
      <c r="J1203" s="41" t="s">
        <v>11</v>
      </c>
      <c r="K1203" s="41" t="s">
        <v>1552</v>
      </c>
      <c r="L1203" s="41" t="s">
        <v>33</v>
      </c>
      <c r="M1203">
        <f t="shared" si="73"/>
        <v>135</v>
      </c>
      <c r="N1203">
        <f t="shared" si="74"/>
        <v>32</v>
      </c>
      <c r="O1203">
        <f t="shared" si="75"/>
        <v>37</v>
      </c>
      <c r="P1203">
        <f t="shared" si="76"/>
        <v>30</v>
      </c>
    </row>
    <row r="1204" spans="9:16" ht="15" customHeight="1" x14ac:dyDescent="0.25">
      <c r="I1204" s="43" t="s">
        <v>337</v>
      </c>
      <c r="J1204" s="43" t="s">
        <v>24</v>
      </c>
      <c r="K1204" s="43" t="s">
        <v>1555</v>
      </c>
      <c r="L1204" s="43" t="s">
        <v>13</v>
      </c>
      <c r="M1204">
        <f t="shared" si="73"/>
        <v>137</v>
      </c>
      <c r="N1204">
        <f t="shared" si="74"/>
        <v>9</v>
      </c>
      <c r="O1204">
        <f t="shared" si="75"/>
        <v>41</v>
      </c>
      <c r="P1204">
        <f t="shared" si="76"/>
        <v>21</v>
      </c>
    </row>
    <row r="1205" spans="9:16" ht="15" customHeight="1" x14ac:dyDescent="0.25">
      <c r="I1205" s="41" t="s">
        <v>343</v>
      </c>
      <c r="J1205" s="41" t="s">
        <v>11</v>
      </c>
      <c r="K1205" s="41" t="s">
        <v>1557</v>
      </c>
      <c r="L1205" s="41" t="s">
        <v>19</v>
      </c>
      <c r="M1205">
        <f t="shared" si="73"/>
        <v>132</v>
      </c>
      <c r="N1205">
        <f t="shared" si="74"/>
        <v>32</v>
      </c>
      <c r="O1205">
        <f t="shared" si="75"/>
        <v>47</v>
      </c>
      <c r="P1205">
        <f t="shared" si="76"/>
        <v>23</v>
      </c>
    </row>
    <row r="1206" spans="9:16" ht="15" customHeight="1" x14ac:dyDescent="0.25">
      <c r="I1206" s="43" t="s">
        <v>340</v>
      </c>
      <c r="J1206" s="43" t="s">
        <v>24</v>
      </c>
      <c r="K1206" s="43" t="s">
        <v>1560</v>
      </c>
      <c r="L1206" s="43" t="s">
        <v>43</v>
      </c>
      <c r="M1206">
        <f t="shared" si="73"/>
        <v>129</v>
      </c>
      <c r="N1206">
        <f t="shared" si="74"/>
        <v>9</v>
      </c>
      <c r="O1206">
        <f t="shared" si="75"/>
        <v>49</v>
      </c>
      <c r="P1206">
        <f t="shared" si="76"/>
        <v>25</v>
      </c>
    </row>
    <row r="1207" spans="9:16" ht="15" customHeight="1" x14ac:dyDescent="0.25">
      <c r="I1207" s="41" t="s">
        <v>10</v>
      </c>
      <c r="J1207" s="41" t="s">
        <v>24</v>
      </c>
      <c r="K1207" s="41" t="s">
        <v>12</v>
      </c>
      <c r="L1207" s="41" t="s">
        <v>339</v>
      </c>
      <c r="M1207">
        <f t="shared" si="73"/>
        <v>143</v>
      </c>
      <c r="N1207">
        <f t="shared" si="74"/>
        <v>9</v>
      </c>
      <c r="O1207">
        <f t="shared" si="75"/>
        <v>0</v>
      </c>
      <c r="P1207">
        <f t="shared" si="76"/>
        <v>0</v>
      </c>
    </row>
    <row r="1208" spans="9:16" ht="15" customHeight="1" x14ac:dyDescent="0.25">
      <c r="I1208" s="43" t="s">
        <v>344</v>
      </c>
      <c r="J1208" s="43" t="s">
        <v>11</v>
      </c>
      <c r="K1208" s="43" t="s">
        <v>12</v>
      </c>
      <c r="L1208" s="43" t="s">
        <v>345</v>
      </c>
      <c r="M1208">
        <f t="shared" ref="M1208:M1271" si="77">_xlfn.XLOOKUP(I1208,$C$9:$C$37,$D$9:$D$37,2,0)</f>
        <v>131</v>
      </c>
      <c r="N1208">
        <f t="shared" ref="N1208:N1271" si="78">_xlfn.XLOOKUP(J1208,$C$9:$C$37,$D$9:$D$37,2,0)</f>
        <v>32</v>
      </c>
      <c r="O1208">
        <f t="shared" ref="O1208:O1271" si="79">_xlfn.XLOOKUP(K1208,$C$9:$C$37,$D$9:$D$37,2,0)</f>
        <v>0</v>
      </c>
      <c r="P1208">
        <f t="shared" ref="P1208:P1271" si="80">_xlfn.XLOOKUP(L1208,$C$9:$C$37,$D$9:$D$37,2,0)</f>
        <v>2</v>
      </c>
    </row>
    <row r="1209" spans="9:16" ht="15" customHeight="1" x14ac:dyDescent="0.25">
      <c r="I1209" s="41" t="s">
        <v>338</v>
      </c>
      <c r="J1209" s="41" t="s">
        <v>24</v>
      </c>
      <c r="K1209" s="41" t="s">
        <v>1552</v>
      </c>
      <c r="L1209" s="41" t="s">
        <v>33</v>
      </c>
      <c r="M1209">
        <f t="shared" si="77"/>
        <v>135</v>
      </c>
      <c r="N1209">
        <f t="shared" si="78"/>
        <v>9</v>
      </c>
      <c r="O1209">
        <f t="shared" si="79"/>
        <v>37</v>
      </c>
      <c r="P1209">
        <f t="shared" si="80"/>
        <v>30</v>
      </c>
    </row>
    <row r="1210" spans="9:16" ht="15" customHeight="1" x14ac:dyDescent="0.25">
      <c r="I1210" s="43" t="s">
        <v>23</v>
      </c>
      <c r="J1210" s="43" t="s">
        <v>11</v>
      </c>
      <c r="K1210" s="43" t="s">
        <v>1553</v>
      </c>
      <c r="L1210" s="43" t="s">
        <v>13</v>
      </c>
      <c r="M1210">
        <f t="shared" si="77"/>
        <v>136</v>
      </c>
      <c r="N1210">
        <f t="shared" si="78"/>
        <v>32</v>
      </c>
      <c r="O1210">
        <f t="shared" si="79"/>
        <v>39</v>
      </c>
      <c r="P1210">
        <f t="shared" si="80"/>
        <v>21</v>
      </c>
    </row>
    <row r="1211" spans="9:16" ht="15" customHeight="1" x14ac:dyDescent="0.25">
      <c r="I1211" s="41" t="s">
        <v>17</v>
      </c>
      <c r="J1211" s="41" t="s">
        <v>11</v>
      </c>
      <c r="K1211" s="41" t="s">
        <v>1554</v>
      </c>
      <c r="L1211" s="41" t="s">
        <v>19</v>
      </c>
      <c r="M1211">
        <f t="shared" si="77"/>
        <v>141</v>
      </c>
      <c r="N1211">
        <f t="shared" si="78"/>
        <v>32</v>
      </c>
      <c r="O1211">
        <f t="shared" si="79"/>
        <v>38</v>
      </c>
      <c r="P1211">
        <f t="shared" si="80"/>
        <v>23</v>
      </c>
    </row>
    <row r="1212" spans="9:16" ht="15" customHeight="1" x14ac:dyDescent="0.25">
      <c r="I1212" s="43" t="s">
        <v>10</v>
      </c>
      <c r="J1212" s="43" t="s">
        <v>11</v>
      </c>
      <c r="K1212" s="43" t="s">
        <v>1555</v>
      </c>
      <c r="L1212" s="43" t="s">
        <v>43</v>
      </c>
      <c r="M1212">
        <f t="shared" si="77"/>
        <v>143</v>
      </c>
      <c r="N1212">
        <f t="shared" si="78"/>
        <v>32</v>
      </c>
      <c r="O1212">
        <f t="shared" si="79"/>
        <v>41</v>
      </c>
      <c r="P1212">
        <f t="shared" si="80"/>
        <v>25</v>
      </c>
    </row>
    <row r="1213" spans="9:16" ht="15" customHeight="1" x14ac:dyDescent="0.25">
      <c r="I1213" s="41" t="s">
        <v>337</v>
      </c>
      <c r="J1213" s="41" t="s">
        <v>11</v>
      </c>
      <c r="K1213" s="41" t="s">
        <v>1556</v>
      </c>
      <c r="L1213" s="41" t="s">
        <v>339</v>
      </c>
      <c r="M1213">
        <f t="shared" si="77"/>
        <v>137</v>
      </c>
      <c r="N1213">
        <f t="shared" si="78"/>
        <v>32</v>
      </c>
      <c r="O1213">
        <f t="shared" si="79"/>
        <v>42</v>
      </c>
      <c r="P1213">
        <f t="shared" si="80"/>
        <v>0</v>
      </c>
    </row>
    <row r="1214" spans="9:16" ht="15" customHeight="1" x14ac:dyDescent="0.25">
      <c r="I1214" s="43" t="s">
        <v>338</v>
      </c>
      <c r="J1214" s="43" t="s">
        <v>24</v>
      </c>
      <c r="K1214" s="43" t="s">
        <v>1559</v>
      </c>
      <c r="L1214" s="43" t="s">
        <v>345</v>
      </c>
      <c r="M1214">
        <f t="shared" si="77"/>
        <v>135</v>
      </c>
      <c r="N1214">
        <f t="shared" si="78"/>
        <v>9</v>
      </c>
      <c r="O1214">
        <f t="shared" si="79"/>
        <v>43</v>
      </c>
      <c r="P1214">
        <f t="shared" si="80"/>
        <v>2</v>
      </c>
    </row>
    <row r="1215" spans="9:16" ht="15" customHeight="1" x14ac:dyDescent="0.25">
      <c r="I1215" s="41" t="s">
        <v>338</v>
      </c>
      <c r="J1215" s="41" t="s">
        <v>11</v>
      </c>
      <c r="K1215" s="41" t="s">
        <v>1557</v>
      </c>
      <c r="L1215" s="41" t="s">
        <v>33</v>
      </c>
      <c r="M1215">
        <f t="shared" si="77"/>
        <v>135</v>
      </c>
      <c r="N1215">
        <f t="shared" si="78"/>
        <v>32</v>
      </c>
      <c r="O1215">
        <f t="shared" si="79"/>
        <v>47</v>
      </c>
      <c r="P1215">
        <f t="shared" si="80"/>
        <v>30</v>
      </c>
    </row>
    <row r="1216" spans="9:16" ht="15" customHeight="1" x14ac:dyDescent="0.25">
      <c r="I1216" s="43" t="s">
        <v>335</v>
      </c>
      <c r="J1216" s="43" t="s">
        <v>24</v>
      </c>
      <c r="K1216" s="43" t="s">
        <v>1558</v>
      </c>
      <c r="L1216" s="43" t="s">
        <v>13</v>
      </c>
      <c r="M1216">
        <f t="shared" si="77"/>
        <v>139</v>
      </c>
      <c r="N1216">
        <f t="shared" si="78"/>
        <v>9</v>
      </c>
      <c r="O1216">
        <f t="shared" si="79"/>
        <v>48</v>
      </c>
      <c r="P1216">
        <f t="shared" si="80"/>
        <v>21</v>
      </c>
    </row>
    <row r="1217" spans="9:16" ht="15" customHeight="1" x14ac:dyDescent="0.25">
      <c r="I1217" s="41" t="s">
        <v>335</v>
      </c>
      <c r="J1217" s="41" t="s">
        <v>11</v>
      </c>
      <c r="K1217" s="41" t="s">
        <v>1560</v>
      </c>
      <c r="L1217" s="41" t="s">
        <v>19</v>
      </c>
      <c r="M1217">
        <f t="shared" si="77"/>
        <v>139</v>
      </c>
      <c r="N1217">
        <f t="shared" si="78"/>
        <v>32</v>
      </c>
      <c r="O1217">
        <f t="shared" si="79"/>
        <v>49</v>
      </c>
      <c r="P1217">
        <f t="shared" si="80"/>
        <v>23</v>
      </c>
    </row>
    <row r="1218" spans="9:16" ht="15" customHeight="1" x14ac:dyDescent="0.25">
      <c r="I1218" s="43" t="s">
        <v>342</v>
      </c>
      <c r="J1218" s="43" t="s">
        <v>11</v>
      </c>
      <c r="K1218" s="43" t="s">
        <v>1561</v>
      </c>
      <c r="L1218" s="43" t="s">
        <v>43</v>
      </c>
      <c r="M1218">
        <f t="shared" si="77"/>
        <v>134</v>
      </c>
      <c r="N1218">
        <f t="shared" si="78"/>
        <v>32</v>
      </c>
      <c r="O1218">
        <f t="shared" si="79"/>
        <v>51</v>
      </c>
      <c r="P1218">
        <f t="shared" si="80"/>
        <v>25</v>
      </c>
    </row>
    <row r="1219" spans="9:16" ht="15" customHeight="1" x14ac:dyDescent="0.25">
      <c r="I1219" s="41" t="s">
        <v>342</v>
      </c>
      <c r="J1219" s="41" t="s">
        <v>11</v>
      </c>
      <c r="K1219" s="41" t="s">
        <v>1561</v>
      </c>
      <c r="L1219" s="41" t="s">
        <v>339</v>
      </c>
      <c r="M1219">
        <f t="shared" si="77"/>
        <v>134</v>
      </c>
      <c r="N1219">
        <f t="shared" si="78"/>
        <v>32</v>
      </c>
      <c r="O1219">
        <f t="shared" si="79"/>
        <v>51</v>
      </c>
      <c r="P1219">
        <f t="shared" si="80"/>
        <v>0</v>
      </c>
    </row>
    <row r="1220" spans="9:16" ht="15" customHeight="1" x14ac:dyDescent="0.25">
      <c r="I1220" s="43" t="s">
        <v>10</v>
      </c>
      <c r="J1220" s="43" t="s">
        <v>24</v>
      </c>
      <c r="K1220" s="43" t="s">
        <v>1560</v>
      </c>
      <c r="L1220" s="43" t="s">
        <v>345</v>
      </c>
      <c r="M1220">
        <f t="shared" si="77"/>
        <v>143</v>
      </c>
      <c r="N1220">
        <f t="shared" si="78"/>
        <v>9</v>
      </c>
      <c r="O1220">
        <f t="shared" si="79"/>
        <v>49</v>
      </c>
      <c r="P1220">
        <f t="shared" si="80"/>
        <v>2</v>
      </c>
    </row>
    <row r="1221" spans="9:16" ht="15" customHeight="1" x14ac:dyDescent="0.25">
      <c r="I1221" s="41" t="s">
        <v>17</v>
      </c>
      <c r="J1221" s="41" t="s">
        <v>11</v>
      </c>
      <c r="K1221" s="41" t="s">
        <v>1558</v>
      </c>
      <c r="L1221" s="41" t="s">
        <v>33</v>
      </c>
      <c r="M1221">
        <f t="shared" si="77"/>
        <v>141</v>
      </c>
      <c r="N1221">
        <f t="shared" si="78"/>
        <v>32</v>
      </c>
      <c r="O1221">
        <f t="shared" si="79"/>
        <v>48</v>
      </c>
      <c r="P1221">
        <f t="shared" si="80"/>
        <v>30</v>
      </c>
    </row>
    <row r="1222" spans="9:16" ht="15" customHeight="1" x14ac:dyDescent="0.25">
      <c r="I1222" s="43" t="s">
        <v>10</v>
      </c>
      <c r="J1222" s="43" t="s">
        <v>11</v>
      </c>
      <c r="K1222" s="43" t="s">
        <v>1557</v>
      </c>
      <c r="L1222" s="43" t="s">
        <v>13</v>
      </c>
      <c r="M1222">
        <f t="shared" si="77"/>
        <v>143</v>
      </c>
      <c r="N1222">
        <f t="shared" si="78"/>
        <v>32</v>
      </c>
      <c r="O1222">
        <f t="shared" si="79"/>
        <v>47</v>
      </c>
      <c r="P1222">
        <f t="shared" si="80"/>
        <v>21</v>
      </c>
    </row>
    <row r="1223" spans="9:16" ht="15" customHeight="1" x14ac:dyDescent="0.25">
      <c r="I1223" s="41" t="s">
        <v>23</v>
      </c>
      <c r="J1223" s="41" t="s">
        <v>11</v>
      </c>
      <c r="K1223" s="41" t="s">
        <v>1559</v>
      </c>
      <c r="L1223" s="41" t="s">
        <v>19</v>
      </c>
      <c r="M1223">
        <f t="shared" si="77"/>
        <v>136</v>
      </c>
      <c r="N1223">
        <f t="shared" si="78"/>
        <v>32</v>
      </c>
      <c r="O1223">
        <f t="shared" si="79"/>
        <v>43</v>
      </c>
      <c r="P1223">
        <f t="shared" si="80"/>
        <v>23</v>
      </c>
    </row>
    <row r="1224" spans="9:16" ht="15" customHeight="1" x14ac:dyDescent="0.25">
      <c r="I1224" s="43" t="s">
        <v>17</v>
      </c>
      <c r="J1224" s="43" t="s">
        <v>11</v>
      </c>
      <c r="K1224" s="43" t="s">
        <v>1556</v>
      </c>
      <c r="L1224" s="43" t="s">
        <v>43</v>
      </c>
      <c r="M1224">
        <f t="shared" si="77"/>
        <v>141</v>
      </c>
      <c r="N1224">
        <f t="shared" si="78"/>
        <v>32</v>
      </c>
      <c r="O1224">
        <f t="shared" si="79"/>
        <v>42</v>
      </c>
      <c r="P1224">
        <f t="shared" si="80"/>
        <v>25</v>
      </c>
    </row>
    <row r="1225" spans="9:16" ht="15" customHeight="1" x14ac:dyDescent="0.25">
      <c r="I1225" s="41" t="s">
        <v>337</v>
      </c>
      <c r="J1225" s="41" t="s">
        <v>24</v>
      </c>
      <c r="K1225" s="41" t="s">
        <v>1555</v>
      </c>
      <c r="L1225" s="41" t="s">
        <v>339</v>
      </c>
      <c r="M1225">
        <f t="shared" si="77"/>
        <v>137</v>
      </c>
      <c r="N1225">
        <f t="shared" si="78"/>
        <v>9</v>
      </c>
      <c r="O1225">
        <f t="shared" si="79"/>
        <v>41</v>
      </c>
      <c r="P1225">
        <f t="shared" si="80"/>
        <v>0</v>
      </c>
    </row>
    <row r="1226" spans="9:16" ht="15" customHeight="1" x14ac:dyDescent="0.25">
      <c r="I1226" s="43" t="s">
        <v>338</v>
      </c>
      <c r="J1226" s="43" t="s">
        <v>11</v>
      </c>
      <c r="K1226" s="43" t="s">
        <v>1554</v>
      </c>
      <c r="L1226" s="43" t="s">
        <v>345</v>
      </c>
      <c r="M1226">
        <f t="shared" si="77"/>
        <v>135</v>
      </c>
      <c r="N1226">
        <f t="shared" si="78"/>
        <v>32</v>
      </c>
      <c r="O1226">
        <f t="shared" si="79"/>
        <v>38</v>
      </c>
      <c r="P1226">
        <f t="shared" si="80"/>
        <v>2</v>
      </c>
    </row>
    <row r="1227" spans="9:16" ht="15" customHeight="1" x14ac:dyDescent="0.25">
      <c r="I1227" s="41" t="s">
        <v>335</v>
      </c>
      <c r="J1227" s="41" t="s">
        <v>24</v>
      </c>
      <c r="K1227" s="41" t="s">
        <v>1553</v>
      </c>
      <c r="L1227" s="41" t="s">
        <v>33</v>
      </c>
      <c r="M1227">
        <f t="shared" si="77"/>
        <v>139</v>
      </c>
      <c r="N1227">
        <f t="shared" si="78"/>
        <v>9</v>
      </c>
      <c r="O1227">
        <f t="shared" si="79"/>
        <v>39</v>
      </c>
      <c r="P1227">
        <f t="shared" si="80"/>
        <v>30</v>
      </c>
    </row>
    <row r="1228" spans="9:16" ht="15" customHeight="1" x14ac:dyDescent="0.25">
      <c r="I1228" s="43" t="s">
        <v>342</v>
      </c>
      <c r="J1228" s="43" t="s">
        <v>11</v>
      </c>
      <c r="K1228" s="43" t="s">
        <v>1552</v>
      </c>
      <c r="L1228" s="43" t="s">
        <v>13</v>
      </c>
      <c r="M1228">
        <f t="shared" si="77"/>
        <v>134</v>
      </c>
      <c r="N1228">
        <f t="shared" si="78"/>
        <v>32</v>
      </c>
      <c r="O1228">
        <f t="shared" si="79"/>
        <v>37</v>
      </c>
      <c r="P1228">
        <f t="shared" si="80"/>
        <v>21</v>
      </c>
    </row>
    <row r="1229" spans="9:16" ht="15" customHeight="1" x14ac:dyDescent="0.25">
      <c r="I1229" s="41" t="s">
        <v>23</v>
      </c>
      <c r="J1229" s="41" t="s">
        <v>11</v>
      </c>
      <c r="K1229" s="41" t="s">
        <v>12</v>
      </c>
      <c r="L1229" s="41" t="s">
        <v>19</v>
      </c>
      <c r="M1229">
        <f t="shared" si="77"/>
        <v>136</v>
      </c>
      <c r="N1229">
        <f t="shared" si="78"/>
        <v>32</v>
      </c>
      <c r="O1229">
        <f t="shared" si="79"/>
        <v>0</v>
      </c>
      <c r="P1229">
        <f t="shared" si="80"/>
        <v>23</v>
      </c>
    </row>
    <row r="1230" spans="9:16" ht="15" customHeight="1" x14ac:dyDescent="0.25">
      <c r="I1230" s="43" t="s">
        <v>17</v>
      </c>
      <c r="J1230" s="43" t="s">
        <v>11</v>
      </c>
      <c r="K1230" s="43" t="s">
        <v>12</v>
      </c>
      <c r="L1230" s="43" t="s">
        <v>43</v>
      </c>
      <c r="M1230">
        <f t="shared" si="77"/>
        <v>141</v>
      </c>
      <c r="N1230">
        <f t="shared" si="78"/>
        <v>32</v>
      </c>
      <c r="O1230">
        <f t="shared" si="79"/>
        <v>0</v>
      </c>
      <c r="P1230">
        <f t="shared" si="80"/>
        <v>25</v>
      </c>
    </row>
    <row r="1231" spans="9:16" ht="15" customHeight="1" x14ac:dyDescent="0.25">
      <c r="I1231" s="41" t="s">
        <v>10</v>
      </c>
      <c r="J1231" s="41" t="s">
        <v>24</v>
      </c>
      <c r="K1231" s="41" t="s">
        <v>1552</v>
      </c>
      <c r="L1231" s="41" t="s">
        <v>339</v>
      </c>
      <c r="M1231">
        <f t="shared" si="77"/>
        <v>143</v>
      </c>
      <c r="N1231">
        <f t="shared" si="78"/>
        <v>9</v>
      </c>
      <c r="O1231">
        <f t="shared" si="79"/>
        <v>37</v>
      </c>
      <c r="P1231">
        <f t="shared" si="80"/>
        <v>0</v>
      </c>
    </row>
    <row r="1232" spans="9:16" ht="15" customHeight="1" x14ac:dyDescent="0.25">
      <c r="I1232" s="43" t="s">
        <v>343</v>
      </c>
      <c r="J1232" s="43" t="s">
        <v>11</v>
      </c>
      <c r="K1232" s="43" t="s">
        <v>1555</v>
      </c>
      <c r="L1232" s="43" t="s">
        <v>345</v>
      </c>
      <c r="M1232">
        <f t="shared" si="77"/>
        <v>132</v>
      </c>
      <c r="N1232">
        <f t="shared" si="78"/>
        <v>32</v>
      </c>
      <c r="O1232">
        <f t="shared" si="79"/>
        <v>41</v>
      </c>
      <c r="P1232">
        <f t="shared" si="80"/>
        <v>2</v>
      </c>
    </row>
    <row r="1233" spans="9:16" ht="15" customHeight="1" x14ac:dyDescent="0.25">
      <c r="I1233" s="41" t="s">
        <v>340</v>
      </c>
      <c r="J1233" s="41" t="s">
        <v>24</v>
      </c>
      <c r="K1233" s="41" t="s">
        <v>1557</v>
      </c>
      <c r="L1233" s="41" t="s">
        <v>33</v>
      </c>
      <c r="M1233">
        <f t="shared" si="77"/>
        <v>129</v>
      </c>
      <c r="N1233">
        <f t="shared" si="78"/>
        <v>9</v>
      </c>
      <c r="O1233">
        <f t="shared" si="79"/>
        <v>47</v>
      </c>
      <c r="P1233">
        <f t="shared" si="80"/>
        <v>30</v>
      </c>
    </row>
    <row r="1234" spans="9:16" ht="15" customHeight="1" x14ac:dyDescent="0.25">
      <c r="I1234" s="43" t="s">
        <v>344</v>
      </c>
      <c r="J1234" s="43" t="s">
        <v>11</v>
      </c>
      <c r="K1234" s="43" t="s">
        <v>1560</v>
      </c>
      <c r="L1234" s="43" t="s">
        <v>13</v>
      </c>
      <c r="M1234">
        <f t="shared" si="77"/>
        <v>131</v>
      </c>
      <c r="N1234">
        <f t="shared" si="78"/>
        <v>32</v>
      </c>
      <c r="O1234">
        <f t="shared" si="79"/>
        <v>49</v>
      </c>
      <c r="P1234">
        <f t="shared" si="80"/>
        <v>21</v>
      </c>
    </row>
    <row r="1235" spans="9:16" ht="15" customHeight="1" x14ac:dyDescent="0.25">
      <c r="I1235" s="41" t="s">
        <v>335</v>
      </c>
      <c r="J1235" s="41" t="s">
        <v>24</v>
      </c>
      <c r="K1235" s="41" t="s">
        <v>1553</v>
      </c>
      <c r="L1235" s="41" t="s">
        <v>19</v>
      </c>
      <c r="M1235">
        <f t="shared" si="77"/>
        <v>139</v>
      </c>
      <c r="N1235">
        <f t="shared" si="78"/>
        <v>9</v>
      </c>
      <c r="O1235">
        <f t="shared" si="79"/>
        <v>39</v>
      </c>
      <c r="P1235">
        <f t="shared" si="80"/>
        <v>23</v>
      </c>
    </row>
    <row r="1236" spans="9:16" ht="15" customHeight="1" x14ac:dyDescent="0.25">
      <c r="I1236" s="43" t="s">
        <v>343</v>
      </c>
      <c r="J1236" s="43" t="s">
        <v>11</v>
      </c>
      <c r="K1236" s="43" t="s">
        <v>1556</v>
      </c>
      <c r="L1236" s="43" t="s">
        <v>43</v>
      </c>
      <c r="M1236">
        <f t="shared" si="77"/>
        <v>132</v>
      </c>
      <c r="N1236">
        <f t="shared" si="78"/>
        <v>32</v>
      </c>
      <c r="O1236">
        <f t="shared" si="79"/>
        <v>42</v>
      </c>
      <c r="P1236">
        <f t="shared" si="80"/>
        <v>25</v>
      </c>
    </row>
    <row r="1237" spans="9:16" ht="15" customHeight="1" x14ac:dyDescent="0.25">
      <c r="I1237" s="41" t="s">
        <v>340</v>
      </c>
      <c r="J1237" s="41" t="s">
        <v>24</v>
      </c>
      <c r="K1237" s="41" t="s">
        <v>1558</v>
      </c>
      <c r="L1237" s="41" t="s">
        <v>339</v>
      </c>
      <c r="M1237">
        <f t="shared" si="77"/>
        <v>129</v>
      </c>
      <c r="N1237">
        <f t="shared" si="78"/>
        <v>9</v>
      </c>
      <c r="O1237">
        <f t="shared" si="79"/>
        <v>48</v>
      </c>
      <c r="P1237">
        <f t="shared" si="80"/>
        <v>0</v>
      </c>
    </row>
    <row r="1238" spans="9:16" ht="15" customHeight="1" x14ac:dyDescent="0.25">
      <c r="I1238" s="43" t="s">
        <v>344</v>
      </c>
      <c r="J1238" s="43" t="s">
        <v>11</v>
      </c>
      <c r="K1238" s="43" t="s">
        <v>1561</v>
      </c>
      <c r="L1238" s="43" t="s">
        <v>345</v>
      </c>
      <c r="M1238">
        <f t="shared" si="77"/>
        <v>131</v>
      </c>
      <c r="N1238">
        <f t="shared" si="78"/>
        <v>32</v>
      </c>
      <c r="O1238">
        <f t="shared" si="79"/>
        <v>51</v>
      </c>
      <c r="P1238">
        <f t="shared" si="80"/>
        <v>2</v>
      </c>
    </row>
    <row r="1239" spans="9:16" ht="15" customHeight="1" x14ac:dyDescent="0.25">
      <c r="I1239" s="41" t="s">
        <v>337</v>
      </c>
      <c r="J1239" s="41" t="s">
        <v>24</v>
      </c>
      <c r="K1239" s="41" t="s">
        <v>1554</v>
      </c>
      <c r="L1239" s="41" t="s">
        <v>33</v>
      </c>
      <c r="M1239">
        <f t="shared" si="77"/>
        <v>137</v>
      </c>
      <c r="N1239">
        <f t="shared" si="78"/>
        <v>9</v>
      </c>
      <c r="O1239">
        <f t="shared" si="79"/>
        <v>38</v>
      </c>
      <c r="P1239">
        <f t="shared" si="80"/>
        <v>30</v>
      </c>
    </row>
    <row r="1240" spans="9:16" ht="15" customHeight="1" x14ac:dyDescent="0.25">
      <c r="I1240" s="43" t="s">
        <v>338</v>
      </c>
      <c r="J1240" s="43" t="s">
        <v>11</v>
      </c>
      <c r="K1240" s="43" t="s">
        <v>1559</v>
      </c>
      <c r="L1240" s="43" t="s">
        <v>13</v>
      </c>
      <c r="M1240">
        <f t="shared" si="77"/>
        <v>135</v>
      </c>
      <c r="N1240">
        <f t="shared" si="78"/>
        <v>32</v>
      </c>
      <c r="O1240">
        <f t="shared" si="79"/>
        <v>43</v>
      </c>
      <c r="P1240">
        <f t="shared" si="80"/>
        <v>21</v>
      </c>
    </row>
    <row r="1241" spans="9:16" ht="15" customHeight="1" x14ac:dyDescent="0.25">
      <c r="I1241" s="41" t="s">
        <v>335</v>
      </c>
      <c r="J1241" s="41" t="s">
        <v>24</v>
      </c>
      <c r="K1241" s="41" t="s">
        <v>1554</v>
      </c>
      <c r="L1241" s="41" t="s">
        <v>19</v>
      </c>
      <c r="M1241">
        <f t="shared" si="77"/>
        <v>139</v>
      </c>
      <c r="N1241">
        <f t="shared" si="78"/>
        <v>9</v>
      </c>
      <c r="O1241">
        <f t="shared" si="79"/>
        <v>38</v>
      </c>
      <c r="P1241">
        <f t="shared" si="80"/>
        <v>23</v>
      </c>
    </row>
    <row r="1242" spans="9:16" ht="15" customHeight="1" x14ac:dyDescent="0.25">
      <c r="I1242" s="43" t="s">
        <v>343</v>
      </c>
      <c r="J1242" s="43" t="s">
        <v>11</v>
      </c>
      <c r="K1242" s="43" t="s">
        <v>1559</v>
      </c>
      <c r="L1242" s="43" t="s">
        <v>43</v>
      </c>
      <c r="M1242">
        <f t="shared" si="77"/>
        <v>132</v>
      </c>
      <c r="N1242">
        <f t="shared" si="78"/>
        <v>32</v>
      </c>
      <c r="O1242">
        <f t="shared" si="79"/>
        <v>43</v>
      </c>
      <c r="P1242">
        <f t="shared" si="80"/>
        <v>25</v>
      </c>
    </row>
    <row r="1243" spans="9:16" ht="15" customHeight="1" x14ac:dyDescent="0.25">
      <c r="I1243" s="41" t="s">
        <v>340</v>
      </c>
      <c r="J1243" s="41" t="s">
        <v>24</v>
      </c>
      <c r="K1243" s="41" t="s">
        <v>1553</v>
      </c>
      <c r="L1243" s="41" t="s">
        <v>339</v>
      </c>
      <c r="M1243">
        <f t="shared" si="77"/>
        <v>129</v>
      </c>
      <c r="N1243">
        <f t="shared" si="78"/>
        <v>9</v>
      </c>
      <c r="O1243">
        <f t="shared" si="79"/>
        <v>39</v>
      </c>
      <c r="P1243">
        <f t="shared" si="80"/>
        <v>0</v>
      </c>
    </row>
    <row r="1244" spans="9:16" ht="15" customHeight="1" x14ac:dyDescent="0.25">
      <c r="I1244" s="43" t="s">
        <v>342</v>
      </c>
      <c r="J1244" s="43" t="s">
        <v>11</v>
      </c>
      <c r="K1244" s="43" t="s">
        <v>1556</v>
      </c>
      <c r="L1244" s="43" t="s">
        <v>345</v>
      </c>
      <c r="M1244">
        <f t="shared" si="77"/>
        <v>134</v>
      </c>
      <c r="N1244">
        <f t="shared" si="78"/>
        <v>32</v>
      </c>
      <c r="O1244">
        <f t="shared" si="79"/>
        <v>42</v>
      </c>
      <c r="P1244">
        <f t="shared" si="80"/>
        <v>2</v>
      </c>
    </row>
    <row r="1245" spans="9:16" ht="15" customHeight="1" x14ac:dyDescent="0.25">
      <c r="I1245" s="41" t="s">
        <v>23</v>
      </c>
      <c r="J1245" s="41" t="s">
        <v>24</v>
      </c>
      <c r="K1245" s="41" t="s">
        <v>1558</v>
      </c>
      <c r="L1245" s="41" t="s">
        <v>33</v>
      </c>
      <c r="M1245">
        <f t="shared" si="77"/>
        <v>136</v>
      </c>
      <c r="N1245">
        <f t="shared" si="78"/>
        <v>9</v>
      </c>
      <c r="O1245">
        <f t="shared" si="79"/>
        <v>48</v>
      </c>
      <c r="P1245">
        <f t="shared" si="80"/>
        <v>30</v>
      </c>
    </row>
    <row r="1246" spans="9:16" ht="15" customHeight="1" x14ac:dyDescent="0.25">
      <c r="I1246" s="43" t="s">
        <v>17</v>
      </c>
      <c r="J1246" s="43" t="s">
        <v>11</v>
      </c>
      <c r="K1246" s="43" t="s">
        <v>1561</v>
      </c>
      <c r="L1246" s="43" t="s">
        <v>13</v>
      </c>
      <c r="M1246">
        <f t="shared" si="77"/>
        <v>141</v>
      </c>
      <c r="N1246">
        <f t="shared" si="78"/>
        <v>32</v>
      </c>
      <c r="O1246">
        <f t="shared" si="79"/>
        <v>51</v>
      </c>
      <c r="P1246">
        <f t="shared" si="80"/>
        <v>21</v>
      </c>
    </row>
    <row r="1247" spans="9:16" ht="15" customHeight="1" x14ac:dyDescent="0.25">
      <c r="I1247" s="41" t="s">
        <v>10</v>
      </c>
      <c r="J1247" s="41" t="s">
        <v>24</v>
      </c>
      <c r="K1247" s="41" t="s">
        <v>1552</v>
      </c>
      <c r="L1247" s="41" t="s">
        <v>19</v>
      </c>
      <c r="M1247">
        <f t="shared" si="77"/>
        <v>143</v>
      </c>
      <c r="N1247">
        <f t="shared" si="78"/>
        <v>9</v>
      </c>
      <c r="O1247">
        <f t="shared" si="79"/>
        <v>37</v>
      </c>
      <c r="P1247">
        <f t="shared" si="80"/>
        <v>23</v>
      </c>
    </row>
    <row r="1248" spans="9:16" ht="15" customHeight="1" x14ac:dyDescent="0.25">
      <c r="I1248" s="43" t="s">
        <v>344</v>
      </c>
      <c r="J1248" s="43" t="s">
        <v>11</v>
      </c>
      <c r="K1248" s="43" t="s">
        <v>1555</v>
      </c>
      <c r="L1248" s="43" t="s">
        <v>43</v>
      </c>
      <c r="M1248">
        <f t="shared" si="77"/>
        <v>131</v>
      </c>
      <c r="N1248">
        <f t="shared" si="78"/>
        <v>32</v>
      </c>
      <c r="O1248">
        <f t="shared" si="79"/>
        <v>41</v>
      </c>
      <c r="P1248">
        <f t="shared" si="80"/>
        <v>25</v>
      </c>
    </row>
    <row r="1249" spans="9:16" ht="15" customHeight="1" x14ac:dyDescent="0.25">
      <c r="I1249" s="41" t="s">
        <v>344</v>
      </c>
      <c r="J1249" s="41" t="s">
        <v>24</v>
      </c>
      <c r="K1249" s="41" t="s">
        <v>1557</v>
      </c>
      <c r="L1249" s="41" t="s">
        <v>339</v>
      </c>
      <c r="M1249">
        <f t="shared" si="77"/>
        <v>131</v>
      </c>
      <c r="N1249">
        <f t="shared" si="78"/>
        <v>9</v>
      </c>
      <c r="O1249">
        <f t="shared" si="79"/>
        <v>47</v>
      </c>
      <c r="P1249">
        <f t="shared" si="80"/>
        <v>0</v>
      </c>
    </row>
    <row r="1250" spans="9:16" ht="15" customHeight="1" x14ac:dyDescent="0.25">
      <c r="I1250" s="43" t="s">
        <v>10</v>
      </c>
      <c r="J1250" s="43" t="s">
        <v>11</v>
      </c>
      <c r="K1250" s="43" t="s">
        <v>1560</v>
      </c>
      <c r="L1250" s="43" t="s">
        <v>345</v>
      </c>
      <c r="M1250">
        <f t="shared" si="77"/>
        <v>143</v>
      </c>
      <c r="N1250">
        <f t="shared" si="78"/>
        <v>32</v>
      </c>
      <c r="O1250">
        <f t="shared" si="79"/>
        <v>49</v>
      </c>
      <c r="P1250">
        <f t="shared" si="80"/>
        <v>2</v>
      </c>
    </row>
    <row r="1251" spans="9:16" ht="15" customHeight="1" x14ac:dyDescent="0.25">
      <c r="I1251" s="41" t="s">
        <v>17</v>
      </c>
      <c r="J1251" s="41" t="s">
        <v>24</v>
      </c>
      <c r="K1251" s="41" t="s">
        <v>12</v>
      </c>
      <c r="L1251" s="41" t="s">
        <v>33</v>
      </c>
      <c r="M1251">
        <f t="shared" si="77"/>
        <v>141</v>
      </c>
      <c r="N1251">
        <f t="shared" si="78"/>
        <v>9</v>
      </c>
      <c r="O1251">
        <f t="shared" si="79"/>
        <v>0</v>
      </c>
      <c r="P1251">
        <f t="shared" si="80"/>
        <v>30</v>
      </c>
    </row>
    <row r="1252" spans="9:16" ht="15" customHeight="1" x14ac:dyDescent="0.25">
      <c r="I1252" s="43" t="s">
        <v>23</v>
      </c>
      <c r="J1252" s="43" t="s">
        <v>11</v>
      </c>
      <c r="K1252" s="43" t="s">
        <v>12</v>
      </c>
      <c r="L1252" s="43" t="s">
        <v>13</v>
      </c>
      <c r="M1252">
        <f t="shared" si="77"/>
        <v>136</v>
      </c>
      <c r="N1252">
        <f t="shared" si="78"/>
        <v>32</v>
      </c>
      <c r="O1252">
        <f t="shared" si="79"/>
        <v>0</v>
      </c>
      <c r="P1252">
        <f t="shared" si="80"/>
        <v>21</v>
      </c>
    </row>
    <row r="1253" spans="9:16" ht="15" customHeight="1" x14ac:dyDescent="0.25">
      <c r="I1253" s="41" t="s">
        <v>342</v>
      </c>
      <c r="J1253" s="41" t="s">
        <v>24</v>
      </c>
      <c r="K1253" s="41" t="s">
        <v>1552</v>
      </c>
      <c r="L1253" s="41" t="s">
        <v>19</v>
      </c>
      <c r="M1253">
        <f t="shared" si="77"/>
        <v>134</v>
      </c>
      <c r="N1253">
        <f t="shared" si="78"/>
        <v>9</v>
      </c>
      <c r="O1253">
        <f t="shared" si="79"/>
        <v>37</v>
      </c>
      <c r="P1253">
        <f t="shared" si="80"/>
        <v>23</v>
      </c>
    </row>
    <row r="1254" spans="9:16" ht="15" customHeight="1" x14ac:dyDescent="0.25">
      <c r="I1254" s="43" t="s">
        <v>340</v>
      </c>
      <c r="J1254" s="43" t="s">
        <v>11</v>
      </c>
      <c r="K1254" s="43" t="s">
        <v>1553</v>
      </c>
      <c r="L1254" s="43" t="s">
        <v>43</v>
      </c>
      <c r="M1254">
        <f t="shared" si="77"/>
        <v>129</v>
      </c>
      <c r="N1254">
        <f t="shared" si="78"/>
        <v>32</v>
      </c>
      <c r="O1254">
        <f t="shared" si="79"/>
        <v>39</v>
      </c>
      <c r="P1254">
        <f t="shared" si="80"/>
        <v>25</v>
      </c>
    </row>
    <row r="1255" spans="9:16" ht="15" customHeight="1" x14ac:dyDescent="0.25">
      <c r="I1255" s="41" t="s">
        <v>343</v>
      </c>
      <c r="J1255" s="41" t="s">
        <v>24</v>
      </c>
      <c r="K1255" s="41" t="s">
        <v>1554</v>
      </c>
      <c r="L1255" s="41" t="s">
        <v>339</v>
      </c>
      <c r="M1255">
        <f t="shared" si="77"/>
        <v>132</v>
      </c>
      <c r="N1255">
        <f t="shared" si="78"/>
        <v>9</v>
      </c>
      <c r="O1255">
        <f t="shared" si="79"/>
        <v>38</v>
      </c>
      <c r="P1255">
        <f t="shared" si="80"/>
        <v>0</v>
      </c>
    </row>
    <row r="1256" spans="9:16" ht="15" customHeight="1" x14ac:dyDescent="0.25">
      <c r="I1256" s="43" t="s">
        <v>335</v>
      </c>
      <c r="J1256" s="43" t="s">
        <v>11</v>
      </c>
      <c r="K1256" s="43" t="s">
        <v>1555</v>
      </c>
      <c r="L1256" s="43" t="s">
        <v>345</v>
      </c>
      <c r="M1256">
        <f t="shared" si="77"/>
        <v>139</v>
      </c>
      <c r="N1256">
        <f t="shared" si="78"/>
        <v>32</v>
      </c>
      <c r="O1256">
        <f t="shared" si="79"/>
        <v>41</v>
      </c>
      <c r="P1256">
        <f t="shared" si="80"/>
        <v>2</v>
      </c>
    </row>
    <row r="1257" spans="9:16" ht="15" customHeight="1" x14ac:dyDescent="0.25">
      <c r="I1257" s="41" t="s">
        <v>338</v>
      </c>
      <c r="J1257" s="41" t="s">
        <v>24</v>
      </c>
      <c r="K1257" s="41" t="s">
        <v>1556</v>
      </c>
      <c r="L1257" s="41" t="s">
        <v>33</v>
      </c>
      <c r="M1257">
        <f t="shared" si="77"/>
        <v>135</v>
      </c>
      <c r="N1257">
        <f t="shared" si="78"/>
        <v>9</v>
      </c>
      <c r="O1257">
        <f t="shared" si="79"/>
        <v>42</v>
      </c>
      <c r="P1257">
        <f t="shared" si="80"/>
        <v>30</v>
      </c>
    </row>
    <row r="1258" spans="9:16" ht="15" customHeight="1" x14ac:dyDescent="0.25">
      <c r="I1258" s="43" t="s">
        <v>337</v>
      </c>
      <c r="J1258" s="43" t="s">
        <v>11</v>
      </c>
      <c r="K1258" s="43" t="s">
        <v>1559</v>
      </c>
      <c r="L1258" s="43" t="s">
        <v>13</v>
      </c>
      <c r="M1258">
        <f t="shared" si="77"/>
        <v>137</v>
      </c>
      <c r="N1258">
        <f t="shared" si="78"/>
        <v>32</v>
      </c>
      <c r="O1258">
        <f t="shared" si="79"/>
        <v>43</v>
      </c>
      <c r="P1258">
        <f t="shared" si="80"/>
        <v>21</v>
      </c>
    </row>
    <row r="1259" spans="9:16" ht="15" customHeight="1" x14ac:dyDescent="0.25">
      <c r="I1259" s="41" t="s">
        <v>343</v>
      </c>
      <c r="J1259" s="41" t="s">
        <v>11</v>
      </c>
      <c r="K1259" s="41" t="s">
        <v>1557</v>
      </c>
      <c r="L1259" s="41" t="s">
        <v>19</v>
      </c>
      <c r="M1259">
        <f t="shared" si="77"/>
        <v>132</v>
      </c>
      <c r="N1259">
        <f t="shared" si="78"/>
        <v>32</v>
      </c>
      <c r="O1259">
        <f t="shared" si="79"/>
        <v>47</v>
      </c>
      <c r="P1259">
        <f t="shared" si="80"/>
        <v>23</v>
      </c>
    </row>
    <row r="1260" spans="9:16" ht="15" customHeight="1" x14ac:dyDescent="0.25">
      <c r="I1260" s="43" t="s">
        <v>340</v>
      </c>
      <c r="J1260" s="43" t="s">
        <v>11</v>
      </c>
      <c r="K1260" s="43" t="s">
        <v>1558</v>
      </c>
      <c r="L1260" s="43" t="s">
        <v>43</v>
      </c>
      <c r="M1260">
        <f t="shared" si="77"/>
        <v>129</v>
      </c>
      <c r="N1260">
        <f t="shared" si="78"/>
        <v>32</v>
      </c>
      <c r="O1260">
        <f t="shared" si="79"/>
        <v>48</v>
      </c>
      <c r="P1260">
        <f t="shared" si="80"/>
        <v>25</v>
      </c>
    </row>
    <row r="1261" spans="9:16" ht="15" customHeight="1" x14ac:dyDescent="0.25">
      <c r="I1261" s="41" t="s">
        <v>10</v>
      </c>
      <c r="J1261" s="41" t="s">
        <v>11</v>
      </c>
      <c r="K1261" s="41" t="s">
        <v>1560</v>
      </c>
      <c r="L1261" s="41" t="s">
        <v>339</v>
      </c>
      <c r="M1261">
        <f t="shared" si="77"/>
        <v>143</v>
      </c>
      <c r="N1261">
        <f t="shared" si="78"/>
        <v>32</v>
      </c>
      <c r="O1261">
        <f t="shared" si="79"/>
        <v>49</v>
      </c>
      <c r="P1261">
        <f t="shared" si="80"/>
        <v>0</v>
      </c>
    </row>
    <row r="1262" spans="9:16" ht="15" customHeight="1" x14ac:dyDescent="0.25">
      <c r="I1262" s="43" t="s">
        <v>344</v>
      </c>
      <c r="J1262" s="43" t="s">
        <v>11</v>
      </c>
      <c r="K1262" s="43" t="s">
        <v>1561</v>
      </c>
      <c r="L1262" s="43" t="s">
        <v>345</v>
      </c>
      <c r="M1262">
        <f t="shared" si="77"/>
        <v>131</v>
      </c>
      <c r="N1262">
        <f t="shared" si="78"/>
        <v>32</v>
      </c>
      <c r="O1262">
        <f t="shared" si="79"/>
        <v>51</v>
      </c>
      <c r="P1262">
        <f t="shared" si="80"/>
        <v>2</v>
      </c>
    </row>
    <row r="1263" spans="9:16" ht="15" customHeight="1" x14ac:dyDescent="0.25">
      <c r="I1263" s="41" t="s">
        <v>338</v>
      </c>
      <c r="J1263" s="41" t="s">
        <v>11</v>
      </c>
      <c r="K1263" s="41" t="s">
        <v>1561</v>
      </c>
      <c r="L1263" s="41" t="s">
        <v>33</v>
      </c>
      <c r="M1263">
        <f t="shared" si="77"/>
        <v>135</v>
      </c>
      <c r="N1263">
        <f t="shared" si="78"/>
        <v>32</v>
      </c>
      <c r="O1263">
        <f t="shared" si="79"/>
        <v>51</v>
      </c>
      <c r="P1263">
        <f t="shared" si="80"/>
        <v>30</v>
      </c>
    </row>
    <row r="1264" spans="9:16" ht="15" customHeight="1" x14ac:dyDescent="0.25">
      <c r="I1264" s="43" t="s">
        <v>23</v>
      </c>
      <c r="J1264" s="43" t="s">
        <v>11</v>
      </c>
      <c r="K1264" s="43" t="s">
        <v>1560</v>
      </c>
      <c r="L1264" s="43" t="s">
        <v>13</v>
      </c>
      <c r="M1264">
        <f t="shared" si="77"/>
        <v>136</v>
      </c>
      <c r="N1264">
        <f t="shared" si="78"/>
        <v>32</v>
      </c>
      <c r="O1264">
        <f t="shared" si="79"/>
        <v>49</v>
      </c>
      <c r="P1264">
        <f t="shared" si="80"/>
        <v>21</v>
      </c>
    </row>
    <row r="1265" spans="9:16" ht="15" customHeight="1" x14ac:dyDescent="0.25">
      <c r="I1265" s="41" t="s">
        <v>17</v>
      </c>
      <c r="J1265" s="41" t="s">
        <v>11</v>
      </c>
      <c r="K1265" s="41" t="s">
        <v>1558</v>
      </c>
      <c r="L1265" s="41" t="s">
        <v>19</v>
      </c>
      <c r="M1265">
        <f t="shared" si="77"/>
        <v>141</v>
      </c>
      <c r="N1265">
        <f t="shared" si="78"/>
        <v>32</v>
      </c>
      <c r="O1265">
        <f t="shared" si="79"/>
        <v>48</v>
      </c>
      <c r="P1265">
        <f t="shared" si="80"/>
        <v>23</v>
      </c>
    </row>
    <row r="1266" spans="9:16" ht="15" customHeight="1" x14ac:dyDescent="0.25">
      <c r="I1266" s="43" t="s">
        <v>10</v>
      </c>
      <c r="J1266" s="43" t="s">
        <v>11</v>
      </c>
      <c r="K1266" s="43" t="s">
        <v>1557</v>
      </c>
      <c r="L1266" s="43" t="s">
        <v>43</v>
      </c>
      <c r="M1266">
        <f t="shared" si="77"/>
        <v>143</v>
      </c>
      <c r="N1266">
        <f t="shared" si="78"/>
        <v>32</v>
      </c>
      <c r="O1266">
        <f t="shared" si="79"/>
        <v>47</v>
      </c>
      <c r="P1266">
        <f t="shared" si="80"/>
        <v>25</v>
      </c>
    </row>
    <row r="1267" spans="9:16" ht="15" customHeight="1" x14ac:dyDescent="0.25">
      <c r="I1267" s="41" t="s">
        <v>337</v>
      </c>
      <c r="J1267" s="41" t="s">
        <v>11</v>
      </c>
      <c r="K1267" s="41" t="s">
        <v>1559</v>
      </c>
      <c r="L1267" s="41" t="s">
        <v>339</v>
      </c>
      <c r="M1267">
        <f t="shared" si="77"/>
        <v>137</v>
      </c>
      <c r="N1267">
        <f t="shared" si="78"/>
        <v>32</v>
      </c>
      <c r="O1267">
        <f t="shared" si="79"/>
        <v>43</v>
      </c>
      <c r="P1267">
        <f t="shared" si="80"/>
        <v>0</v>
      </c>
    </row>
    <row r="1268" spans="9:16" ht="15" customHeight="1" x14ac:dyDescent="0.25">
      <c r="I1268" s="43" t="s">
        <v>338</v>
      </c>
      <c r="J1268" s="43" t="s">
        <v>11</v>
      </c>
      <c r="K1268" s="43" t="s">
        <v>1556</v>
      </c>
      <c r="L1268" s="43" t="s">
        <v>345</v>
      </c>
      <c r="M1268">
        <f t="shared" si="77"/>
        <v>135</v>
      </c>
      <c r="N1268">
        <f t="shared" si="78"/>
        <v>32</v>
      </c>
      <c r="O1268">
        <f t="shared" si="79"/>
        <v>42</v>
      </c>
      <c r="P1268">
        <f t="shared" si="80"/>
        <v>2</v>
      </c>
    </row>
    <row r="1269" spans="9:16" ht="15" customHeight="1" x14ac:dyDescent="0.25">
      <c r="I1269" s="41" t="s">
        <v>338</v>
      </c>
      <c r="J1269" s="41" t="s">
        <v>11</v>
      </c>
      <c r="K1269" s="41" t="s">
        <v>1555</v>
      </c>
      <c r="L1269" s="41" t="s">
        <v>33</v>
      </c>
      <c r="M1269">
        <f t="shared" si="77"/>
        <v>135</v>
      </c>
      <c r="N1269">
        <f t="shared" si="78"/>
        <v>32</v>
      </c>
      <c r="O1269">
        <f t="shared" si="79"/>
        <v>41</v>
      </c>
      <c r="P1269">
        <f t="shared" si="80"/>
        <v>30</v>
      </c>
    </row>
    <row r="1270" spans="9:16" ht="15" customHeight="1" x14ac:dyDescent="0.25">
      <c r="I1270" s="43" t="s">
        <v>335</v>
      </c>
      <c r="J1270" s="43" t="s">
        <v>11</v>
      </c>
      <c r="K1270" s="43" t="s">
        <v>1554</v>
      </c>
      <c r="L1270" s="43" t="s">
        <v>13</v>
      </c>
      <c r="M1270">
        <f t="shared" si="77"/>
        <v>139</v>
      </c>
      <c r="N1270">
        <f t="shared" si="78"/>
        <v>32</v>
      </c>
      <c r="O1270">
        <f t="shared" si="79"/>
        <v>38</v>
      </c>
      <c r="P1270">
        <f t="shared" si="80"/>
        <v>21</v>
      </c>
    </row>
    <row r="1271" spans="9:16" ht="15" customHeight="1" x14ac:dyDescent="0.25">
      <c r="I1271" s="41" t="s">
        <v>335</v>
      </c>
      <c r="J1271" s="41" t="s">
        <v>11</v>
      </c>
      <c r="K1271" s="41" t="s">
        <v>1553</v>
      </c>
      <c r="L1271" s="41" t="s">
        <v>19</v>
      </c>
      <c r="M1271">
        <f t="shared" si="77"/>
        <v>139</v>
      </c>
      <c r="N1271">
        <f t="shared" si="78"/>
        <v>32</v>
      </c>
      <c r="O1271">
        <f t="shared" si="79"/>
        <v>39</v>
      </c>
      <c r="P1271">
        <f t="shared" si="80"/>
        <v>23</v>
      </c>
    </row>
    <row r="1272" spans="9:16" ht="15" customHeight="1" x14ac:dyDescent="0.25">
      <c r="I1272" s="43" t="s">
        <v>342</v>
      </c>
      <c r="J1272" s="43" t="s">
        <v>11</v>
      </c>
      <c r="K1272" s="43" t="s">
        <v>1552</v>
      </c>
      <c r="L1272" s="43" t="s">
        <v>43</v>
      </c>
      <c r="M1272">
        <f t="shared" ref="M1272:M1335" si="81">_xlfn.XLOOKUP(I1272,$C$9:$C$37,$D$9:$D$37,2,0)</f>
        <v>134</v>
      </c>
      <c r="N1272">
        <f t="shared" ref="N1272:N1335" si="82">_xlfn.XLOOKUP(J1272,$C$9:$C$37,$D$9:$D$37,2,0)</f>
        <v>32</v>
      </c>
      <c r="O1272">
        <f t="shared" ref="O1272:O1335" si="83">_xlfn.XLOOKUP(K1272,$C$9:$C$37,$D$9:$D$37,2,0)</f>
        <v>37</v>
      </c>
      <c r="P1272">
        <f t="shared" ref="P1272:P1335" si="84">_xlfn.XLOOKUP(L1272,$C$9:$C$37,$D$9:$D$37,2,0)</f>
        <v>25</v>
      </c>
    </row>
    <row r="1273" spans="9:16" ht="15" customHeight="1" x14ac:dyDescent="0.25">
      <c r="I1273" s="41" t="s">
        <v>342</v>
      </c>
      <c r="J1273" s="41" t="s">
        <v>11</v>
      </c>
      <c r="K1273" s="41" t="s">
        <v>12</v>
      </c>
      <c r="L1273" s="41" t="s">
        <v>339</v>
      </c>
      <c r="M1273">
        <f t="shared" si="81"/>
        <v>134</v>
      </c>
      <c r="N1273">
        <f t="shared" si="82"/>
        <v>32</v>
      </c>
      <c r="O1273">
        <f t="shared" si="83"/>
        <v>0</v>
      </c>
      <c r="P1273">
        <f t="shared" si="84"/>
        <v>0</v>
      </c>
    </row>
    <row r="1274" spans="9:16" ht="15" customHeight="1" x14ac:dyDescent="0.25">
      <c r="I1274" s="43" t="s">
        <v>10</v>
      </c>
      <c r="J1274" s="43" t="s">
        <v>11</v>
      </c>
      <c r="K1274" s="43" t="s">
        <v>12</v>
      </c>
      <c r="L1274" s="43" t="s">
        <v>345</v>
      </c>
      <c r="M1274">
        <f t="shared" si="81"/>
        <v>143</v>
      </c>
      <c r="N1274">
        <f t="shared" si="82"/>
        <v>32</v>
      </c>
      <c r="O1274">
        <f t="shared" si="83"/>
        <v>0</v>
      </c>
      <c r="P1274">
        <f t="shared" si="84"/>
        <v>2</v>
      </c>
    </row>
    <row r="1275" spans="9:16" ht="15" customHeight="1" x14ac:dyDescent="0.25">
      <c r="I1275" s="41" t="s">
        <v>17</v>
      </c>
      <c r="J1275" s="41" t="s">
        <v>11</v>
      </c>
      <c r="K1275" s="41" t="s">
        <v>1552</v>
      </c>
      <c r="L1275" s="41" t="s">
        <v>33</v>
      </c>
      <c r="M1275">
        <f t="shared" si="81"/>
        <v>141</v>
      </c>
      <c r="N1275">
        <f t="shared" si="82"/>
        <v>32</v>
      </c>
      <c r="O1275">
        <f t="shared" si="83"/>
        <v>37</v>
      </c>
      <c r="P1275">
        <f t="shared" si="84"/>
        <v>30</v>
      </c>
    </row>
    <row r="1276" spans="9:16" ht="15" customHeight="1" x14ac:dyDescent="0.25">
      <c r="I1276" s="43" t="s">
        <v>10</v>
      </c>
      <c r="J1276" s="43" t="s">
        <v>11</v>
      </c>
      <c r="K1276" s="43" t="s">
        <v>1555</v>
      </c>
      <c r="L1276" s="43" t="s">
        <v>13</v>
      </c>
      <c r="M1276">
        <f t="shared" si="81"/>
        <v>143</v>
      </c>
      <c r="N1276">
        <f t="shared" si="82"/>
        <v>32</v>
      </c>
      <c r="O1276">
        <f t="shared" si="83"/>
        <v>41</v>
      </c>
      <c r="P1276">
        <f t="shared" si="84"/>
        <v>21</v>
      </c>
    </row>
    <row r="1277" spans="9:16" ht="15" customHeight="1" x14ac:dyDescent="0.25">
      <c r="I1277" s="41" t="s">
        <v>23</v>
      </c>
      <c r="J1277" s="41" t="s">
        <v>24</v>
      </c>
      <c r="K1277" s="41" t="s">
        <v>1557</v>
      </c>
      <c r="L1277" s="41" t="s">
        <v>19</v>
      </c>
      <c r="M1277">
        <f t="shared" si="81"/>
        <v>136</v>
      </c>
      <c r="N1277">
        <f t="shared" si="82"/>
        <v>9</v>
      </c>
      <c r="O1277">
        <f t="shared" si="83"/>
        <v>47</v>
      </c>
      <c r="P1277">
        <f t="shared" si="84"/>
        <v>23</v>
      </c>
    </row>
    <row r="1278" spans="9:16" ht="15" customHeight="1" x14ac:dyDescent="0.25">
      <c r="I1278" s="43" t="s">
        <v>17</v>
      </c>
      <c r="J1278" s="43" t="s">
        <v>24</v>
      </c>
      <c r="K1278" s="43" t="s">
        <v>1560</v>
      </c>
      <c r="L1278" s="43" t="s">
        <v>43</v>
      </c>
      <c r="M1278">
        <f t="shared" si="81"/>
        <v>141</v>
      </c>
      <c r="N1278">
        <f t="shared" si="82"/>
        <v>9</v>
      </c>
      <c r="O1278">
        <f t="shared" si="83"/>
        <v>49</v>
      </c>
      <c r="P1278">
        <f t="shared" si="84"/>
        <v>25</v>
      </c>
    </row>
    <row r="1279" spans="9:16" ht="15" customHeight="1" x14ac:dyDescent="0.25">
      <c r="I1279" s="41" t="s">
        <v>337</v>
      </c>
      <c r="J1279" s="41" t="s">
        <v>24</v>
      </c>
      <c r="K1279" s="41" t="s">
        <v>1553</v>
      </c>
      <c r="L1279" s="41" t="s">
        <v>339</v>
      </c>
      <c r="M1279">
        <f t="shared" si="81"/>
        <v>137</v>
      </c>
      <c r="N1279">
        <f t="shared" si="82"/>
        <v>9</v>
      </c>
      <c r="O1279">
        <f t="shared" si="83"/>
        <v>39</v>
      </c>
      <c r="P1279">
        <f t="shared" si="84"/>
        <v>0</v>
      </c>
    </row>
    <row r="1280" spans="9:16" ht="15" customHeight="1" x14ac:dyDescent="0.25">
      <c r="I1280" s="43" t="s">
        <v>337</v>
      </c>
      <c r="J1280" s="43" t="s">
        <v>24</v>
      </c>
      <c r="K1280" s="43" t="s">
        <v>1556</v>
      </c>
      <c r="L1280" s="43" t="s">
        <v>345</v>
      </c>
      <c r="M1280">
        <f t="shared" si="81"/>
        <v>137</v>
      </c>
      <c r="N1280">
        <f t="shared" si="82"/>
        <v>9</v>
      </c>
      <c r="O1280">
        <f t="shared" si="83"/>
        <v>42</v>
      </c>
      <c r="P1280">
        <f t="shared" si="84"/>
        <v>2</v>
      </c>
    </row>
    <row r="1281" spans="9:16" ht="15" customHeight="1" x14ac:dyDescent="0.25">
      <c r="I1281" s="41" t="s">
        <v>338</v>
      </c>
      <c r="J1281" s="41" t="s">
        <v>24</v>
      </c>
      <c r="K1281" s="41" t="s">
        <v>1558</v>
      </c>
      <c r="L1281" s="41" t="s">
        <v>33</v>
      </c>
      <c r="M1281">
        <f t="shared" si="81"/>
        <v>135</v>
      </c>
      <c r="N1281">
        <f t="shared" si="82"/>
        <v>9</v>
      </c>
      <c r="O1281">
        <f t="shared" si="83"/>
        <v>48</v>
      </c>
      <c r="P1281">
        <f t="shared" si="84"/>
        <v>30</v>
      </c>
    </row>
    <row r="1282" spans="9:16" ht="15" customHeight="1" x14ac:dyDescent="0.25">
      <c r="I1282" s="43" t="s">
        <v>335</v>
      </c>
      <c r="J1282" s="43" t="s">
        <v>24</v>
      </c>
      <c r="K1282" s="43" t="s">
        <v>1561</v>
      </c>
      <c r="L1282" s="43" t="s">
        <v>13</v>
      </c>
      <c r="M1282">
        <f t="shared" si="81"/>
        <v>139</v>
      </c>
      <c r="N1282">
        <f t="shared" si="82"/>
        <v>9</v>
      </c>
      <c r="O1282">
        <f t="shared" si="83"/>
        <v>51</v>
      </c>
      <c r="P1282">
        <f t="shared" si="84"/>
        <v>21</v>
      </c>
    </row>
    <row r="1283" spans="9:16" ht="15" customHeight="1" x14ac:dyDescent="0.25">
      <c r="I1283" s="41" t="s">
        <v>343</v>
      </c>
      <c r="J1283" s="41" t="s">
        <v>24</v>
      </c>
      <c r="K1283" s="41" t="s">
        <v>1554</v>
      </c>
      <c r="L1283" s="41" t="s">
        <v>19</v>
      </c>
      <c r="M1283">
        <f t="shared" si="81"/>
        <v>132</v>
      </c>
      <c r="N1283">
        <f t="shared" si="82"/>
        <v>9</v>
      </c>
      <c r="O1283">
        <f t="shared" si="83"/>
        <v>38</v>
      </c>
      <c r="P1283">
        <f t="shared" si="84"/>
        <v>23</v>
      </c>
    </row>
    <row r="1284" spans="9:16" ht="15" customHeight="1" x14ac:dyDescent="0.25">
      <c r="I1284" s="43" t="s">
        <v>340</v>
      </c>
      <c r="J1284" s="43" t="s">
        <v>24</v>
      </c>
      <c r="K1284" s="43" t="s">
        <v>1559</v>
      </c>
      <c r="L1284" s="43" t="s">
        <v>43</v>
      </c>
      <c r="M1284">
        <f t="shared" si="81"/>
        <v>129</v>
      </c>
      <c r="N1284">
        <f t="shared" si="82"/>
        <v>9</v>
      </c>
      <c r="O1284">
        <f t="shared" si="83"/>
        <v>43</v>
      </c>
      <c r="P1284">
        <f t="shared" si="84"/>
        <v>25</v>
      </c>
    </row>
    <row r="1285" spans="9:16" ht="15" customHeight="1" x14ac:dyDescent="0.25">
      <c r="I1285" s="41" t="s">
        <v>342</v>
      </c>
      <c r="J1285" s="41" t="s">
        <v>24</v>
      </c>
      <c r="K1285" s="41" t="s">
        <v>1554</v>
      </c>
      <c r="L1285" s="41" t="s">
        <v>339</v>
      </c>
      <c r="M1285">
        <f t="shared" si="81"/>
        <v>134</v>
      </c>
      <c r="N1285">
        <f t="shared" si="82"/>
        <v>9</v>
      </c>
      <c r="O1285">
        <f t="shared" si="83"/>
        <v>38</v>
      </c>
      <c r="P1285">
        <f t="shared" si="84"/>
        <v>0</v>
      </c>
    </row>
    <row r="1286" spans="9:16" ht="15" customHeight="1" x14ac:dyDescent="0.25">
      <c r="I1286" s="43" t="s">
        <v>23</v>
      </c>
      <c r="J1286" s="43" t="s">
        <v>24</v>
      </c>
      <c r="K1286" s="43" t="s">
        <v>1559</v>
      </c>
      <c r="L1286" s="43" t="s">
        <v>345</v>
      </c>
      <c r="M1286">
        <f t="shared" si="81"/>
        <v>136</v>
      </c>
      <c r="N1286">
        <f t="shared" si="82"/>
        <v>9</v>
      </c>
      <c r="O1286">
        <f t="shared" si="83"/>
        <v>43</v>
      </c>
      <c r="P1286">
        <f t="shared" si="84"/>
        <v>2</v>
      </c>
    </row>
    <row r="1287" spans="9:16" ht="15" customHeight="1" x14ac:dyDescent="0.25">
      <c r="I1287" s="41" t="s">
        <v>17</v>
      </c>
      <c r="J1287" s="41" t="s">
        <v>24</v>
      </c>
      <c r="K1287" s="41" t="s">
        <v>1553</v>
      </c>
      <c r="L1287" s="41" t="s">
        <v>33</v>
      </c>
      <c r="M1287">
        <f t="shared" si="81"/>
        <v>141</v>
      </c>
      <c r="N1287">
        <f t="shared" si="82"/>
        <v>9</v>
      </c>
      <c r="O1287">
        <f t="shared" si="83"/>
        <v>39</v>
      </c>
      <c r="P1287">
        <f t="shared" si="84"/>
        <v>30</v>
      </c>
    </row>
    <row r="1288" spans="9:16" ht="15" customHeight="1" x14ac:dyDescent="0.25">
      <c r="I1288" s="43" t="s">
        <v>10</v>
      </c>
      <c r="J1288" s="43" t="s">
        <v>24</v>
      </c>
      <c r="K1288" s="43" t="s">
        <v>1556</v>
      </c>
      <c r="L1288" s="43" t="s">
        <v>13</v>
      </c>
      <c r="M1288">
        <f t="shared" si="81"/>
        <v>143</v>
      </c>
      <c r="N1288">
        <f t="shared" si="82"/>
        <v>9</v>
      </c>
      <c r="O1288">
        <f t="shared" si="83"/>
        <v>42</v>
      </c>
      <c r="P1288">
        <f t="shared" si="84"/>
        <v>21</v>
      </c>
    </row>
    <row r="1289" spans="9:16" ht="15" customHeight="1" x14ac:dyDescent="0.25">
      <c r="I1289" s="41" t="s">
        <v>344</v>
      </c>
      <c r="J1289" s="41" t="s">
        <v>24</v>
      </c>
      <c r="K1289" s="41" t="s">
        <v>1558</v>
      </c>
      <c r="L1289" s="41" t="s">
        <v>19</v>
      </c>
      <c r="M1289">
        <f t="shared" si="81"/>
        <v>131</v>
      </c>
      <c r="N1289">
        <f t="shared" si="82"/>
        <v>9</v>
      </c>
      <c r="O1289">
        <f t="shared" si="83"/>
        <v>48</v>
      </c>
      <c r="P1289">
        <f t="shared" si="84"/>
        <v>23</v>
      </c>
    </row>
    <row r="1290" spans="9:16" ht="15" customHeight="1" x14ac:dyDescent="0.25">
      <c r="I1290" s="43" t="s">
        <v>344</v>
      </c>
      <c r="J1290" s="43" t="s">
        <v>24</v>
      </c>
      <c r="K1290" s="43" t="s">
        <v>1561</v>
      </c>
      <c r="L1290" s="43" t="s">
        <v>43</v>
      </c>
      <c r="M1290">
        <f t="shared" si="81"/>
        <v>131</v>
      </c>
      <c r="N1290">
        <f t="shared" si="82"/>
        <v>9</v>
      </c>
      <c r="O1290">
        <f t="shared" si="83"/>
        <v>51</v>
      </c>
      <c r="P1290">
        <f t="shared" si="84"/>
        <v>25</v>
      </c>
    </row>
    <row r="1291" spans="9:16" ht="15" customHeight="1" x14ac:dyDescent="0.25">
      <c r="I1291" s="41" t="s">
        <v>10</v>
      </c>
      <c r="J1291" s="41" t="s">
        <v>24</v>
      </c>
      <c r="K1291" s="41" t="s">
        <v>1552</v>
      </c>
      <c r="L1291" s="41" t="s">
        <v>339</v>
      </c>
      <c r="M1291">
        <f t="shared" si="81"/>
        <v>143</v>
      </c>
      <c r="N1291">
        <f t="shared" si="82"/>
        <v>9</v>
      </c>
      <c r="O1291">
        <f t="shared" si="83"/>
        <v>37</v>
      </c>
      <c r="P1291">
        <f t="shared" si="84"/>
        <v>0</v>
      </c>
    </row>
    <row r="1292" spans="9:16" ht="15" customHeight="1" x14ac:dyDescent="0.25">
      <c r="I1292" s="43" t="s">
        <v>17</v>
      </c>
      <c r="J1292" s="43" t="s">
        <v>24</v>
      </c>
      <c r="K1292" s="43" t="s">
        <v>1555</v>
      </c>
      <c r="L1292" s="43" t="s">
        <v>345</v>
      </c>
      <c r="M1292">
        <f t="shared" si="81"/>
        <v>141</v>
      </c>
      <c r="N1292">
        <f t="shared" si="82"/>
        <v>9</v>
      </c>
      <c r="O1292">
        <f t="shared" si="83"/>
        <v>41</v>
      </c>
      <c r="P1292">
        <f t="shared" si="84"/>
        <v>2</v>
      </c>
    </row>
    <row r="1293" spans="9:16" ht="15" customHeight="1" x14ac:dyDescent="0.25">
      <c r="I1293" s="41" t="s">
        <v>23</v>
      </c>
      <c r="J1293" s="41" t="s">
        <v>24</v>
      </c>
      <c r="K1293" s="41" t="s">
        <v>1557</v>
      </c>
      <c r="L1293" s="41" t="s">
        <v>33</v>
      </c>
      <c r="M1293">
        <f t="shared" si="81"/>
        <v>136</v>
      </c>
      <c r="N1293">
        <f t="shared" si="82"/>
        <v>9</v>
      </c>
      <c r="O1293">
        <f t="shared" si="83"/>
        <v>47</v>
      </c>
      <c r="P1293">
        <f t="shared" si="84"/>
        <v>30</v>
      </c>
    </row>
    <row r="1294" spans="9:16" ht="15" customHeight="1" x14ac:dyDescent="0.25">
      <c r="I1294" s="43" t="s">
        <v>342</v>
      </c>
      <c r="J1294" s="43" t="s">
        <v>24</v>
      </c>
      <c r="K1294" s="43" t="s">
        <v>1560</v>
      </c>
      <c r="L1294" s="43" t="s">
        <v>13</v>
      </c>
      <c r="M1294">
        <f t="shared" si="81"/>
        <v>134</v>
      </c>
      <c r="N1294">
        <f t="shared" si="82"/>
        <v>9</v>
      </c>
      <c r="O1294">
        <f t="shared" si="83"/>
        <v>49</v>
      </c>
      <c r="P1294">
        <f t="shared" si="84"/>
        <v>21</v>
      </c>
    </row>
    <row r="1295" spans="9:16" ht="15" customHeight="1" x14ac:dyDescent="0.25">
      <c r="I1295" s="41" t="s">
        <v>340</v>
      </c>
      <c r="J1295" s="41" t="s">
        <v>24</v>
      </c>
      <c r="K1295" s="41" t="s">
        <v>12</v>
      </c>
      <c r="L1295" s="41" t="s">
        <v>19</v>
      </c>
      <c r="M1295">
        <f t="shared" si="81"/>
        <v>129</v>
      </c>
      <c r="N1295">
        <f t="shared" si="82"/>
        <v>9</v>
      </c>
      <c r="O1295">
        <f t="shared" si="83"/>
        <v>0</v>
      </c>
      <c r="P1295">
        <f t="shared" si="84"/>
        <v>23</v>
      </c>
    </row>
    <row r="1296" spans="9:16" ht="15" customHeight="1" x14ac:dyDescent="0.25">
      <c r="I1296" s="43" t="s">
        <v>343</v>
      </c>
      <c r="J1296" s="43" t="s">
        <v>24</v>
      </c>
      <c r="K1296" s="43" t="s">
        <v>12</v>
      </c>
      <c r="L1296" s="43" t="s">
        <v>43</v>
      </c>
      <c r="M1296">
        <f t="shared" si="81"/>
        <v>132</v>
      </c>
      <c r="N1296">
        <f t="shared" si="82"/>
        <v>9</v>
      </c>
      <c r="O1296">
        <f t="shared" si="83"/>
        <v>0</v>
      </c>
      <c r="P1296">
        <f t="shared" si="84"/>
        <v>25</v>
      </c>
    </row>
    <row r="1297" spans="9:16" ht="15" customHeight="1" x14ac:dyDescent="0.25">
      <c r="I1297" s="41" t="s">
        <v>335</v>
      </c>
      <c r="J1297" s="41" t="s">
        <v>24</v>
      </c>
      <c r="K1297" s="41" t="s">
        <v>1552</v>
      </c>
      <c r="L1297" s="41" t="s">
        <v>339</v>
      </c>
      <c r="M1297">
        <f t="shared" si="81"/>
        <v>139</v>
      </c>
      <c r="N1297">
        <f t="shared" si="82"/>
        <v>9</v>
      </c>
      <c r="O1297">
        <f t="shared" si="83"/>
        <v>37</v>
      </c>
      <c r="P1297">
        <f t="shared" si="84"/>
        <v>0</v>
      </c>
    </row>
    <row r="1298" spans="9:16" ht="15" customHeight="1" x14ac:dyDescent="0.25">
      <c r="I1298" s="43" t="s">
        <v>338</v>
      </c>
      <c r="J1298" s="43" t="s">
        <v>24</v>
      </c>
      <c r="K1298" s="43" t="s">
        <v>1553</v>
      </c>
      <c r="L1298" s="43" t="s">
        <v>345</v>
      </c>
      <c r="M1298">
        <f t="shared" si="81"/>
        <v>135</v>
      </c>
      <c r="N1298">
        <f t="shared" si="82"/>
        <v>9</v>
      </c>
      <c r="O1298">
        <f t="shared" si="83"/>
        <v>39</v>
      </c>
      <c r="P1298">
        <f t="shared" si="84"/>
        <v>2</v>
      </c>
    </row>
    <row r="1299" spans="9:16" ht="15" customHeight="1" x14ac:dyDescent="0.25">
      <c r="I1299" s="41" t="s">
        <v>337</v>
      </c>
      <c r="J1299" s="41" t="s">
        <v>24</v>
      </c>
      <c r="K1299" s="41" t="s">
        <v>1554</v>
      </c>
      <c r="L1299" s="41" t="s">
        <v>33</v>
      </c>
      <c r="M1299">
        <f t="shared" si="81"/>
        <v>137</v>
      </c>
      <c r="N1299">
        <f t="shared" si="82"/>
        <v>9</v>
      </c>
      <c r="O1299">
        <f t="shared" si="83"/>
        <v>38</v>
      </c>
      <c r="P1299">
        <f t="shared" si="84"/>
        <v>30</v>
      </c>
    </row>
    <row r="1300" spans="9:16" ht="15" customHeight="1" x14ac:dyDescent="0.25">
      <c r="I1300" s="43" t="s">
        <v>343</v>
      </c>
      <c r="J1300" s="43" t="s">
        <v>24</v>
      </c>
      <c r="K1300" s="43" t="s">
        <v>1555</v>
      </c>
      <c r="L1300" s="43" t="s">
        <v>13</v>
      </c>
      <c r="M1300">
        <f t="shared" si="81"/>
        <v>132</v>
      </c>
      <c r="N1300">
        <f t="shared" si="82"/>
        <v>9</v>
      </c>
      <c r="O1300">
        <f t="shared" si="83"/>
        <v>41</v>
      </c>
      <c r="P1300">
        <f t="shared" si="84"/>
        <v>21</v>
      </c>
    </row>
    <row r="1301" spans="9:16" ht="15" customHeight="1" x14ac:dyDescent="0.25">
      <c r="I1301" s="41" t="s">
        <v>340</v>
      </c>
      <c r="J1301" s="41" t="s">
        <v>24</v>
      </c>
      <c r="K1301" s="41" t="s">
        <v>1556</v>
      </c>
      <c r="L1301" s="41" t="s">
        <v>19</v>
      </c>
      <c r="M1301">
        <f t="shared" si="81"/>
        <v>129</v>
      </c>
      <c r="N1301">
        <f t="shared" si="82"/>
        <v>9</v>
      </c>
      <c r="O1301">
        <f t="shared" si="83"/>
        <v>42</v>
      </c>
      <c r="P1301">
        <f t="shared" si="84"/>
        <v>23</v>
      </c>
    </row>
    <row r="1302" spans="9:16" ht="15" customHeight="1" x14ac:dyDescent="0.25">
      <c r="I1302" s="43" t="s">
        <v>10</v>
      </c>
      <c r="J1302" s="43" t="s">
        <v>24</v>
      </c>
      <c r="K1302" s="43" t="s">
        <v>1559</v>
      </c>
      <c r="L1302" s="43" t="s">
        <v>43</v>
      </c>
      <c r="M1302">
        <f t="shared" si="81"/>
        <v>143</v>
      </c>
      <c r="N1302">
        <f t="shared" si="82"/>
        <v>9</v>
      </c>
      <c r="O1302">
        <f t="shared" si="83"/>
        <v>43</v>
      </c>
      <c r="P1302">
        <f t="shared" si="84"/>
        <v>25</v>
      </c>
    </row>
    <row r="1303" spans="9:16" ht="15" customHeight="1" x14ac:dyDescent="0.25">
      <c r="I1303" s="41" t="s">
        <v>344</v>
      </c>
      <c r="J1303" s="41" t="s">
        <v>24</v>
      </c>
      <c r="K1303" s="41" t="s">
        <v>1557</v>
      </c>
      <c r="L1303" s="41" t="s">
        <v>339</v>
      </c>
      <c r="M1303">
        <f t="shared" si="81"/>
        <v>131</v>
      </c>
      <c r="N1303">
        <f t="shared" si="82"/>
        <v>9</v>
      </c>
      <c r="O1303">
        <f t="shared" si="83"/>
        <v>47</v>
      </c>
      <c r="P1303">
        <f t="shared" si="84"/>
        <v>0</v>
      </c>
    </row>
    <row r="1304" spans="9:16" ht="15" customHeight="1" x14ac:dyDescent="0.25">
      <c r="I1304" s="43" t="s">
        <v>338</v>
      </c>
      <c r="J1304" s="43" t="s">
        <v>24</v>
      </c>
      <c r="K1304" s="43" t="s">
        <v>1558</v>
      </c>
      <c r="L1304" s="43" t="s">
        <v>345</v>
      </c>
      <c r="M1304">
        <f t="shared" si="81"/>
        <v>135</v>
      </c>
      <c r="N1304">
        <f t="shared" si="82"/>
        <v>9</v>
      </c>
      <c r="O1304">
        <f t="shared" si="83"/>
        <v>48</v>
      </c>
      <c r="P1304">
        <f t="shared" si="84"/>
        <v>2</v>
      </c>
    </row>
    <row r="1305" spans="9:16" ht="15" customHeight="1" x14ac:dyDescent="0.25">
      <c r="I1305" s="41" t="s">
        <v>23</v>
      </c>
      <c r="J1305" s="41" t="s">
        <v>24</v>
      </c>
      <c r="K1305" s="41" t="s">
        <v>1560</v>
      </c>
      <c r="L1305" s="41" t="s">
        <v>33</v>
      </c>
      <c r="M1305">
        <f t="shared" si="81"/>
        <v>136</v>
      </c>
      <c r="N1305">
        <f t="shared" si="82"/>
        <v>9</v>
      </c>
      <c r="O1305">
        <f t="shared" si="83"/>
        <v>49</v>
      </c>
      <c r="P1305">
        <f t="shared" si="84"/>
        <v>30</v>
      </c>
    </row>
    <row r="1306" spans="9:16" ht="15" customHeight="1" x14ac:dyDescent="0.25">
      <c r="I1306" s="43" t="s">
        <v>17</v>
      </c>
      <c r="J1306" s="43" t="s">
        <v>24</v>
      </c>
      <c r="K1306" s="43" t="s">
        <v>1561</v>
      </c>
      <c r="L1306" s="43" t="s">
        <v>13</v>
      </c>
      <c r="M1306">
        <f t="shared" si="81"/>
        <v>141</v>
      </c>
      <c r="N1306">
        <f t="shared" si="82"/>
        <v>9</v>
      </c>
      <c r="O1306">
        <f t="shared" si="83"/>
        <v>51</v>
      </c>
      <c r="P1306">
        <f t="shared" si="84"/>
        <v>21</v>
      </c>
    </row>
    <row r="1307" spans="9:16" ht="15" customHeight="1" x14ac:dyDescent="0.25">
      <c r="I1307" s="41" t="s">
        <v>10</v>
      </c>
      <c r="J1307" s="41" t="s">
        <v>24</v>
      </c>
      <c r="K1307" s="41" t="s">
        <v>1561</v>
      </c>
      <c r="L1307" s="41" t="s">
        <v>19</v>
      </c>
      <c r="M1307">
        <f t="shared" si="81"/>
        <v>143</v>
      </c>
      <c r="N1307">
        <f t="shared" si="82"/>
        <v>9</v>
      </c>
      <c r="O1307">
        <f t="shared" si="83"/>
        <v>51</v>
      </c>
      <c r="P1307">
        <f t="shared" si="84"/>
        <v>23</v>
      </c>
    </row>
    <row r="1308" spans="9:16" ht="15" customHeight="1" x14ac:dyDescent="0.25">
      <c r="I1308" s="43" t="s">
        <v>337</v>
      </c>
      <c r="J1308" s="43" t="s">
        <v>24</v>
      </c>
      <c r="K1308" s="43" t="s">
        <v>1560</v>
      </c>
      <c r="L1308" s="43" t="s">
        <v>43</v>
      </c>
      <c r="M1308">
        <f t="shared" si="81"/>
        <v>137</v>
      </c>
      <c r="N1308">
        <f t="shared" si="82"/>
        <v>9</v>
      </c>
      <c r="O1308">
        <f t="shared" si="83"/>
        <v>49</v>
      </c>
      <c r="P1308">
        <f t="shared" si="84"/>
        <v>25</v>
      </c>
    </row>
    <row r="1309" spans="9:16" ht="15" customHeight="1" x14ac:dyDescent="0.25">
      <c r="I1309" s="41" t="s">
        <v>338</v>
      </c>
      <c r="J1309" s="41" t="s">
        <v>11</v>
      </c>
      <c r="K1309" s="41" t="s">
        <v>1558</v>
      </c>
      <c r="L1309" s="41" t="s">
        <v>339</v>
      </c>
      <c r="M1309">
        <f t="shared" si="81"/>
        <v>135</v>
      </c>
      <c r="N1309">
        <f t="shared" si="82"/>
        <v>32</v>
      </c>
      <c r="O1309">
        <f t="shared" si="83"/>
        <v>48</v>
      </c>
      <c r="P1309">
        <f t="shared" si="84"/>
        <v>0</v>
      </c>
    </row>
    <row r="1310" spans="9:16" ht="15" customHeight="1" x14ac:dyDescent="0.25">
      <c r="I1310" s="43" t="s">
        <v>338</v>
      </c>
      <c r="J1310" s="43" t="s">
        <v>11</v>
      </c>
      <c r="K1310" s="43" t="s">
        <v>1557</v>
      </c>
      <c r="L1310" s="43" t="s">
        <v>345</v>
      </c>
      <c r="M1310">
        <f t="shared" si="81"/>
        <v>135</v>
      </c>
      <c r="N1310">
        <f t="shared" si="82"/>
        <v>32</v>
      </c>
      <c r="O1310">
        <f t="shared" si="83"/>
        <v>47</v>
      </c>
      <c r="P1310">
        <f t="shared" si="84"/>
        <v>2</v>
      </c>
    </row>
    <row r="1311" spans="9:16" ht="15" customHeight="1" x14ac:dyDescent="0.25">
      <c r="I1311" s="41" t="s">
        <v>335</v>
      </c>
      <c r="J1311" s="41" t="s">
        <v>24</v>
      </c>
      <c r="K1311" s="41" t="s">
        <v>1559</v>
      </c>
      <c r="L1311" s="41" t="s">
        <v>33</v>
      </c>
      <c r="M1311">
        <f t="shared" si="81"/>
        <v>139</v>
      </c>
      <c r="N1311">
        <f t="shared" si="82"/>
        <v>9</v>
      </c>
      <c r="O1311">
        <f t="shared" si="83"/>
        <v>43</v>
      </c>
      <c r="P1311">
        <f t="shared" si="84"/>
        <v>30</v>
      </c>
    </row>
    <row r="1312" spans="9:16" ht="15" customHeight="1" x14ac:dyDescent="0.25">
      <c r="I1312" s="43" t="s">
        <v>335</v>
      </c>
      <c r="J1312" s="43" t="s">
        <v>24</v>
      </c>
      <c r="K1312" s="43" t="s">
        <v>1556</v>
      </c>
      <c r="L1312" s="43" t="s">
        <v>13</v>
      </c>
      <c r="M1312">
        <f t="shared" si="81"/>
        <v>139</v>
      </c>
      <c r="N1312">
        <f t="shared" si="82"/>
        <v>9</v>
      </c>
      <c r="O1312">
        <f t="shared" si="83"/>
        <v>42</v>
      </c>
      <c r="P1312">
        <f t="shared" si="84"/>
        <v>21</v>
      </c>
    </row>
    <row r="1313" spans="9:16" ht="15" customHeight="1" x14ac:dyDescent="0.25">
      <c r="I1313" s="41" t="s">
        <v>342</v>
      </c>
      <c r="J1313" s="41" t="s">
        <v>24</v>
      </c>
      <c r="K1313" s="41" t="s">
        <v>1555</v>
      </c>
      <c r="L1313" s="41" t="s">
        <v>19</v>
      </c>
      <c r="M1313">
        <f t="shared" si="81"/>
        <v>134</v>
      </c>
      <c r="N1313">
        <f t="shared" si="82"/>
        <v>9</v>
      </c>
      <c r="O1313">
        <f t="shared" si="83"/>
        <v>41</v>
      </c>
      <c r="P1313">
        <f t="shared" si="84"/>
        <v>23</v>
      </c>
    </row>
    <row r="1314" spans="9:16" ht="15" customHeight="1" x14ac:dyDescent="0.25">
      <c r="I1314" s="43" t="s">
        <v>342</v>
      </c>
      <c r="J1314" s="43" t="s">
        <v>11</v>
      </c>
      <c r="K1314" s="43" t="s">
        <v>1554</v>
      </c>
      <c r="L1314" s="43" t="s">
        <v>43</v>
      </c>
      <c r="M1314">
        <f t="shared" si="81"/>
        <v>134</v>
      </c>
      <c r="N1314">
        <f t="shared" si="82"/>
        <v>32</v>
      </c>
      <c r="O1314">
        <f t="shared" si="83"/>
        <v>38</v>
      </c>
      <c r="P1314">
        <f t="shared" si="84"/>
        <v>25</v>
      </c>
    </row>
    <row r="1315" spans="9:16" ht="15" customHeight="1" x14ac:dyDescent="0.25">
      <c r="I1315" s="41" t="s">
        <v>10</v>
      </c>
      <c r="J1315" s="41" t="s">
        <v>24</v>
      </c>
      <c r="K1315" s="41" t="s">
        <v>1553</v>
      </c>
      <c r="L1315" s="41" t="s">
        <v>339</v>
      </c>
      <c r="M1315">
        <f t="shared" si="81"/>
        <v>143</v>
      </c>
      <c r="N1315">
        <f t="shared" si="82"/>
        <v>9</v>
      </c>
      <c r="O1315">
        <f t="shared" si="83"/>
        <v>39</v>
      </c>
      <c r="P1315">
        <f t="shared" si="84"/>
        <v>0</v>
      </c>
    </row>
    <row r="1316" spans="9:16" ht="15" customHeight="1" x14ac:dyDescent="0.25">
      <c r="I1316" s="43" t="s">
        <v>17</v>
      </c>
      <c r="J1316" s="43" t="s">
        <v>11</v>
      </c>
      <c r="K1316" s="43" t="s">
        <v>1552</v>
      </c>
      <c r="L1316" s="43" t="s">
        <v>345</v>
      </c>
      <c r="M1316">
        <f t="shared" si="81"/>
        <v>141</v>
      </c>
      <c r="N1316">
        <f t="shared" si="82"/>
        <v>32</v>
      </c>
      <c r="O1316">
        <f t="shared" si="83"/>
        <v>37</v>
      </c>
      <c r="P1316">
        <f t="shared" si="84"/>
        <v>2</v>
      </c>
    </row>
    <row r="1317" spans="9:16" ht="15" customHeight="1" x14ac:dyDescent="0.25">
      <c r="I1317" s="41" t="s">
        <v>10</v>
      </c>
      <c r="J1317" s="41" t="s">
        <v>11</v>
      </c>
      <c r="K1317" s="41" t="s">
        <v>12</v>
      </c>
      <c r="L1317" s="41" t="s">
        <v>33</v>
      </c>
      <c r="M1317">
        <f t="shared" si="81"/>
        <v>143</v>
      </c>
      <c r="N1317">
        <f t="shared" si="82"/>
        <v>32</v>
      </c>
      <c r="O1317">
        <f t="shared" si="83"/>
        <v>0</v>
      </c>
      <c r="P1317">
        <f t="shared" si="84"/>
        <v>30</v>
      </c>
    </row>
    <row r="1318" spans="9:16" ht="15" customHeight="1" x14ac:dyDescent="0.25">
      <c r="I1318" s="43" t="s">
        <v>23</v>
      </c>
      <c r="J1318" s="43" t="s">
        <v>11</v>
      </c>
      <c r="K1318" s="43" t="s">
        <v>12</v>
      </c>
      <c r="L1318" s="43" t="s">
        <v>13</v>
      </c>
      <c r="M1318">
        <f t="shared" si="81"/>
        <v>136</v>
      </c>
      <c r="N1318">
        <f t="shared" si="82"/>
        <v>32</v>
      </c>
      <c r="O1318">
        <f t="shared" si="83"/>
        <v>0</v>
      </c>
      <c r="P1318">
        <f t="shared" si="84"/>
        <v>21</v>
      </c>
    </row>
    <row r="1319" spans="9:16" ht="15" customHeight="1" x14ac:dyDescent="0.25">
      <c r="I1319" s="41" t="s">
        <v>17</v>
      </c>
      <c r="J1319" s="41" t="s">
        <v>24</v>
      </c>
      <c r="K1319" s="41" t="s">
        <v>1552</v>
      </c>
      <c r="L1319" s="41" t="s">
        <v>19</v>
      </c>
      <c r="M1319">
        <f t="shared" si="81"/>
        <v>141</v>
      </c>
      <c r="N1319">
        <f t="shared" si="82"/>
        <v>9</v>
      </c>
      <c r="O1319">
        <f t="shared" si="83"/>
        <v>37</v>
      </c>
      <c r="P1319">
        <f t="shared" si="84"/>
        <v>23</v>
      </c>
    </row>
    <row r="1320" spans="9:16" ht="15" customHeight="1" x14ac:dyDescent="0.25">
      <c r="I1320" s="43" t="s">
        <v>337</v>
      </c>
      <c r="J1320" s="43" t="s">
        <v>24</v>
      </c>
      <c r="K1320" s="43" t="s">
        <v>1555</v>
      </c>
      <c r="L1320" s="43" t="s">
        <v>43</v>
      </c>
      <c r="M1320">
        <f t="shared" si="81"/>
        <v>137</v>
      </c>
      <c r="N1320">
        <f t="shared" si="82"/>
        <v>9</v>
      </c>
      <c r="O1320">
        <f t="shared" si="83"/>
        <v>41</v>
      </c>
      <c r="P1320">
        <f t="shared" si="84"/>
        <v>25</v>
      </c>
    </row>
    <row r="1321" spans="9:16" ht="15" customHeight="1" x14ac:dyDescent="0.25">
      <c r="I1321" s="41" t="s">
        <v>338</v>
      </c>
      <c r="J1321" s="41" t="s">
        <v>24</v>
      </c>
      <c r="K1321" s="41" t="s">
        <v>1557</v>
      </c>
      <c r="L1321" s="41" t="s">
        <v>339</v>
      </c>
      <c r="M1321">
        <f t="shared" si="81"/>
        <v>135</v>
      </c>
      <c r="N1321">
        <f t="shared" si="82"/>
        <v>9</v>
      </c>
      <c r="O1321">
        <f t="shared" si="83"/>
        <v>47</v>
      </c>
      <c r="P1321">
        <f t="shared" si="84"/>
        <v>0</v>
      </c>
    </row>
    <row r="1322" spans="9:16" ht="15" customHeight="1" x14ac:dyDescent="0.25">
      <c r="I1322" s="43" t="s">
        <v>335</v>
      </c>
      <c r="J1322" s="43" t="s">
        <v>24</v>
      </c>
      <c r="K1322" s="43" t="s">
        <v>1560</v>
      </c>
      <c r="L1322" s="43" t="s">
        <v>345</v>
      </c>
      <c r="M1322">
        <f t="shared" si="81"/>
        <v>139</v>
      </c>
      <c r="N1322">
        <f t="shared" si="82"/>
        <v>9</v>
      </c>
      <c r="O1322">
        <f t="shared" si="83"/>
        <v>49</v>
      </c>
      <c r="P1322">
        <f t="shared" si="84"/>
        <v>2</v>
      </c>
    </row>
    <row r="1323" spans="9:16" ht="15" customHeight="1" x14ac:dyDescent="0.25">
      <c r="I1323" s="41" t="s">
        <v>342</v>
      </c>
      <c r="J1323" s="41" t="s">
        <v>24</v>
      </c>
      <c r="K1323" s="41" t="s">
        <v>1553</v>
      </c>
      <c r="L1323" s="41" t="s">
        <v>33</v>
      </c>
      <c r="M1323">
        <f t="shared" si="81"/>
        <v>134</v>
      </c>
      <c r="N1323">
        <f t="shared" si="82"/>
        <v>9</v>
      </c>
      <c r="O1323">
        <f t="shared" si="83"/>
        <v>39</v>
      </c>
      <c r="P1323">
        <f t="shared" si="84"/>
        <v>30</v>
      </c>
    </row>
    <row r="1324" spans="9:16" ht="15" customHeight="1" x14ac:dyDescent="0.25">
      <c r="I1324" s="43" t="s">
        <v>23</v>
      </c>
      <c r="J1324" s="43" t="s">
        <v>24</v>
      </c>
      <c r="K1324" s="43" t="s">
        <v>1556</v>
      </c>
      <c r="L1324" s="43" t="s">
        <v>13</v>
      </c>
      <c r="M1324">
        <f t="shared" si="81"/>
        <v>136</v>
      </c>
      <c r="N1324">
        <f t="shared" si="82"/>
        <v>9</v>
      </c>
      <c r="O1324">
        <f t="shared" si="83"/>
        <v>42</v>
      </c>
      <c r="P1324">
        <f t="shared" si="84"/>
        <v>21</v>
      </c>
    </row>
    <row r="1325" spans="9:16" ht="15" customHeight="1" x14ac:dyDescent="0.25">
      <c r="I1325" s="41" t="s">
        <v>17</v>
      </c>
      <c r="J1325" s="41" t="s">
        <v>11</v>
      </c>
      <c r="K1325" s="41" t="s">
        <v>1558</v>
      </c>
      <c r="L1325" s="41" t="s">
        <v>19</v>
      </c>
      <c r="M1325">
        <f t="shared" si="81"/>
        <v>141</v>
      </c>
      <c r="N1325">
        <f t="shared" si="82"/>
        <v>32</v>
      </c>
      <c r="O1325">
        <f t="shared" si="83"/>
        <v>48</v>
      </c>
      <c r="P1325">
        <f t="shared" si="84"/>
        <v>23</v>
      </c>
    </row>
    <row r="1326" spans="9:16" ht="15" customHeight="1" x14ac:dyDescent="0.25">
      <c r="I1326" s="43" t="s">
        <v>10</v>
      </c>
      <c r="J1326" s="43" t="s">
        <v>11</v>
      </c>
      <c r="K1326" s="43" t="s">
        <v>1561</v>
      </c>
      <c r="L1326" s="43" t="s">
        <v>43</v>
      </c>
      <c r="M1326">
        <f t="shared" si="81"/>
        <v>143</v>
      </c>
      <c r="N1326">
        <f t="shared" si="82"/>
        <v>32</v>
      </c>
      <c r="O1326">
        <f t="shared" si="83"/>
        <v>51</v>
      </c>
      <c r="P1326">
        <f t="shared" si="84"/>
        <v>25</v>
      </c>
    </row>
    <row r="1327" spans="9:16" ht="15" customHeight="1" x14ac:dyDescent="0.25">
      <c r="I1327" s="41" t="s">
        <v>343</v>
      </c>
      <c r="J1327" s="41" t="s">
        <v>24</v>
      </c>
      <c r="K1327" s="41" t="s">
        <v>1554</v>
      </c>
      <c r="L1327" s="41" t="s">
        <v>339</v>
      </c>
      <c r="M1327">
        <f t="shared" si="81"/>
        <v>132</v>
      </c>
      <c r="N1327">
        <f t="shared" si="82"/>
        <v>9</v>
      </c>
      <c r="O1327">
        <f t="shared" si="83"/>
        <v>38</v>
      </c>
      <c r="P1327">
        <f t="shared" si="84"/>
        <v>0</v>
      </c>
    </row>
    <row r="1328" spans="9:16" ht="15" customHeight="1" x14ac:dyDescent="0.25">
      <c r="I1328" s="43" t="s">
        <v>340</v>
      </c>
      <c r="J1328" s="43" t="s">
        <v>24</v>
      </c>
      <c r="K1328" s="43" t="s">
        <v>1559</v>
      </c>
      <c r="L1328" s="43" t="s">
        <v>345</v>
      </c>
      <c r="M1328">
        <f t="shared" si="81"/>
        <v>129</v>
      </c>
      <c r="N1328">
        <f t="shared" si="82"/>
        <v>9</v>
      </c>
      <c r="O1328">
        <f t="shared" si="83"/>
        <v>43</v>
      </c>
      <c r="P1328">
        <f t="shared" si="84"/>
        <v>2</v>
      </c>
    </row>
    <row r="1329" spans="9:16" ht="15" customHeight="1" x14ac:dyDescent="0.25">
      <c r="I1329" s="41" t="s">
        <v>344</v>
      </c>
      <c r="J1329" s="41" t="s">
        <v>11</v>
      </c>
      <c r="K1329" s="41" t="s">
        <v>1554</v>
      </c>
      <c r="L1329" s="41" t="s">
        <v>33</v>
      </c>
      <c r="M1329">
        <f t="shared" si="81"/>
        <v>131</v>
      </c>
      <c r="N1329">
        <f t="shared" si="82"/>
        <v>32</v>
      </c>
      <c r="O1329">
        <f t="shared" si="83"/>
        <v>38</v>
      </c>
      <c r="P1329">
        <f t="shared" si="84"/>
        <v>30</v>
      </c>
    </row>
    <row r="1330" spans="9:16" ht="15" customHeight="1" x14ac:dyDescent="0.25">
      <c r="I1330" s="43" t="s">
        <v>335</v>
      </c>
      <c r="J1330" s="43" t="s">
        <v>11</v>
      </c>
      <c r="K1330" s="43" t="s">
        <v>1559</v>
      </c>
      <c r="L1330" s="43" t="s">
        <v>13</v>
      </c>
      <c r="M1330">
        <f t="shared" si="81"/>
        <v>139</v>
      </c>
      <c r="N1330">
        <f t="shared" si="82"/>
        <v>32</v>
      </c>
      <c r="O1330">
        <f t="shared" si="83"/>
        <v>43</v>
      </c>
      <c r="P1330">
        <f t="shared" si="84"/>
        <v>21</v>
      </c>
    </row>
    <row r="1331" spans="9:16" ht="15" customHeight="1" x14ac:dyDescent="0.25">
      <c r="I1331" s="41" t="s">
        <v>343</v>
      </c>
      <c r="J1331" s="41" t="s">
        <v>11</v>
      </c>
      <c r="K1331" s="41" t="s">
        <v>1553</v>
      </c>
      <c r="L1331" s="41" t="s">
        <v>19</v>
      </c>
      <c r="M1331">
        <f t="shared" si="81"/>
        <v>132</v>
      </c>
      <c r="N1331">
        <f t="shared" si="82"/>
        <v>32</v>
      </c>
      <c r="O1331">
        <f t="shared" si="83"/>
        <v>39</v>
      </c>
      <c r="P1331">
        <f t="shared" si="84"/>
        <v>23</v>
      </c>
    </row>
    <row r="1332" spans="9:16" ht="15" customHeight="1" x14ac:dyDescent="0.25">
      <c r="I1332" s="43" t="s">
        <v>340</v>
      </c>
      <c r="J1332" s="43" t="s">
        <v>24</v>
      </c>
      <c r="K1332" s="43" t="s">
        <v>1556</v>
      </c>
      <c r="L1332" s="43" t="s">
        <v>43</v>
      </c>
      <c r="M1332">
        <f t="shared" si="81"/>
        <v>129</v>
      </c>
      <c r="N1332">
        <f t="shared" si="82"/>
        <v>9</v>
      </c>
      <c r="O1332">
        <f t="shared" si="83"/>
        <v>42</v>
      </c>
      <c r="P1332">
        <f t="shared" si="84"/>
        <v>25</v>
      </c>
    </row>
    <row r="1333" spans="9:16" ht="15" customHeight="1" x14ac:dyDescent="0.25">
      <c r="I1333" s="41" t="s">
        <v>344</v>
      </c>
      <c r="J1333" s="41" t="s">
        <v>11</v>
      </c>
      <c r="K1333" s="41" t="s">
        <v>1558</v>
      </c>
      <c r="L1333" s="41" t="s">
        <v>339</v>
      </c>
      <c r="M1333">
        <f t="shared" si="81"/>
        <v>131</v>
      </c>
      <c r="N1333">
        <f t="shared" si="82"/>
        <v>32</v>
      </c>
      <c r="O1333">
        <f t="shared" si="83"/>
        <v>48</v>
      </c>
      <c r="P1333">
        <f t="shared" si="84"/>
        <v>0</v>
      </c>
    </row>
    <row r="1334" spans="9:16" ht="15" customHeight="1" x14ac:dyDescent="0.25">
      <c r="I1334" s="43" t="s">
        <v>337</v>
      </c>
      <c r="J1334" s="43" t="s">
        <v>11</v>
      </c>
      <c r="K1334" s="43" t="s">
        <v>1561</v>
      </c>
      <c r="L1334" s="43" t="s">
        <v>345</v>
      </c>
      <c r="M1334">
        <f t="shared" si="81"/>
        <v>137</v>
      </c>
      <c r="N1334">
        <f t="shared" si="82"/>
        <v>32</v>
      </c>
      <c r="O1334">
        <f t="shared" si="83"/>
        <v>51</v>
      </c>
      <c r="P1334">
        <f t="shared" si="84"/>
        <v>2</v>
      </c>
    </row>
    <row r="1335" spans="9:16" ht="15" customHeight="1" x14ac:dyDescent="0.25">
      <c r="I1335" s="41" t="s">
        <v>338</v>
      </c>
      <c r="J1335" s="41" t="s">
        <v>24</v>
      </c>
      <c r="K1335" s="41" t="s">
        <v>1552</v>
      </c>
      <c r="L1335" s="41" t="s">
        <v>33</v>
      </c>
      <c r="M1335">
        <f t="shared" si="81"/>
        <v>135</v>
      </c>
      <c r="N1335">
        <f t="shared" si="82"/>
        <v>9</v>
      </c>
      <c r="O1335">
        <f t="shared" si="83"/>
        <v>37</v>
      </c>
      <c r="P1335">
        <f t="shared" si="84"/>
        <v>30</v>
      </c>
    </row>
    <row r="1336" spans="9:16" ht="15" customHeight="1" x14ac:dyDescent="0.25">
      <c r="I1336" s="43" t="s">
        <v>335</v>
      </c>
      <c r="J1336" s="43" t="s">
        <v>11</v>
      </c>
      <c r="K1336" s="43" t="s">
        <v>1555</v>
      </c>
      <c r="L1336" s="43" t="s">
        <v>13</v>
      </c>
      <c r="M1336">
        <f t="shared" ref="M1336:M1399" si="85">_xlfn.XLOOKUP(I1336,$C$9:$C$37,$D$9:$D$37,2,0)</f>
        <v>139</v>
      </c>
      <c r="N1336">
        <f t="shared" ref="N1336:N1399" si="86">_xlfn.XLOOKUP(J1336,$C$9:$C$37,$D$9:$D$37,2,0)</f>
        <v>32</v>
      </c>
      <c r="O1336">
        <f t="shared" ref="O1336:O1399" si="87">_xlfn.XLOOKUP(K1336,$C$9:$C$37,$D$9:$D$37,2,0)</f>
        <v>41</v>
      </c>
      <c r="P1336">
        <f t="shared" ref="P1336:P1399" si="88">_xlfn.XLOOKUP(L1336,$C$9:$C$37,$D$9:$D$37,2,0)</f>
        <v>21</v>
      </c>
    </row>
    <row r="1337" spans="9:16" ht="15" customHeight="1" x14ac:dyDescent="0.25">
      <c r="I1337" s="41" t="s">
        <v>343</v>
      </c>
      <c r="J1337" s="41" t="s">
        <v>24</v>
      </c>
      <c r="K1337" s="41" t="s">
        <v>1557</v>
      </c>
      <c r="L1337" s="41" t="s">
        <v>19</v>
      </c>
      <c r="M1337">
        <f t="shared" si="85"/>
        <v>132</v>
      </c>
      <c r="N1337">
        <f t="shared" si="86"/>
        <v>9</v>
      </c>
      <c r="O1337">
        <f t="shared" si="87"/>
        <v>47</v>
      </c>
      <c r="P1337">
        <f t="shared" si="88"/>
        <v>23</v>
      </c>
    </row>
    <row r="1338" spans="9:16" ht="15" customHeight="1" x14ac:dyDescent="0.25">
      <c r="I1338" s="43" t="s">
        <v>340</v>
      </c>
      <c r="J1338" s="43" t="s">
        <v>11</v>
      </c>
      <c r="K1338" s="43" t="s">
        <v>1560</v>
      </c>
      <c r="L1338" s="43" t="s">
        <v>43</v>
      </c>
      <c r="M1338">
        <f t="shared" si="85"/>
        <v>129</v>
      </c>
      <c r="N1338">
        <f t="shared" si="86"/>
        <v>32</v>
      </c>
      <c r="O1338">
        <f t="shared" si="87"/>
        <v>49</v>
      </c>
      <c r="P1338">
        <f t="shared" si="88"/>
        <v>25</v>
      </c>
    </row>
    <row r="1339" spans="9:16" ht="15" customHeight="1" x14ac:dyDescent="0.25">
      <c r="I1339" s="41" t="s">
        <v>342</v>
      </c>
      <c r="J1339" s="41" t="s">
        <v>24</v>
      </c>
      <c r="K1339" s="41" t="s">
        <v>12</v>
      </c>
      <c r="L1339" s="41" t="s">
        <v>339</v>
      </c>
      <c r="M1339">
        <f t="shared" si="85"/>
        <v>134</v>
      </c>
      <c r="N1339">
        <f t="shared" si="86"/>
        <v>9</v>
      </c>
      <c r="O1339">
        <f t="shared" si="87"/>
        <v>0</v>
      </c>
      <c r="P1339">
        <f t="shared" si="88"/>
        <v>0</v>
      </c>
    </row>
    <row r="1340" spans="9:16" ht="15" customHeight="1" x14ac:dyDescent="0.25">
      <c r="I1340" s="43" t="s">
        <v>23</v>
      </c>
      <c r="J1340" s="43" t="s">
        <v>11</v>
      </c>
      <c r="K1340" s="43" t="s">
        <v>12</v>
      </c>
      <c r="L1340" s="43" t="s">
        <v>345</v>
      </c>
      <c r="M1340">
        <f t="shared" si="85"/>
        <v>136</v>
      </c>
      <c r="N1340">
        <f t="shared" si="86"/>
        <v>32</v>
      </c>
      <c r="O1340">
        <f t="shared" si="87"/>
        <v>0</v>
      </c>
      <c r="P1340">
        <f t="shared" si="88"/>
        <v>2</v>
      </c>
    </row>
    <row r="1341" spans="9:16" ht="15" customHeight="1" x14ac:dyDescent="0.25">
      <c r="I1341" s="41" t="s">
        <v>17</v>
      </c>
      <c r="J1341" s="41" t="s">
        <v>24</v>
      </c>
      <c r="K1341" s="41" t="s">
        <v>1552</v>
      </c>
      <c r="L1341" s="41" t="s">
        <v>33</v>
      </c>
      <c r="M1341">
        <f t="shared" si="85"/>
        <v>141</v>
      </c>
      <c r="N1341">
        <f t="shared" si="86"/>
        <v>9</v>
      </c>
      <c r="O1341">
        <f t="shared" si="87"/>
        <v>37</v>
      </c>
      <c r="P1341">
        <f t="shared" si="88"/>
        <v>30</v>
      </c>
    </row>
    <row r="1342" spans="9:16" ht="15" customHeight="1" x14ac:dyDescent="0.25">
      <c r="I1342" s="43" t="s">
        <v>10</v>
      </c>
      <c r="J1342" s="43" t="s">
        <v>24</v>
      </c>
      <c r="K1342" s="43" t="s">
        <v>1553</v>
      </c>
      <c r="L1342" s="43" t="s">
        <v>13</v>
      </c>
      <c r="M1342">
        <f t="shared" si="85"/>
        <v>143</v>
      </c>
      <c r="N1342">
        <f t="shared" si="86"/>
        <v>9</v>
      </c>
      <c r="O1342">
        <f t="shared" si="87"/>
        <v>39</v>
      </c>
      <c r="P1342">
        <f t="shared" si="88"/>
        <v>21</v>
      </c>
    </row>
    <row r="1343" spans="9:16" ht="15" customHeight="1" x14ac:dyDescent="0.25">
      <c r="I1343" s="41" t="s">
        <v>344</v>
      </c>
      <c r="J1343" s="41" t="s">
        <v>24</v>
      </c>
      <c r="K1343" s="41" t="s">
        <v>1554</v>
      </c>
      <c r="L1343" s="41" t="s">
        <v>19</v>
      </c>
      <c r="M1343">
        <f t="shared" si="85"/>
        <v>131</v>
      </c>
      <c r="N1343">
        <f t="shared" si="86"/>
        <v>9</v>
      </c>
      <c r="O1343">
        <f t="shared" si="87"/>
        <v>38</v>
      </c>
      <c r="P1343">
        <f t="shared" si="88"/>
        <v>23</v>
      </c>
    </row>
    <row r="1344" spans="9:16" ht="15" customHeight="1" x14ac:dyDescent="0.25">
      <c r="I1344" s="43" t="s">
        <v>344</v>
      </c>
      <c r="J1344" s="43" t="s">
        <v>11</v>
      </c>
      <c r="K1344" s="43" t="s">
        <v>1555</v>
      </c>
      <c r="L1344" s="43" t="s">
        <v>43</v>
      </c>
      <c r="M1344">
        <f t="shared" si="85"/>
        <v>131</v>
      </c>
      <c r="N1344">
        <f t="shared" si="86"/>
        <v>32</v>
      </c>
      <c r="O1344">
        <f t="shared" si="87"/>
        <v>41</v>
      </c>
      <c r="P1344">
        <f t="shared" si="88"/>
        <v>25</v>
      </c>
    </row>
    <row r="1345" spans="9:16" ht="15" customHeight="1" x14ac:dyDescent="0.25">
      <c r="I1345" s="41" t="s">
        <v>10</v>
      </c>
      <c r="J1345" s="41" t="s">
        <v>24</v>
      </c>
      <c r="K1345" s="41" t="s">
        <v>1556</v>
      </c>
      <c r="L1345" s="41" t="s">
        <v>339</v>
      </c>
      <c r="M1345">
        <f t="shared" si="85"/>
        <v>143</v>
      </c>
      <c r="N1345">
        <f t="shared" si="86"/>
        <v>9</v>
      </c>
      <c r="O1345">
        <f t="shared" si="87"/>
        <v>42</v>
      </c>
      <c r="P1345">
        <f t="shared" si="88"/>
        <v>0</v>
      </c>
    </row>
    <row r="1346" spans="9:16" ht="15" customHeight="1" x14ac:dyDescent="0.25">
      <c r="I1346" s="43" t="s">
        <v>17</v>
      </c>
      <c r="J1346" s="43" t="s">
        <v>11</v>
      </c>
      <c r="K1346" s="43" t="s">
        <v>1559</v>
      </c>
      <c r="L1346" s="43" t="s">
        <v>345</v>
      </c>
      <c r="M1346">
        <f t="shared" si="85"/>
        <v>141</v>
      </c>
      <c r="N1346">
        <f t="shared" si="86"/>
        <v>32</v>
      </c>
      <c r="O1346">
        <f t="shared" si="87"/>
        <v>43</v>
      </c>
      <c r="P1346">
        <f t="shared" si="88"/>
        <v>2</v>
      </c>
    </row>
    <row r="1347" spans="9:16" ht="15" customHeight="1" x14ac:dyDescent="0.25">
      <c r="I1347" s="41" t="s">
        <v>23</v>
      </c>
      <c r="J1347" s="41" t="s">
        <v>24</v>
      </c>
      <c r="K1347" s="41" t="s">
        <v>1557</v>
      </c>
      <c r="L1347" s="41" t="s">
        <v>33</v>
      </c>
      <c r="M1347">
        <f t="shared" si="85"/>
        <v>136</v>
      </c>
      <c r="N1347">
        <f t="shared" si="86"/>
        <v>9</v>
      </c>
      <c r="O1347">
        <f t="shared" si="87"/>
        <v>47</v>
      </c>
      <c r="P1347">
        <f t="shared" si="88"/>
        <v>30</v>
      </c>
    </row>
    <row r="1348" spans="9:16" ht="15" customHeight="1" x14ac:dyDescent="0.25">
      <c r="I1348" s="43" t="s">
        <v>342</v>
      </c>
      <c r="J1348" s="43" t="s">
        <v>11</v>
      </c>
      <c r="K1348" s="43" t="s">
        <v>1558</v>
      </c>
      <c r="L1348" s="43" t="s">
        <v>13</v>
      </c>
      <c r="M1348">
        <f t="shared" si="85"/>
        <v>134</v>
      </c>
      <c r="N1348">
        <f t="shared" si="86"/>
        <v>32</v>
      </c>
      <c r="O1348">
        <f t="shared" si="87"/>
        <v>48</v>
      </c>
      <c r="P1348">
        <f t="shared" si="88"/>
        <v>21</v>
      </c>
    </row>
    <row r="1349" spans="9:16" ht="15" customHeight="1" x14ac:dyDescent="0.25">
      <c r="I1349" s="41" t="s">
        <v>340</v>
      </c>
      <c r="J1349" s="41" t="s">
        <v>24</v>
      </c>
      <c r="K1349" s="41" t="s">
        <v>1560</v>
      </c>
      <c r="L1349" s="41" t="s">
        <v>19</v>
      </c>
      <c r="M1349">
        <f t="shared" si="85"/>
        <v>129</v>
      </c>
      <c r="N1349">
        <f t="shared" si="86"/>
        <v>9</v>
      </c>
      <c r="O1349">
        <f t="shared" si="87"/>
        <v>49</v>
      </c>
      <c r="P1349">
        <f t="shared" si="88"/>
        <v>23</v>
      </c>
    </row>
    <row r="1350" spans="9:16" ht="15" customHeight="1" x14ac:dyDescent="0.25">
      <c r="I1350" s="43" t="s">
        <v>343</v>
      </c>
      <c r="J1350" s="43" t="s">
        <v>11</v>
      </c>
      <c r="K1350" s="43" t="s">
        <v>1561</v>
      </c>
      <c r="L1350" s="43" t="s">
        <v>43</v>
      </c>
      <c r="M1350">
        <f t="shared" si="85"/>
        <v>132</v>
      </c>
      <c r="N1350">
        <f t="shared" si="86"/>
        <v>32</v>
      </c>
      <c r="O1350">
        <f t="shared" si="87"/>
        <v>51</v>
      </c>
      <c r="P1350">
        <f t="shared" si="88"/>
        <v>25</v>
      </c>
    </row>
    <row r="1351" spans="9:16" ht="15" customHeight="1" x14ac:dyDescent="0.25">
      <c r="I1351" s="41" t="s">
        <v>335</v>
      </c>
      <c r="J1351" s="41" t="s">
        <v>11</v>
      </c>
      <c r="K1351" s="41" t="s">
        <v>1561</v>
      </c>
      <c r="L1351" s="41" t="s">
        <v>339</v>
      </c>
      <c r="M1351">
        <f t="shared" si="85"/>
        <v>139</v>
      </c>
      <c r="N1351">
        <f t="shared" si="86"/>
        <v>32</v>
      </c>
      <c r="O1351">
        <f t="shared" si="87"/>
        <v>51</v>
      </c>
      <c r="P1351">
        <f t="shared" si="88"/>
        <v>0</v>
      </c>
    </row>
    <row r="1352" spans="9:16" ht="15" customHeight="1" x14ac:dyDescent="0.25">
      <c r="I1352" s="43" t="s">
        <v>338</v>
      </c>
      <c r="J1352" s="43" t="s">
        <v>24</v>
      </c>
      <c r="K1352" s="43" t="s">
        <v>1560</v>
      </c>
      <c r="L1352" s="43" t="s">
        <v>345</v>
      </c>
      <c r="M1352">
        <f t="shared" si="85"/>
        <v>135</v>
      </c>
      <c r="N1352">
        <f t="shared" si="86"/>
        <v>9</v>
      </c>
      <c r="O1352">
        <f t="shared" si="87"/>
        <v>49</v>
      </c>
      <c r="P1352">
        <f t="shared" si="88"/>
        <v>2</v>
      </c>
    </row>
    <row r="1353" spans="9:16" ht="15" customHeight="1" x14ac:dyDescent="0.25">
      <c r="I1353" s="41" t="s">
        <v>337</v>
      </c>
      <c r="J1353" s="41" t="s">
        <v>11</v>
      </c>
      <c r="K1353" s="41" t="s">
        <v>1558</v>
      </c>
      <c r="L1353" s="41" t="s">
        <v>33</v>
      </c>
      <c r="M1353">
        <f t="shared" si="85"/>
        <v>137</v>
      </c>
      <c r="N1353">
        <f t="shared" si="86"/>
        <v>32</v>
      </c>
      <c r="O1353">
        <f t="shared" si="87"/>
        <v>48</v>
      </c>
      <c r="P1353">
        <f t="shared" si="88"/>
        <v>30</v>
      </c>
    </row>
    <row r="1354" spans="9:16" ht="15" customHeight="1" x14ac:dyDescent="0.25">
      <c r="I1354" s="43" t="s">
        <v>343</v>
      </c>
      <c r="J1354" s="43" t="s">
        <v>24</v>
      </c>
      <c r="K1354" s="43" t="s">
        <v>1557</v>
      </c>
      <c r="L1354" s="43" t="s">
        <v>13</v>
      </c>
      <c r="M1354">
        <f t="shared" si="85"/>
        <v>132</v>
      </c>
      <c r="N1354">
        <f t="shared" si="86"/>
        <v>9</v>
      </c>
      <c r="O1354">
        <f t="shared" si="87"/>
        <v>47</v>
      </c>
      <c r="P1354">
        <f t="shared" si="88"/>
        <v>21</v>
      </c>
    </row>
    <row r="1355" spans="9:16" ht="15" customHeight="1" x14ac:dyDescent="0.25">
      <c r="I1355" s="41" t="s">
        <v>340</v>
      </c>
      <c r="J1355" s="41" t="s">
        <v>24</v>
      </c>
      <c r="K1355" s="41" t="s">
        <v>1559</v>
      </c>
      <c r="L1355" s="41" t="s">
        <v>19</v>
      </c>
      <c r="M1355">
        <f t="shared" si="85"/>
        <v>129</v>
      </c>
      <c r="N1355">
        <f t="shared" si="86"/>
        <v>9</v>
      </c>
      <c r="O1355">
        <f t="shared" si="87"/>
        <v>43</v>
      </c>
      <c r="P1355">
        <f t="shared" si="88"/>
        <v>23</v>
      </c>
    </row>
    <row r="1356" spans="9:16" ht="15" customHeight="1" x14ac:dyDescent="0.25">
      <c r="I1356" s="43" t="s">
        <v>10</v>
      </c>
      <c r="J1356" s="43" t="s">
        <v>11</v>
      </c>
      <c r="K1356" s="43" t="s">
        <v>1556</v>
      </c>
      <c r="L1356" s="43" t="s">
        <v>43</v>
      </c>
      <c r="M1356">
        <f t="shared" si="85"/>
        <v>143</v>
      </c>
      <c r="N1356">
        <f t="shared" si="86"/>
        <v>32</v>
      </c>
      <c r="O1356">
        <f t="shared" si="87"/>
        <v>42</v>
      </c>
      <c r="P1356">
        <f t="shared" si="88"/>
        <v>25</v>
      </c>
    </row>
    <row r="1357" spans="9:16" ht="15" customHeight="1" x14ac:dyDescent="0.25">
      <c r="I1357" s="41" t="s">
        <v>344</v>
      </c>
      <c r="J1357" s="41" t="s">
        <v>11</v>
      </c>
      <c r="K1357" s="41" t="s">
        <v>1555</v>
      </c>
      <c r="L1357" s="41" t="s">
        <v>339</v>
      </c>
      <c r="M1357">
        <f t="shared" si="85"/>
        <v>131</v>
      </c>
      <c r="N1357">
        <f t="shared" si="86"/>
        <v>32</v>
      </c>
      <c r="O1357">
        <f t="shared" si="87"/>
        <v>41</v>
      </c>
      <c r="P1357">
        <f t="shared" si="88"/>
        <v>0</v>
      </c>
    </row>
    <row r="1358" spans="9:16" ht="15" customHeight="1" x14ac:dyDescent="0.25">
      <c r="I1358" s="43" t="s">
        <v>338</v>
      </c>
      <c r="J1358" s="43" t="s">
        <v>11</v>
      </c>
      <c r="K1358" s="43" t="s">
        <v>1554</v>
      </c>
      <c r="L1358" s="43" t="s">
        <v>345</v>
      </c>
      <c r="M1358">
        <f t="shared" si="85"/>
        <v>135</v>
      </c>
      <c r="N1358">
        <f t="shared" si="86"/>
        <v>32</v>
      </c>
      <c r="O1358">
        <f t="shared" si="87"/>
        <v>38</v>
      </c>
      <c r="P1358">
        <f t="shared" si="88"/>
        <v>2</v>
      </c>
    </row>
    <row r="1359" spans="9:16" ht="15" customHeight="1" x14ac:dyDescent="0.25">
      <c r="I1359" s="41" t="s">
        <v>23</v>
      </c>
      <c r="J1359" s="41" t="s">
        <v>11</v>
      </c>
      <c r="K1359" s="41" t="s">
        <v>1553</v>
      </c>
      <c r="L1359" s="41" t="s">
        <v>33</v>
      </c>
      <c r="M1359">
        <f t="shared" si="85"/>
        <v>136</v>
      </c>
      <c r="N1359">
        <f t="shared" si="86"/>
        <v>32</v>
      </c>
      <c r="O1359">
        <f t="shared" si="87"/>
        <v>39</v>
      </c>
      <c r="P1359">
        <f t="shared" si="88"/>
        <v>30</v>
      </c>
    </row>
    <row r="1360" spans="9:16" ht="15" customHeight="1" x14ac:dyDescent="0.25">
      <c r="I1360" s="43" t="s">
        <v>17</v>
      </c>
      <c r="J1360" s="43" t="s">
        <v>11</v>
      </c>
      <c r="K1360" s="43" t="s">
        <v>1552</v>
      </c>
      <c r="L1360" s="43" t="s">
        <v>13</v>
      </c>
      <c r="M1360">
        <f t="shared" si="85"/>
        <v>141</v>
      </c>
      <c r="N1360">
        <f t="shared" si="86"/>
        <v>32</v>
      </c>
      <c r="O1360">
        <f t="shared" si="87"/>
        <v>37</v>
      </c>
      <c r="P1360">
        <f t="shared" si="88"/>
        <v>21</v>
      </c>
    </row>
    <row r="1361" spans="9:16" ht="15" customHeight="1" x14ac:dyDescent="0.25">
      <c r="I1361" s="41" t="s">
        <v>10</v>
      </c>
      <c r="J1361" s="41" t="s">
        <v>11</v>
      </c>
      <c r="K1361" s="41" t="s">
        <v>12</v>
      </c>
      <c r="L1361" s="41" t="s">
        <v>19</v>
      </c>
      <c r="M1361">
        <f t="shared" si="85"/>
        <v>143</v>
      </c>
      <c r="N1361">
        <f t="shared" si="86"/>
        <v>32</v>
      </c>
      <c r="O1361">
        <f t="shared" si="87"/>
        <v>0</v>
      </c>
      <c r="P1361">
        <f t="shared" si="88"/>
        <v>23</v>
      </c>
    </row>
    <row r="1362" spans="9:16" ht="15" customHeight="1" x14ac:dyDescent="0.25">
      <c r="I1362" s="43" t="s">
        <v>337</v>
      </c>
      <c r="J1362" s="43" t="s">
        <v>24</v>
      </c>
      <c r="K1362" s="43" t="s">
        <v>12</v>
      </c>
      <c r="L1362" s="43" t="s">
        <v>43</v>
      </c>
      <c r="M1362">
        <f t="shared" si="85"/>
        <v>137</v>
      </c>
      <c r="N1362">
        <f t="shared" si="86"/>
        <v>9</v>
      </c>
      <c r="O1362">
        <f t="shared" si="87"/>
        <v>0</v>
      </c>
      <c r="P1362">
        <f t="shared" si="88"/>
        <v>25</v>
      </c>
    </row>
    <row r="1363" spans="9:16" ht="15" customHeight="1" x14ac:dyDescent="0.25">
      <c r="I1363" s="41" t="s">
        <v>338</v>
      </c>
      <c r="J1363" s="41" t="s">
        <v>11</v>
      </c>
      <c r="K1363" s="41" t="s">
        <v>1552</v>
      </c>
      <c r="L1363" s="41" t="s">
        <v>339</v>
      </c>
      <c r="M1363">
        <f t="shared" si="85"/>
        <v>135</v>
      </c>
      <c r="N1363">
        <f t="shared" si="86"/>
        <v>32</v>
      </c>
      <c r="O1363">
        <f t="shared" si="87"/>
        <v>37</v>
      </c>
      <c r="P1363">
        <f t="shared" si="88"/>
        <v>0</v>
      </c>
    </row>
    <row r="1364" spans="9:16" ht="15" customHeight="1" x14ac:dyDescent="0.25">
      <c r="I1364" s="43" t="s">
        <v>338</v>
      </c>
      <c r="J1364" s="43" t="s">
        <v>11</v>
      </c>
      <c r="K1364" s="43" t="s">
        <v>1555</v>
      </c>
      <c r="L1364" s="43" t="s">
        <v>345</v>
      </c>
      <c r="M1364">
        <f t="shared" si="85"/>
        <v>135</v>
      </c>
      <c r="N1364">
        <f t="shared" si="86"/>
        <v>32</v>
      </c>
      <c r="O1364">
        <f t="shared" si="87"/>
        <v>41</v>
      </c>
      <c r="P1364">
        <f t="shared" si="88"/>
        <v>2</v>
      </c>
    </row>
    <row r="1365" spans="9:16" ht="15" customHeight="1" x14ac:dyDescent="0.25">
      <c r="I1365" s="41" t="s">
        <v>335</v>
      </c>
      <c r="J1365" s="41" t="s">
        <v>11</v>
      </c>
      <c r="K1365" s="41" t="s">
        <v>1557</v>
      </c>
      <c r="L1365" s="41" t="s">
        <v>33</v>
      </c>
      <c r="M1365">
        <f t="shared" si="85"/>
        <v>139</v>
      </c>
      <c r="N1365">
        <f t="shared" si="86"/>
        <v>32</v>
      </c>
      <c r="O1365">
        <f t="shared" si="87"/>
        <v>47</v>
      </c>
      <c r="P1365">
        <f t="shared" si="88"/>
        <v>30</v>
      </c>
    </row>
    <row r="1366" spans="9:16" ht="15" customHeight="1" x14ac:dyDescent="0.25">
      <c r="I1366" s="43" t="s">
        <v>335</v>
      </c>
      <c r="J1366" s="43" t="s">
        <v>11</v>
      </c>
      <c r="K1366" s="43" t="s">
        <v>1560</v>
      </c>
      <c r="L1366" s="43" t="s">
        <v>13</v>
      </c>
      <c r="M1366">
        <f t="shared" si="85"/>
        <v>139</v>
      </c>
      <c r="N1366">
        <f t="shared" si="86"/>
        <v>32</v>
      </c>
      <c r="O1366">
        <f t="shared" si="87"/>
        <v>49</v>
      </c>
      <c r="P1366">
        <f t="shared" si="88"/>
        <v>21</v>
      </c>
    </row>
    <row r="1367" spans="9:16" ht="15" customHeight="1" x14ac:dyDescent="0.25">
      <c r="I1367" s="41" t="s">
        <v>342</v>
      </c>
      <c r="J1367" s="41" t="s">
        <v>24</v>
      </c>
      <c r="K1367" s="41" t="s">
        <v>1553</v>
      </c>
      <c r="L1367" s="41" t="s">
        <v>19</v>
      </c>
      <c r="M1367">
        <f t="shared" si="85"/>
        <v>134</v>
      </c>
      <c r="N1367">
        <f t="shared" si="86"/>
        <v>9</v>
      </c>
      <c r="O1367">
        <f t="shared" si="87"/>
        <v>39</v>
      </c>
      <c r="P1367">
        <f t="shared" si="88"/>
        <v>23</v>
      </c>
    </row>
    <row r="1368" spans="9:16" ht="15" customHeight="1" x14ac:dyDescent="0.25">
      <c r="I1368" s="43" t="s">
        <v>342</v>
      </c>
      <c r="J1368" s="43" t="s">
        <v>11</v>
      </c>
      <c r="K1368" s="43" t="s">
        <v>1556</v>
      </c>
      <c r="L1368" s="43" t="s">
        <v>43</v>
      </c>
      <c r="M1368">
        <f t="shared" si="85"/>
        <v>134</v>
      </c>
      <c r="N1368">
        <f t="shared" si="86"/>
        <v>32</v>
      </c>
      <c r="O1368">
        <f t="shared" si="87"/>
        <v>42</v>
      </c>
      <c r="P1368">
        <f t="shared" si="88"/>
        <v>25</v>
      </c>
    </row>
    <row r="1369" spans="9:16" ht="15" customHeight="1" x14ac:dyDescent="0.25">
      <c r="I1369" s="41" t="s">
        <v>10</v>
      </c>
      <c r="J1369" s="41" t="s">
        <v>24</v>
      </c>
      <c r="K1369" s="41" t="s">
        <v>1558</v>
      </c>
      <c r="L1369" s="41" t="s">
        <v>339</v>
      </c>
      <c r="M1369">
        <f t="shared" si="85"/>
        <v>143</v>
      </c>
      <c r="N1369">
        <f t="shared" si="86"/>
        <v>9</v>
      </c>
      <c r="O1369">
        <f t="shared" si="87"/>
        <v>48</v>
      </c>
      <c r="P1369">
        <f t="shared" si="88"/>
        <v>0</v>
      </c>
    </row>
    <row r="1370" spans="9:16" ht="15" customHeight="1" x14ac:dyDescent="0.25">
      <c r="I1370" s="43" t="s">
        <v>17</v>
      </c>
      <c r="J1370" s="43" t="s">
        <v>11</v>
      </c>
      <c r="K1370" s="43" t="s">
        <v>1561</v>
      </c>
      <c r="L1370" s="43" t="s">
        <v>345</v>
      </c>
      <c r="M1370">
        <f t="shared" si="85"/>
        <v>141</v>
      </c>
      <c r="N1370">
        <f t="shared" si="86"/>
        <v>32</v>
      </c>
      <c r="O1370">
        <f t="shared" si="87"/>
        <v>51</v>
      </c>
      <c r="P1370">
        <f t="shared" si="88"/>
        <v>2</v>
      </c>
    </row>
    <row r="1371" spans="9:16" ht="15" customHeight="1" x14ac:dyDescent="0.25">
      <c r="I1371" s="41" t="s">
        <v>10</v>
      </c>
      <c r="J1371" s="41" t="s">
        <v>24</v>
      </c>
      <c r="K1371" s="41" t="s">
        <v>1554</v>
      </c>
      <c r="L1371" s="41" t="s">
        <v>33</v>
      </c>
      <c r="M1371">
        <f t="shared" si="85"/>
        <v>143</v>
      </c>
      <c r="N1371">
        <f t="shared" si="86"/>
        <v>9</v>
      </c>
      <c r="O1371">
        <f t="shared" si="87"/>
        <v>38</v>
      </c>
      <c r="P1371">
        <f t="shared" si="88"/>
        <v>30</v>
      </c>
    </row>
    <row r="1372" spans="9:16" ht="15" customHeight="1" x14ac:dyDescent="0.25">
      <c r="I1372" s="43" t="s">
        <v>23</v>
      </c>
      <c r="J1372" s="43" t="s">
        <v>11</v>
      </c>
      <c r="K1372" s="43" t="s">
        <v>1559</v>
      </c>
      <c r="L1372" s="43" t="s">
        <v>13</v>
      </c>
      <c r="M1372">
        <f t="shared" si="85"/>
        <v>136</v>
      </c>
      <c r="N1372">
        <f t="shared" si="86"/>
        <v>32</v>
      </c>
      <c r="O1372">
        <f t="shared" si="87"/>
        <v>43</v>
      </c>
      <c r="P1372">
        <f t="shared" si="88"/>
        <v>21</v>
      </c>
    </row>
    <row r="1373" spans="9:16" ht="15" customHeight="1" x14ac:dyDescent="0.25">
      <c r="I1373" s="41" t="s">
        <v>17</v>
      </c>
      <c r="J1373" s="41" t="s">
        <v>24</v>
      </c>
      <c r="K1373" s="41" t="s">
        <v>1554</v>
      </c>
      <c r="L1373" s="41" t="s">
        <v>19</v>
      </c>
      <c r="M1373">
        <f t="shared" si="85"/>
        <v>141</v>
      </c>
      <c r="N1373">
        <f t="shared" si="86"/>
        <v>9</v>
      </c>
      <c r="O1373">
        <f t="shared" si="87"/>
        <v>38</v>
      </c>
      <c r="P1373">
        <f t="shared" si="88"/>
        <v>23</v>
      </c>
    </row>
    <row r="1374" spans="9:16" ht="15" customHeight="1" x14ac:dyDescent="0.25">
      <c r="I1374" s="43" t="s">
        <v>337</v>
      </c>
      <c r="J1374" s="43" t="s">
        <v>24</v>
      </c>
      <c r="K1374" s="43" t="s">
        <v>1559</v>
      </c>
      <c r="L1374" s="43" t="s">
        <v>43</v>
      </c>
      <c r="M1374">
        <f t="shared" si="85"/>
        <v>137</v>
      </c>
      <c r="N1374">
        <f t="shared" si="86"/>
        <v>9</v>
      </c>
      <c r="O1374">
        <f t="shared" si="87"/>
        <v>43</v>
      </c>
      <c r="P1374">
        <f t="shared" si="88"/>
        <v>25</v>
      </c>
    </row>
    <row r="1375" spans="9:16" ht="15" customHeight="1" x14ac:dyDescent="0.25">
      <c r="I1375" s="41" t="s">
        <v>338</v>
      </c>
      <c r="J1375" s="41" t="s">
        <v>24</v>
      </c>
      <c r="K1375" s="41" t="s">
        <v>1553</v>
      </c>
      <c r="L1375" s="41" t="s">
        <v>339</v>
      </c>
      <c r="M1375">
        <f t="shared" si="85"/>
        <v>135</v>
      </c>
      <c r="N1375">
        <f t="shared" si="86"/>
        <v>9</v>
      </c>
      <c r="O1375">
        <f t="shared" si="87"/>
        <v>39</v>
      </c>
      <c r="P1375">
        <f t="shared" si="88"/>
        <v>0</v>
      </c>
    </row>
    <row r="1376" spans="9:16" ht="15" customHeight="1" x14ac:dyDescent="0.25">
      <c r="I1376" s="43" t="s">
        <v>335</v>
      </c>
      <c r="J1376" s="43" t="s">
        <v>11</v>
      </c>
      <c r="K1376" s="43" t="s">
        <v>1556</v>
      </c>
      <c r="L1376" s="43" t="s">
        <v>345</v>
      </c>
      <c r="M1376">
        <f t="shared" si="85"/>
        <v>139</v>
      </c>
      <c r="N1376">
        <f t="shared" si="86"/>
        <v>32</v>
      </c>
      <c r="O1376">
        <f t="shared" si="87"/>
        <v>42</v>
      </c>
      <c r="P1376">
        <f t="shared" si="88"/>
        <v>2</v>
      </c>
    </row>
    <row r="1377" spans="9:16" ht="15" customHeight="1" x14ac:dyDescent="0.25">
      <c r="I1377" s="41" t="s">
        <v>342</v>
      </c>
      <c r="J1377" s="41" t="s">
        <v>24</v>
      </c>
      <c r="K1377" s="41" t="s">
        <v>1558</v>
      </c>
      <c r="L1377" s="41" t="s">
        <v>33</v>
      </c>
      <c r="M1377">
        <f t="shared" si="85"/>
        <v>134</v>
      </c>
      <c r="N1377">
        <f t="shared" si="86"/>
        <v>9</v>
      </c>
      <c r="O1377">
        <f t="shared" si="87"/>
        <v>48</v>
      </c>
      <c r="P1377">
        <f t="shared" si="88"/>
        <v>30</v>
      </c>
    </row>
    <row r="1378" spans="9:16" ht="15" customHeight="1" x14ac:dyDescent="0.25">
      <c r="I1378" s="43" t="s">
        <v>23</v>
      </c>
      <c r="J1378" s="43" t="s">
        <v>24</v>
      </c>
      <c r="K1378" s="43" t="s">
        <v>1561</v>
      </c>
      <c r="L1378" s="43" t="s">
        <v>33</v>
      </c>
      <c r="M1378">
        <f t="shared" si="85"/>
        <v>136</v>
      </c>
      <c r="N1378">
        <f t="shared" si="86"/>
        <v>9</v>
      </c>
      <c r="O1378">
        <f t="shared" si="87"/>
        <v>51</v>
      </c>
      <c r="P1378">
        <f t="shared" si="88"/>
        <v>30</v>
      </c>
    </row>
    <row r="1379" spans="9:16" ht="15" customHeight="1" x14ac:dyDescent="0.25">
      <c r="I1379" s="41" t="s">
        <v>17</v>
      </c>
      <c r="J1379" s="41" t="s">
        <v>24</v>
      </c>
      <c r="K1379" s="41" t="s">
        <v>1552</v>
      </c>
      <c r="L1379" s="41" t="s">
        <v>13</v>
      </c>
      <c r="M1379">
        <f t="shared" si="85"/>
        <v>141</v>
      </c>
      <c r="N1379">
        <f t="shared" si="86"/>
        <v>9</v>
      </c>
      <c r="O1379">
        <f t="shared" si="87"/>
        <v>37</v>
      </c>
      <c r="P1379">
        <f t="shared" si="88"/>
        <v>21</v>
      </c>
    </row>
    <row r="1380" spans="9:16" ht="15" customHeight="1" x14ac:dyDescent="0.25">
      <c r="I1380" s="43" t="s">
        <v>10</v>
      </c>
      <c r="J1380" s="43" t="s">
        <v>11</v>
      </c>
      <c r="K1380" s="43" t="s">
        <v>1555</v>
      </c>
      <c r="L1380" s="43" t="s">
        <v>19</v>
      </c>
      <c r="M1380">
        <f t="shared" si="85"/>
        <v>143</v>
      </c>
      <c r="N1380">
        <f t="shared" si="86"/>
        <v>32</v>
      </c>
      <c r="O1380">
        <f t="shared" si="87"/>
        <v>41</v>
      </c>
      <c r="P1380">
        <f t="shared" si="88"/>
        <v>23</v>
      </c>
    </row>
    <row r="1381" spans="9:16" ht="15" customHeight="1" x14ac:dyDescent="0.25">
      <c r="I1381" s="41" t="s">
        <v>343</v>
      </c>
      <c r="J1381" s="41" t="s">
        <v>24</v>
      </c>
      <c r="K1381" s="41" t="s">
        <v>1557</v>
      </c>
      <c r="L1381" s="41" t="s">
        <v>43</v>
      </c>
      <c r="M1381">
        <f t="shared" si="85"/>
        <v>132</v>
      </c>
      <c r="N1381">
        <f t="shared" si="86"/>
        <v>9</v>
      </c>
      <c r="O1381">
        <f t="shared" si="87"/>
        <v>47</v>
      </c>
      <c r="P1381">
        <f t="shared" si="88"/>
        <v>25</v>
      </c>
    </row>
    <row r="1382" spans="9:16" ht="15" customHeight="1" x14ac:dyDescent="0.25">
      <c r="I1382" s="43" t="s">
        <v>340</v>
      </c>
      <c r="J1382" s="43" t="s">
        <v>11</v>
      </c>
      <c r="K1382" s="43" t="s">
        <v>1560</v>
      </c>
      <c r="L1382" s="43" t="s">
        <v>339</v>
      </c>
      <c r="M1382">
        <f t="shared" si="85"/>
        <v>129</v>
      </c>
      <c r="N1382">
        <f t="shared" si="86"/>
        <v>32</v>
      </c>
      <c r="O1382">
        <f t="shared" si="87"/>
        <v>49</v>
      </c>
      <c r="P1382">
        <f t="shared" si="88"/>
        <v>0</v>
      </c>
    </row>
    <row r="1383" spans="9:16" ht="15" customHeight="1" x14ac:dyDescent="0.25">
      <c r="I1383" s="41" t="s">
        <v>344</v>
      </c>
      <c r="J1383" s="41" t="s">
        <v>24</v>
      </c>
      <c r="K1383" s="41" t="s">
        <v>12</v>
      </c>
      <c r="L1383" s="41" t="s">
        <v>345</v>
      </c>
      <c r="M1383">
        <f t="shared" si="85"/>
        <v>131</v>
      </c>
      <c r="N1383">
        <f t="shared" si="86"/>
        <v>9</v>
      </c>
      <c r="O1383">
        <f t="shared" si="87"/>
        <v>0</v>
      </c>
      <c r="P1383">
        <f t="shared" si="88"/>
        <v>2</v>
      </c>
    </row>
    <row r="1384" spans="9:16" ht="15" customHeight="1" x14ac:dyDescent="0.25">
      <c r="I1384" s="43" t="s">
        <v>335</v>
      </c>
      <c r="J1384" s="43" t="s">
        <v>11</v>
      </c>
      <c r="K1384" s="43" t="s">
        <v>12</v>
      </c>
      <c r="L1384" s="43" t="s">
        <v>33</v>
      </c>
      <c r="M1384">
        <f t="shared" si="85"/>
        <v>139</v>
      </c>
      <c r="N1384">
        <f t="shared" si="86"/>
        <v>32</v>
      </c>
      <c r="O1384">
        <f t="shared" si="87"/>
        <v>0</v>
      </c>
      <c r="P1384">
        <f t="shared" si="88"/>
        <v>30</v>
      </c>
    </row>
    <row r="1385" spans="9:16" ht="15" customHeight="1" x14ac:dyDescent="0.25">
      <c r="I1385" s="41" t="s">
        <v>343</v>
      </c>
      <c r="J1385" s="41" t="s">
        <v>24</v>
      </c>
      <c r="K1385" s="41" t="s">
        <v>1552</v>
      </c>
      <c r="L1385" s="41" t="s">
        <v>13</v>
      </c>
      <c r="M1385">
        <f t="shared" si="85"/>
        <v>132</v>
      </c>
      <c r="N1385">
        <f t="shared" si="86"/>
        <v>9</v>
      </c>
      <c r="O1385">
        <f t="shared" si="87"/>
        <v>37</v>
      </c>
      <c r="P1385">
        <f t="shared" si="88"/>
        <v>21</v>
      </c>
    </row>
    <row r="1386" spans="9:16" ht="15" customHeight="1" x14ac:dyDescent="0.25">
      <c r="I1386" s="43" t="s">
        <v>340</v>
      </c>
      <c r="J1386" s="43" t="s">
        <v>11</v>
      </c>
      <c r="K1386" s="43" t="s">
        <v>1553</v>
      </c>
      <c r="L1386" s="43" t="s">
        <v>19</v>
      </c>
      <c r="M1386">
        <f t="shared" si="85"/>
        <v>129</v>
      </c>
      <c r="N1386">
        <f t="shared" si="86"/>
        <v>32</v>
      </c>
      <c r="O1386">
        <f t="shared" si="87"/>
        <v>39</v>
      </c>
      <c r="P1386">
        <f t="shared" si="88"/>
        <v>23</v>
      </c>
    </row>
    <row r="1387" spans="9:16" ht="15" customHeight="1" x14ac:dyDescent="0.25">
      <c r="I1387" s="41" t="s">
        <v>344</v>
      </c>
      <c r="J1387" s="41" t="s">
        <v>11</v>
      </c>
      <c r="K1387" s="41" t="s">
        <v>1554</v>
      </c>
      <c r="L1387" s="41" t="s">
        <v>43</v>
      </c>
      <c r="M1387">
        <f t="shared" si="85"/>
        <v>131</v>
      </c>
      <c r="N1387">
        <f t="shared" si="86"/>
        <v>32</v>
      </c>
      <c r="O1387">
        <f t="shared" si="87"/>
        <v>38</v>
      </c>
      <c r="P1387">
        <f t="shared" si="88"/>
        <v>25</v>
      </c>
    </row>
    <row r="1388" spans="9:16" ht="15" customHeight="1" x14ac:dyDescent="0.25">
      <c r="I1388" s="43" t="s">
        <v>337</v>
      </c>
      <c r="J1388" s="43" t="s">
        <v>24</v>
      </c>
      <c r="K1388" s="43" t="s">
        <v>1555</v>
      </c>
      <c r="L1388" s="43" t="s">
        <v>339</v>
      </c>
      <c r="M1388">
        <f t="shared" si="85"/>
        <v>137</v>
      </c>
      <c r="N1388">
        <f t="shared" si="86"/>
        <v>9</v>
      </c>
      <c r="O1388">
        <f t="shared" si="87"/>
        <v>41</v>
      </c>
      <c r="P1388">
        <f t="shared" si="88"/>
        <v>0</v>
      </c>
    </row>
    <row r="1389" spans="9:16" ht="15" customHeight="1" x14ac:dyDescent="0.25">
      <c r="I1389" s="41" t="s">
        <v>338</v>
      </c>
      <c r="J1389" s="41" t="s">
        <v>11</v>
      </c>
      <c r="K1389" s="41" t="s">
        <v>1556</v>
      </c>
      <c r="L1389" s="41" t="s">
        <v>345</v>
      </c>
      <c r="M1389">
        <f t="shared" si="85"/>
        <v>135</v>
      </c>
      <c r="N1389">
        <f t="shared" si="86"/>
        <v>32</v>
      </c>
      <c r="O1389">
        <f t="shared" si="87"/>
        <v>42</v>
      </c>
      <c r="P1389">
        <f t="shared" si="88"/>
        <v>2</v>
      </c>
    </row>
    <row r="1390" spans="9:16" ht="15" customHeight="1" x14ac:dyDescent="0.25">
      <c r="I1390" s="43" t="s">
        <v>335</v>
      </c>
      <c r="J1390" s="43" t="s">
        <v>24</v>
      </c>
      <c r="K1390" s="43" t="s">
        <v>1559</v>
      </c>
      <c r="L1390" s="43" t="s">
        <v>33</v>
      </c>
      <c r="M1390">
        <f t="shared" si="85"/>
        <v>139</v>
      </c>
      <c r="N1390">
        <f t="shared" si="86"/>
        <v>9</v>
      </c>
      <c r="O1390">
        <f t="shared" si="87"/>
        <v>43</v>
      </c>
      <c r="P1390">
        <f t="shared" si="88"/>
        <v>30</v>
      </c>
    </row>
    <row r="1391" spans="9:16" ht="15" customHeight="1" x14ac:dyDescent="0.25">
      <c r="I1391" s="41" t="s">
        <v>343</v>
      </c>
      <c r="J1391" s="41" t="s">
        <v>24</v>
      </c>
      <c r="K1391" s="41" t="s">
        <v>1557</v>
      </c>
      <c r="L1391" s="41" t="s">
        <v>13</v>
      </c>
      <c r="M1391">
        <f t="shared" si="85"/>
        <v>132</v>
      </c>
      <c r="N1391">
        <f t="shared" si="86"/>
        <v>9</v>
      </c>
      <c r="O1391">
        <f t="shared" si="87"/>
        <v>47</v>
      </c>
      <c r="P1391">
        <f t="shared" si="88"/>
        <v>21</v>
      </c>
    </row>
    <row r="1392" spans="9:16" ht="15" customHeight="1" x14ac:dyDescent="0.25">
      <c r="I1392" s="43" t="s">
        <v>340</v>
      </c>
      <c r="J1392" s="43" t="s">
        <v>11</v>
      </c>
      <c r="K1392" s="43" t="s">
        <v>1558</v>
      </c>
      <c r="L1392" s="43" t="s">
        <v>19</v>
      </c>
      <c r="M1392">
        <f t="shared" si="85"/>
        <v>129</v>
      </c>
      <c r="N1392">
        <f t="shared" si="86"/>
        <v>32</v>
      </c>
      <c r="O1392">
        <f t="shared" si="87"/>
        <v>48</v>
      </c>
      <c r="P1392">
        <f t="shared" si="88"/>
        <v>23</v>
      </c>
    </row>
    <row r="1393" spans="9:16" ht="15" customHeight="1" x14ac:dyDescent="0.25">
      <c r="I1393" s="41" t="s">
        <v>342</v>
      </c>
      <c r="J1393" s="41" t="s">
        <v>11</v>
      </c>
      <c r="K1393" s="41" t="s">
        <v>1560</v>
      </c>
      <c r="L1393" s="41" t="s">
        <v>43</v>
      </c>
      <c r="M1393">
        <f t="shared" si="85"/>
        <v>134</v>
      </c>
      <c r="N1393">
        <f t="shared" si="86"/>
        <v>32</v>
      </c>
      <c r="O1393">
        <f t="shared" si="87"/>
        <v>49</v>
      </c>
      <c r="P1393">
        <f t="shared" si="88"/>
        <v>25</v>
      </c>
    </row>
    <row r="1394" spans="9:16" ht="15" customHeight="1" x14ac:dyDescent="0.25">
      <c r="I1394" s="43" t="s">
        <v>23</v>
      </c>
      <c r="J1394" s="43" t="s">
        <v>11</v>
      </c>
      <c r="K1394" s="43" t="s">
        <v>1561</v>
      </c>
      <c r="L1394" s="43" t="s">
        <v>339</v>
      </c>
      <c r="M1394">
        <f t="shared" si="85"/>
        <v>136</v>
      </c>
      <c r="N1394">
        <f t="shared" si="86"/>
        <v>32</v>
      </c>
      <c r="O1394">
        <f t="shared" si="87"/>
        <v>51</v>
      </c>
      <c r="P1394">
        <f t="shared" si="88"/>
        <v>0</v>
      </c>
    </row>
    <row r="1395" spans="9:16" ht="15" customHeight="1" x14ac:dyDescent="0.25">
      <c r="I1395" s="41" t="s">
        <v>17</v>
      </c>
      <c r="J1395" s="41" t="s">
        <v>11</v>
      </c>
      <c r="K1395" s="41" t="s">
        <v>1561</v>
      </c>
      <c r="L1395" s="41" t="s">
        <v>345</v>
      </c>
      <c r="M1395">
        <f t="shared" si="85"/>
        <v>141</v>
      </c>
      <c r="N1395">
        <f t="shared" si="86"/>
        <v>32</v>
      </c>
      <c r="O1395">
        <f t="shared" si="87"/>
        <v>51</v>
      </c>
      <c r="P1395">
        <f t="shared" si="88"/>
        <v>2</v>
      </c>
    </row>
    <row r="1396" spans="9:16" ht="15" customHeight="1" x14ac:dyDescent="0.25">
      <c r="I1396" s="43" t="s">
        <v>10</v>
      </c>
      <c r="J1396" s="43" t="s">
        <v>11</v>
      </c>
      <c r="K1396" s="43" t="s">
        <v>1560</v>
      </c>
      <c r="L1396" s="43" t="s">
        <v>33</v>
      </c>
      <c r="M1396">
        <f t="shared" si="85"/>
        <v>143</v>
      </c>
      <c r="N1396">
        <f t="shared" si="86"/>
        <v>32</v>
      </c>
      <c r="O1396">
        <f t="shared" si="87"/>
        <v>49</v>
      </c>
      <c r="P1396">
        <f t="shared" si="88"/>
        <v>30</v>
      </c>
    </row>
    <row r="1397" spans="9:16" ht="15" customHeight="1" x14ac:dyDescent="0.25">
      <c r="I1397" s="41" t="s">
        <v>344</v>
      </c>
      <c r="J1397" s="41" t="s">
        <v>11</v>
      </c>
      <c r="K1397" s="41" t="s">
        <v>1558</v>
      </c>
      <c r="L1397" s="41" t="s">
        <v>13</v>
      </c>
      <c r="M1397">
        <f t="shared" si="85"/>
        <v>131</v>
      </c>
      <c r="N1397">
        <f t="shared" si="86"/>
        <v>32</v>
      </c>
      <c r="O1397">
        <f t="shared" si="87"/>
        <v>48</v>
      </c>
      <c r="P1397">
        <f t="shared" si="88"/>
        <v>21</v>
      </c>
    </row>
    <row r="1398" spans="9:16" ht="15" customHeight="1" x14ac:dyDescent="0.25">
      <c r="I1398" s="43" t="s">
        <v>344</v>
      </c>
      <c r="J1398" s="43" t="s">
        <v>24</v>
      </c>
      <c r="K1398" s="43" t="s">
        <v>1557</v>
      </c>
      <c r="L1398" s="43" t="s">
        <v>19</v>
      </c>
      <c r="M1398">
        <f t="shared" si="85"/>
        <v>131</v>
      </c>
      <c r="N1398">
        <f t="shared" si="86"/>
        <v>9</v>
      </c>
      <c r="O1398">
        <f t="shared" si="87"/>
        <v>47</v>
      </c>
      <c r="P1398">
        <f t="shared" si="88"/>
        <v>23</v>
      </c>
    </row>
    <row r="1399" spans="9:16" ht="15" customHeight="1" x14ac:dyDescent="0.25">
      <c r="I1399" s="41" t="s">
        <v>10</v>
      </c>
      <c r="J1399" s="41" t="s">
        <v>11</v>
      </c>
      <c r="K1399" s="41" t="s">
        <v>1559</v>
      </c>
      <c r="L1399" s="41" t="s">
        <v>43</v>
      </c>
      <c r="M1399">
        <f t="shared" si="85"/>
        <v>143</v>
      </c>
      <c r="N1399">
        <f t="shared" si="86"/>
        <v>32</v>
      </c>
      <c r="O1399">
        <f t="shared" si="87"/>
        <v>43</v>
      </c>
      <c r="P1399">
        <f t="shared" si="88"/>
        <v>25</v>
      </c>
    </row>
    <row r="1400" spans="9:16" ht="15" customHeight="1" x14ac:dyDescent="0.25">
      <c r="I1400" s="43" t="s">
        <v>17</v>
      </c>
      <c r="J1400" s="43" t="s">
        <v>11</v>
      </c>
      <c r="K1400" s="43" t="s">
        <v>1556</v>
      </c>
      <c r="L1400" s="43" t="s">
        <v>339</v>
      </c>
      <c r="M1400">
        <f t="shared" ref="M1400:M1463" si="89">_xlfn.XLOOKUP(I1400,$C$9:$C$37,$D$9:$D$37,2,0)</f>
        <v>141</v>
      </c>
      <c r="N1400">
        <f t="shared" ref="N1400:N1463" si="90">_xlfn.XLOOKUP(J1400,$C$9:$C$37,$D$9:$D$37,2,0)</f>
        <v>32</v>
      </c>
      <c r="O1400">
        <f t="shared" ref="O1400:O1463" si="91">_xlfn.XLOOKUP(K1400,$C$9:$C$37,$D$9:$D$37,2,0)</f>
        <v>42</v>
      </c>
      <c r="P1400">
        <f t="shared" ref="P1400:P1463" si="92">_xlfn.XLOOKUP(L1400,$C$9:$C$37,$D$9:$D$37,2,0)</f>
        <v>0</v>
      </c>
    </row>
    <row r="1401" spans="9:16" ht="15" customHeight="1" x14ac:dyDescent="0.25">
      <c r="I1401" s="41" t="s">
        <v>23</v>
      </c>
      <c r="J1401" s="41" t="s">
        <v>11</v>
      </c>
      <c r="K1401" s="41" t="s">
        <v>1555</v>
      </c>
      <c r="L1401" s="41" t="s">
        <v>345</v>
      </c>
      <c r="M1401">
        <f t="shared" si="89"/>
        <v>136</v>
      </c>
      <c r="N1401">
        <f t="shared" si="90"/>
        <v>32</v>
      </c>
      <c r="O1401">
        <f t="shared" si="91"/>
        <v>41</v>
      </c>
      <c r="P1401">
        <f t="shared" si="92"/>
        <v>2</v>
      </c>
    </row>
    <row r="1402" spans="9:16" ht="15" customHeight="1" x14ac:dyDescent="0.25">
      <c r="I1402" s="43" t="s">
        <v>342</v>
      </c>
      <c r="J1402" s="43" t="s">
        <v>11</v>
      </c>
      <c r="K1402" s="43" t="s">
        <v>1554</v>
      </c>
      <c r="L1402" s="43" t="s">
        <v>33</v>
      </c>
      <c r="M1402">
        <f t="shared" si="89"/>
        <v>134</v>
      </c>
      <c r="N1402">
        <f t="shared" si="90"/>
        <v>32</v>
      </c>
      <c r="O1402">
        <f t="shared" si="91"/>
        <v>38</v>
      </c>
      <c r="P1402">
        <f t="shared" si="92"/>
        <v>30</v>
      </c>
    </row>
    <row r="1403" spans="9:16" ht="15" customHeight="1" x14ac:dyDescent="0.25">
      <c r="I1403" s="41" t="s">
        <v>340</v>
      </c>
      <c r="J1403" s="41" t="s">
        <v>24</v>
      </c>
      <c r="K1403" s="41" t="s">
        <v>1553</v>
      </c>
      <c r="L1403" s="41" t="s">
        <v>13</v>
      </c>
      <c r="M1403">
        <f t="shared" si="89"/>
        <v>129</v>
      </c>
      <c r="N1403">
        <f t="shared" si="90"/>
        <v>9</v>
      </c>
      <c r="O1403">
        <f t="shared" si="91"/>
        <v>39</v>
      </c>
      <c r="P1403">
        <f t="shared" si="92"/>
        <v>21</v>
      </c>
    </row>
    <row r="1404" spans="9:16" ht="15" customHeight="1" x14ac:dyDescent="0.25">
      <c r="I1404" s="43" t="s">
        <v>343</v>
      </c>
      <c r="J1404" s="43" t="s">
        <v>11</v>
      </c>
      <c r="K1404" s="43" t="s">
        <v>1552</v>
      </c>
      <c r="L1404" s="43" t="s">
        <v>19</v>
      </c>
      <c r="M1404">
        <f t="shared" si="89"/>
        <v>132</v>
      </c>
      <c r="N1404">
        <f t="shared" si="90"/>
        <v>32</v>
      </c>
      <c r="O1404">
        <f t="shared" si="91"/>
        <v>37</v>
      </c>
      <c r="P1404">
        <f t="shared" si="92"/>
        <v>23</v>
      </c>
    </row>
    <row r="1405" spans="9:16" ht="15" customHeight="1" x14ac:dyDescent="0.25">
      <c r="I1405" s="41" t="s">
        <v>335</v>
      </c>
      <c r="J1405" s="41" t="s">
        <v>24</v>
      </c>
      <c r="K1405" s="41" t="s">
        <v>12</v>
      </c>
      <c r="L1405" s="41" t="s">
        <v>43</v>
      </c>
      <c r="M1405">
        <f t="shared" si="89"/>
        <v>139</v>
      </c>
      <c r="N1405">
        <f t="shared" si="90"/>
        <v>9</v>
      </c>
      <c r="O1405">
        <f t="shared" si="91"/>
        <v>0</v>
      </c>
      <c r="P1405">
        <f t="shared" si="92"/>
        <v>25</v>
      </c>
    </row>
    <row r="1406" spans="9:16" ht="15" customHeight="1" x14ac:dyDescent="0.25">
      <c r="I1406" s="43" t="s">
        <v>338</v>
      </c>
      <c r="J1406" s="43" t="s">
        <v>11</v>
      </c>
      <c r="K1406" s="43" t="s">
        <v>12</v>
      </c>
      <c r="L1406" s="43" t="s">
        <v>339</v>
      </c>
      <c r="M1406">
        <f t="shared" si="89"/>
        <v>135</v>
      </c>
      <c r="N1406">
        <f t="shared" si="90"/>
        <v>32</v>
      </c>
      <c r="O1406">
        <f t="shared" si="91"/>
        <v>0</v>
      </c>
      <c r="P1406">
        <f t="shared" si="92"/>
        <v>0</v>
      </c>
    </row>
    <row r="1407" spans="9:16" ht="15" customHeight="1" x14ac:dyDescent="0.25">
      <c r="I1407" s="41" t="s">
        <v>337</v>
      </c>
      <c r="J1407" s="41" t="s">
        <v>24</v>
      </c>
      <c r="K1407" s="41" t="s">
        <v>1552</v>
      </c>
      <c r="L1407" s="41" t="s">
        <v>345</v>
      </c>
      <c r="M1407">
        <f t="shared" si="89"/>
        <v>137</v>
      </c>
      <c r="N1407">
        <f t="shared" si="90"/>
        <v>9</v>
      </c>
      <c r="O1407">
        <f t="shared" si="91"/>
        <v>37</v>
      </c>
      <c r="P1407">
        <f t="shared" si="92"/>
        <v>2</v>
      </c>
    </row>
    <row r="1408" spans="9:16" ht="15" customHeight="1" x14ac:dyDescent="0.25">
      <c r="I1408" s="43" t="s">
        <v>343</v>
      </c>
      <c r="J1408" s="43" t="s">
        <v>11</v>
      </c>
      <c r="K1408" s="43" t="s">
        <v>1555</v>
      </c>
      <c r="L1408" s="43" t="s">
        <v>33</v>
      </c>
      <c r="M1408">
        <f t="shared" si="89"/>
        <v>132</v>
      </c>
      <c r="N1408">
        <f t="shared" si="90"/>
        <v>32</v>
      </c>
      <c r="O1408">
        <f t="shared" si="91"/>
        <v>41</v>
      </c>
      <c r="P1408">
        <f t="shared" si="92"/>
        <v>30</v>
      </c>
    </row>
    <row r="1409" spans="9:16" ht="15" customHeight="1" x14ac:dyDescent="0.25">
      <c r="I1409" s="41" t="s">
        <v>340</v>
      </c>
      <c r="J1409" s="41" t="s">
        <v>24</v>
      </c>
      <c r="K1409" s="41" t="s">
        <v>1557</v>
      </c>
      <c r="L1409" s="41" t="s">
        <v>13</v>
      </c>
      <c r="M1409">
        <f t="shared" si="89"/>
        <v>129</v>
      </c>
      <c r="N1409">
        <f t="shared" si="90"/>
        <v>9</v>
      </c>
      <c r="O1409">
        <f t="shared" si="91"/>
        <v>47</v>
      </c>
      <c r="P1409">
        <f t="shared" si="92"/>
        <v>21</v>
      </c>
    </row>
    <row r="1410" spans="9:16" ht="15" customHeight="1" x14ac:dyDescent="0.25">
      <c r="I1410" s="43" t="s">
        <v>10</v>
      </c>
      <c r="J1410" s="43" t="s">
        <v>24</v>
      </c>
      <c r="K1410" s="43" t="s">
        <v>1560</v>
      </c>
      <c r="L1410" s="43" t="s">
        <v>19</v>
      </c>
      <c r="M1410">
        <f t="shared" si="89"/>
        <v>143</v>
      </c>
      <c r="N1410">
        <f t="shared" si="90"/>
        <v>9</v>
      </c>
      <c r="O1410">
        <f t="shared" si="91"/>
        <v>49</v>
      </c>
      <c r="P1410">
        <f t="shared" si="92"/>
        <v>23</v>
      </c>
    </row>
    <row r="1411" spans="9:16" ht="15" customHeight="1" x14ac:dyDescent="0.25">
      <c r="I1411" s="41" t="s">
        <v>344</v>
      </c>
      <c r="J1411" s="41" t="s">
        <v>24</v>
      </c>
      <c r="K1411" s="41" t="s">
        <v>33</v>
      </c>
      <c r="L1411" s="41" t="s">
        <v>43</v>
      </c>
      <c r="M1411">
        <f t="shared" si="89"/>
        <v>131</v>
      </c>
      <c r="N1411">
        <f t="shared" si="90"/>
        <v>9</v>
      </c>
      <c r="O1411">
        <f t="shared" si="91"/>
        <v>30</v>
      </c>
      <c r="P1411">
        <f t="shared" si="92"/>
        <v>25</v>
      </c>
    </row>
    <row r="1412" spans="9:16" ht="15" customHeight="1" x14ac:dyDescent="0.25">
      <c r="I1412" s="43" t="s">
        <v>338</v>
      </c>
      <c r="J1412" s="43" t="s">
        <v>11</v>
      </c>
      <c r="K1412" s="43" t="s">
        <v>13</v>
      </c>
      <c r="L1412" s="43" t="s">
        <v>339</v>
      </c>
      <c r="M1412">
        <f t="shared" si="89"/>
        <v>135</v>
      </c>
      <c r="N1412">
        <f t="shared" si="90"/>
        <v>32</v>
      </c>
      <c r="O1412">
        <f t="shared" si="91"/>
        <v>21</v>
      </c>
      <c r="P1412">
        <f t="shared" si="92"/>
        <v>0</v>
      </c>
    </row>
    <row r="1413" spans="9:16" ht="15" customHeight="1" x14ac:dyDescent="0.25">
      <c r="I1413" s="41" t="s">
        <v>23</v>
      </c>
      <c r="J1413" s="41" t="s">
        <v>11</v>
      </c>
      <c r="K1413" s="41" t="s">
        <v>19</v>
      </c>
      <c r="L1413" s="41" t="s">
        <v>345</v>
      </c>
      <c r="M1413">
        <f t="shared" si="89"/>
        <v>136</v>
      </c>
      <c r="N1413">
        <f t="shared" si="90"/>
        <v>32</v>
      </c>
      <c r="O1413">
        <f t="shared" si="91"/>
        <v>23</v>
      </c>
      <c r="P1413">
        <f t="shared" si="92"/>
        <v>2</v>
      </c>
    </row>
    <row r="1414" spans="9:16" ht="15" customHeight="1" x14ac:dyDescent="0.25">
      <c r="I1414" s="43" t="s">
        <v>17</v>
      </c>
      <c r="J1414" s="43" t="s">
        <v>11</v>
      </c>
      <c r="K1414" s="43" t="s">
        <v>43</v>
      </c>
      <c r="L1414" s="43" t="s">
        <v>33</v>
      </c>
      <c r="M1414">
        <f t="shared" si="89"/>
        <v>141</v>
      </c>
      <c r="N1414">
        <f t="shared" si="90"/>
        <v>32</v>
      </c>
      <c r="O1414">
        <f t="shared" si="91"/>
        <v>25</v>
      </c>
      <c r="P1414">
        <f t="shared" si="92"/>
        <v>30</v>
      </c>
    </row>
    <row r="1415" spans="9:16" ht="15" customHeight="1" x14ac:dyDescent="0.25">
      <c r="I1415" s="41" t="s">
        <v>10</v>
      </c>
      <c r="J1415" s="41" t="s">
        <v>11</v>
      </c>
      <c r="K1415" s="41" t="s">
        <v>339</v>
      </c>
      <c r="L1415" s="41" t="s">
        <v>13</v>
      </c>
      <c r="M1415">
        <f t="shared" si="89"/>
        <v>143</v>
      </c>
      <c r="N1415">
        <f t="shared" si="90"/>
        <v>32</v>
      </c>
      <c r="O1415">
        <f t="shared" si="91"/>
        <v>0</v>
      </c>
      <c r="P1415">
        <f t="shared" si="92"/>
        <v>21</v>
      </c>
    </row>
    <row r="1416" spans="9:16" ht="15" customHeight="1" x14ac:dyDescent="0.25">
      <c r="I1416" s="43" t="s">
        <v>337</v>
      </c>
      <c r="J1416" s="43" t="s">
        <v>11</v>
      </c>
      <c r="K1416" s="43" t="s">
        <v>345</v>
      </c>
      <c r="L1416" s="43" t="s">
        <v>19</v>
      </c>
      <c r="M1416">
        <f t="shared" si="89"/>
        <v>137</v>
      </c>
      <c r="N1416">
        <f t="shared" si="90"/>
        <v>32</v>
      </c>
      <c r="O1416">
        <f t="shared" si="91"/>
        <v>2</v>
      </c>
      <c r="P1416">
        <f t="shared" si="92"/>
        <v>23</v>
      </c>
    </row>
    <row r="1417" spans="9:16" ht="15" customHeight="1" x14ac:dyDescent="0.25">
      <c r="I1417" s="41" t="s">
        <v>338</v>
      </c>
      <c r="J1417" s="41" t="s">
        <v>11</v>
      </c>
      <c r="K1417" s="41" t="s">
        <v>33</v>
      </c>
      <c r="L1417" s="41" t="s">
        <v>43</v>
      </c>
      <c r="M1417">
        <f t="shared" si="89"/>
        <v>135</v>
      </c>
      <c r="N1417">
        <f t="shared" si="90"/>
        <v>32</v>
      </c>
      <c r="O1417">
        <f t="shared" si="91"/>
        <v>30</v>
      </c>
      <c r="P1417">
        <f t="shared" si="92"/>
        <v>25</v>
      </c>
    </row>
    <row r="1418" spans="9:16" ht="15" customHeight="1" x14ac:dyDescent="0.25">
      <c r="I1418" s="43" t="s">
        <v>338</v>
      </c>
      <c r="J1418" s="43" t="s">
        <v>24</v>
      </c>
      <c r="K1418" s="43" t="s">
        <v>13</v>
      </c>
      <c r="L1418" s="43" t="s">
        <v>339</v>
      </c>
      <c r="M1418">
        <f t="shared" si="89"/>
        <v>135</v>
      </c>
      <c r="N1418">
        <f t="shared" si="90"/>
        <v>9</v>
      </c>
      <c r="O1418">
        <f t="shared" si="91"/>
        <v>21</v>
      </c>
      <c r="P1418">
        <f t="shared" si="92"/>
        <v>0</v>
      </c>
    </row>
    <row r="1419" spans="9:16" ht="15" customHeight="1" x14ac:dyDescent="0.25">
      <c r="I1419" s="41" t="s">
        <v>335</v>
      </c>
      <c r="J1419" s="41" t="s">
        <v>11</v>
      </c>
      <c r="K1419" s="41" t="s">
        <v>19</v>
      </c>
      <c r="L1419" s="41" t="s">
        <v>345</v>
      </c>
      <c r="M1419">
        <f t="shared" si="89"/>
        <v>139</v>
      </c>
      <c r="N1419">
        <f t="shared" si="90"/>
        <v>32</v>
      </c>
      <c r="O1419">
        <f t="shared" si="91"/>
        <v>23</v>
      </c>
      <c r="P1419">
        <f t="shared" si="92"/>
        <v>2</v>
      </c>
    </row>
    <row r="1420" spans="9:16" ht="15" customHeight="1" x14ac:dyDescent="0.25">
      <c r="I1420" s="43" t="s">
        <v>335</v>
      </c>
      <c r="J1420" s="43" t="s">
        <v>24</v>
      </c>
      <c r="K1420" s="43" t="s">
        <v>43</v>
      </c>
      <c r="L1420" s="43" t="s">
        <v>33</v>
      </c>
      <c r="M1420">
        <f t="shared" si="89"/>
        <v>139</v>
      </c>
      <c r="N1420">
        <f t="shared" si="90"/>
        <v>9</v>
      </c>
      <c r="O1420">
        <f t="shared" si="91"/>
        <v>25</v>
      </c>
      <c r="P1420">
        <f t="shared" si="92"/>
        <v>30</v>
      </c>
    </row>
    <row r="1421" spans="9:16" ht="15" customHeight="1" x14ac:dyDescent="0.25">
      <c r="I1421" s="41" t="s">
        <v>342</v>
      </c>
      <c r="J1421" s="41" t="s">
        <v>24</v>
      </c>
      <c r="K1421" s="41" t="s">
        <v>339</v>
      </c>
      <c r="L1421" s="41" t="s">
        <v>13</v>
      </c>
      <c r="M1421">
        <f t="shared" si="89"/>
        <v>134</v>
      </c>
      <c r="N1421">
        <f t="shared" si="90"/>
        <v>9</v>
      </c>
      <c r="O1421">
        <f t="shared" si="91"/>
        <v>0</v>
      </c>
      <c r="P1421">
        <f t="shared" si="92"/>
        <v>21</v>
      </c>
    </row>
    <row r="1422" spans="9:16" ht="15" customHeight="1" x14ac:dyDescent="0.25">
      <c r="I1422" s="43" t="s">
        <v>342</v>
      </c>
      <c r="J1422" s="43" t="s">
        <v>11</v>
      </c>
      <c r="K1422" s="43" t="s">
        <v>345</v>
      </c>
      <c r="L1422" s="43" t="s">
        <v>19</v>
      </c>
      <c r="M1422">
        <f t="shared" si="89"/>
        <v>134</v>
      </c>
      <c r="N1422">
        <f t="shared" si="90"/>
        <v>32</v>
      </c>
      <c r="O1422">
        <f t="shared" si="91"/>
        <v>2</v>
      </c>
      <c r="P1422">
        <f t="shared" si="92"/>
        <v>23</v>
      </c>
    </row>
    <row r="1423" spans="9:16" ht="15" customHeight="1" x14ac:dyDescent="0.25">
      <c r="I1423" s="41" t="s">
        <v>10</v>
      </c>
      <c r="J1423" s="41" t="s">
        <v>24</v>
      </c>
      <c r="K1423" s="41" t="s">
        <v>33</v>
      </c>
      <c r="L1423" s="41" t="s">
        <v>43</v>
      </c>
      <c r="M1423">
        <f t="shared" si="89"/>
        <v>143</v>
      </c>
      <c r="N1423">
        <f t="shared" si="90"/>
        <v>9</v>
      </c>
      <c r="O1423">
        <f t="shared" si="91"/>
        <v>30</v>
      </c>
      <c r="P1423">
        <f t="shared" si="92"/>
        <v>25</v>
      </c>
    </row>
    <row r="1424" spans="9:16" ht="15" customHeight="1" x14ac:dyDescent="0.25">
      <c r="I1424" s="43" t="s">
        <v>17</v>
      </c>
      <c r="J1424" s="43" t="s">
        <v>24</v>
      </c>
      <c r="K1424" s="43" t="s">
        <v>12</v>
      </c>
      <c r="L1424" s="43" t="s">
        <v>19</v>
      </c>
      <c r="M1424">
        <f t="shared" si="89"/>
        <v>141</v>
      </c>
      <c r="N1424">
        <f t="shared" si="90"/>
        <v>9</v>
      </c>
      <c r="O1424">
        <f t="shared" si="91"/>
        <v>0</v>
      </c>
      <c r="P1424">
        <f t="shared" si="92"/>
        <v>23</v>
      </c>
    </row>
    <row r="1425" spans="9:16" ht="15" customHeight="1" x14ac:dyDescent="0.25">
      <c r="I1425" s="41" t="s">
        <v>10</v>
      </c>
      <c r="J1425" s="41" t="s">
        <v>24</v>
      </c>
      <c r="K1425" s="41" t="s">
        <v>12</v>
      </c>
      <c r="L1425" s="41" t="s">
        <v>43</v>
      </c>
      <c r="M1425">
        <f t="shared" si="89"/>
        <v>143</v>
      </c>
      <c r="N1425">
        <f t="shared" si="90"/>
        <v>9</v>
      </c>
      <c r="O1425">
        <f t="shared" si="91"/>
        <v>0</v>
      </c>
      <c r="P1425">
        <f t="shared" si="92"/>
        <v>25</v>
      </c>
    </row>
    <row r="1426" spans="9:16" ht="15" customHeight="1" x14ac:dyDescent="0.25">
      <c r="I1426" s="43" t="s">
        <v>344</v>
      </c>
      <c r="J1426" s="43" t="s">
        <v>11</v>
      </c>
      <c r="K1426" s="43" t="s">
        <v>1552</v>
      </c>
      <c r="L1426" s="43" t="s">
        <v>339</v>
      </c>
      <c r="M1426">
        <f t="shared" si="89"/>
        <v>131</v>
      </c>
      <c r="N1426">
        <f t="shared" si="90"/>
        <v>32</v>
      </c>
      <c r="O1426">
        <f t="shared" si="91"/>
        <v>37</v>
      </c>
      <c r="P1426">
        <f t="shared" si="92"/>
        <v>0</v>
      </c>
    </row>
    <row r="1427" spans="9:16" ht="15" customHeight="1" x14ac:dyDescent="0.25">
      <c r="I1427" s="41" t="s">
        <v>344</v>
      </c>
      <c r="J1427" s="41" t="s">
        <v>11</v>
      </c>
      <c r="K1427" s="41" t="s">
        <v>1555</v>
      </c>
      <c r="L1427" s="41" t="s">
        <v>345</v>
      </c>
      <c r="M1427">
        <f t="shared" si="89"/>
        <v>131</v>
      </c>
      <c r="N1427">
        <f t="shared" si="90"/>
        <v>32</v>
      </c>
      <c r="O1427">
        <f t="shared" si="91"/>
        <v>41</v>
      </c>
      <c r="P1427">
        <f t="shared" si="92"/>
        <v>2</v>
      </c>
    </row>
    <row r="1428" spans="9:16" ht="15" customHeight="1" x14ac:dyDescent="0.25">
      <c r="I1428" s="43" t="s">
        <v>10</v>
      </c>
      <c r="J1428" s="43" t="s">
        <v>24</v>
      </c>
      <c r="K1428" s="43" t="s">
        <v>1557</v>
      </c>
      <c r="L1428" s="43" t="s">
        <v>33</v>
      </c>
      <c r="M1428">
        <f t="shared" si="89"/>
        <v>143</v>
      </c>
      <c r="N1428">
        <f t="shared" si="90"/>
        <v>9</v>
      </c>
      <c r="O1428">
        <f t="shared" si="91"/>
        <v>47</v>
      </c>
      <c r="P1428">
        <f t="shared" si="92"/>
        <v>30</v>
      </c>
    </row>
    <row r="1429" spans="9:16" ht="15" customHeight="1" x14ac:dyDescent="0.25">
      <c r="I1429" s="41" t="s">
        <v>17</v>
      </c>
      <c r="J1429" s="41" t="s">
        <v>24</v>
      </c>
      <c r="K1429" s="41" t="s">
        <v>1560</v>
      </c>
      <c r="L1429" s="41" t="s">
        <v>13</v>
      </c>
      <c r="M1429">
        <f t="shared" si="89"/>
        <v>141</v>
      </c>
      <c r="N1429">
        <f t="shared" si="90"/>
        <v>9</v>
      </c>
      <c r="O1429">
        <f t="shared" si="91"/>
        <v>49</v>
      </c>
      <c r="P1429">
        <f t="shared" si="92"/>
        <v>21</v>
      </c>
    </row>
    <row r="1430" spans="9:16" ht="15" customHeight="1" x14ac:dyDescent="0.25">
      <c r="I1430" s="43" t="s">
        <v>23</v>
      </c>
      <c r="J1430" s="43" t="s">
        <v>11</v>
      </c>
      <c r="K1430" s="43" t="s">
        <v>1553</v>
      </c>
      <c r="L1430" s="43" t="s">
        <v>19</v>
      </c>
      <c r="M1430">
        <f t="shared" si="89"/>
        <v>136</v>
      </c>
      <c r="N1430">
        <f t="shared" si="90"/>
        <v>32</v>
      </c>
      <c r="O1430">
        <f t="shared" si="91"/>
        <v>39</v>
      </c>
      <c r="P1430">
        <f t="shared" si="92"/>
        <v>23</v>
      </c>
    </row>
    <row r="1431" spans="9:16" ht="15" customHeight="1" x14ac:dyDescent="0.25">
      <c r="I1431" s="41" t="s">
        <v>337</v>
      </c>
      <c r="J1431" s="41" t="s">
        <v>11</v>
      </c>
      <c r="K1431" s="41" t="s">
        <v>1561</v>
      </c>
      <c r="L1431" s="41" t="s">
        <v>33</v>
      </c>
      <c r="M1431">
        <f t="shared" si="89"/>
        <v>137</v>
      </c>
      <c r="N1431">
        <f t="shared" si="90"/>
        <v>32</v>
      </c>
      <c r="O1431">
        <f t="shared" si="91"/>
        <v>51</v>
      </c>
      <c r="P1431">
        <f t="shared" si="92"/>
        <v>30</v>
      </c>
    </row>
    <row r="1432" spans="9:16" ht="15" customHeight="1" x14ac:dyDescent="0.25">
      <c r="I1432" s="43" t="s">
        <v>338</v>
      </c>
      <c r="J1432" s="43" t="s">
        <v>11</v>
      </c>
      <c r="K1432" s="43" t="s">
        <v>1560</v>
      </c>
      <c r="L1432" s="43" t="s">
        <v>13</v>
      </c>
      <c r="M1432">
        <f t="shared" si="89"/>
        <v>135</v>
      </c>
      <c r="N1432">
        <f t="shared" si="90"/>
        <v>32</v>
      </c>
      <c r="O1432">
        <f t="shared" si="91"/>
        <v>49</v>
      </c>
      <c r="P1432">
        <f t="shared" si="92"/>
        <v>21</v>
      </c>
    </row>
    <row r="1433" spans="9:16" ht="15" customHeight="1" x14ac:dyDescent="0.25">
      <c r="I1433" s="41" t="s">
        <v>335</v>
      </c>
      <c r="J1433" s="41" t="s">
        <v>24</v>
      </c>
      <c r="K1433" s="41" t="s">
        <v>1558</v>
      </c>
      <c r="L1433" s="41" t="s">
        <v>19</v>
      </c>
      <c r="M1433">
        <f t="shared" si="89"/>
        <v>139</v>
      </c>
      <c r="N1433">
        <f t="shared" si="90"/>
        <v>9</v>
      </c>
      <c r="O1433">
        <f t="shared" si="91"/>
        <v>48</v>
      </c>
      <c r="P1433">
        <f t="shared" si="92"/>
        <v>23</v>
      </c>
    </row>
    <row r="1434" spans="9:16" ht="15" customHeight="1" x14ac:dyDescent="0.25">
      <c r="I1434" s="43" t="s">
        <v>343</v>
      </c>
      <c r="J1434" s="43" t="s">
        <v>24</v>
      </c>
      <c r="K1434" s="43" t="s">
        <v>1557</v>
      </c>
      <c r="L1434" s="43" t="s">
        <v>43</v>
      </c>
      <c r="M1434">
        <f t="shared" si="89"/>
        <v>132</v>
      </c>
      <c r="N1434">
        <f t="shared" si="90"/>
        <v>9</v>
      </c>
      <c r="O1434">
        <f t="shared" si="91"/>
        <v>47</v>
      </c>
      <c r="P1434">
        <f t="shared" si="92"/>
        <v>25</v>
      </c>
    </row>
    <row r="1435" spans="9:16" ht="15" customHeight="1" x14ac:dyDescent="0.25">
      <c r="I1435" s="41" t="s">
        <v>340</v>
      </c>
      <c r="J1435" s="41" t="s">
        <v>24</v>
      </c>
      <c r="K1435" s="41" t="s">
        <v>1559</v>
      </c>
      <c r="L1435" s="41" t="s">
        <v>339</v>
      </c>
      <c r="M1435">
        <f t="shared" si="89"/>
        <v>129</v>
      </c>
      <c r="N1435">
        <f t="shared" si="90"/>
        <v>9</v>
      </c>
      <c r="O1435">
        <f t="shared" si="91"/>
        <v>43</v>
      </c>
      <c r="P1435">
        <f t="shared" si="92"/>
        <v>0</v>
      </c>
    </row>
    <row r="1436" spans="9:16" ht="15" customHeight="1" x14ac:dyDescent="0.25">
      <c r="I1436" s="43" t="s">
        <v>342</v>
      </c>
      <c r="J1436" s="43" t="s">
        <v>11</v>
      </c>
      <c r="K1436" s="43" t="s">
        <v>1556</v>
      </c>
      <c r="L1436" s="43" t="s">
        <v>345</v>
      </c>
      <c r="M1436">
        <f t="shared" si="89"/>
        <v>134</v>
      </c>
      <c r="N1436">
        <f t="shared" si="90"/>
        <v>32</v>
      </c>
      <c r="O1436">
        <f t="shared" si="91"/>
        <v>42</v>
      </c>
      <c r="P1436">
        <f t="shared" si="92"/>
        <v>2</v>
      </c>
    </row>
    <row r="1437" spans="9:16" ht="15" customHeight="1" x14ac:dyDescent="0.25">
      <c r="I1437" s="41" t="s">
        <v>23</v>
      </c>
      <c r="J1437" s="41" t="s">
        <v>24</v>
      </c>
      <c r="K1437" s="41" t="s">
        <v>1555</v>
      </c>
      <c r="L1437" s="41" t="s">
        <v>33</v>
      </c>
      <c r="M1437">
        <f t="shared" si="89"/>
        <v>136</v>
      </c>
      <c r="N1437">
        <f t="shared" si="90"/>
        <v>9</v>
      </c>
      <c r="O1437">
        <f t="shared" si="91"/>
        <v>41</v>
      </c>
      <c r="P1437">
        <f t="shared" si="92"/>
        <v>30</v>
      </c>
    </row>
    <row r="1438" spans="9:16" ht="15" customHeight="1" x14ac:dyDescent="0.25">
      <c r="I1438" s="43" t="s">
        <v>17</v>
      </c>
      <c r="J1438" s="43" t="s">
        <v>11</v>
      </c>
      <c r="K1438" s="43" t="s">
        <v>1554</v>
      </c>
      <c r="L1438" s="43" t="s">
        <v>13</v>
      </c>
      <c r="M1438">
        <f t="shared" si="89"/>
        <v>141</v>
      </c>
      <c r="N1438">
        <f t="shared" si="90"/>
        <v>32</v>
      </c>
      <c r="O1438">
        <f t="shared" si="91"/>
        <v>38</v>
      </c>
      <c r="P1438">
        <f t="shared" si="92"/>
        <v>21</v>
      </c>
    </row>
    <row r="1439" spans="9:16" ht="15" customHeight="1" x14ac:dyDescent="0.25">
      <c r="I1439" s="41" t="s">
        <v>10</v>
      </c>
      <c r="J1439" s="41" t="s">
        <v>11</v>
      </c>
      <c r="K1439" s="41" t="s">
        <v>1553</v>
      </c>
      <c r="L1439" s="41" t="s">
        <v>19</v>
      </c>
      <c r="M1439">
        <f t="shared" si="89"/>
        <v>143</v>
      </c>
      <c r="N1439">
        <f t="shared" si="90"/>
        <v>32</v>
      </c>
      <c r="O1439">
        <f t="shared" si="91"/>
        <v>39</v>
      </c>
      <c r="P1439">
        <f t="shared" si="92"/>
        <v>23</v>
      </c>
    </row>
    <row r="1440" spans="9:16" ht="15" customHeight="1" x14ac:dyDescent="0.25">
      <c r="I1440" s="43" t="s">
        <v>344</v>
      </c>
      <c r="J1440" s="43" t="s">
        <v>11</v>
      </c>
      <c r="K1440" s="43" t="s">
        <v>1552</v>
      </c>
      <c r="L1440" s="43" t="s">
        <v>43</v>
      </c>
      <c r="M1440">
        <f t="shared" si="89"/>
        <v>131</v>
      </c>
      <c r="N1440">
        <f t="shared" si="90"/>
        <v>32</v>
      </c>
      <c r="O1440">
        <f t="shared" si="91"/>
        <v>37</v>
      </c>
      <c r="P1440">
        <f t="shared" si="92"/>
        <v>25</v>
      </c>
    </row>
    <row r="1441" spans="9:16" ht="15" customHeight="1" x14ac:dyDescent="0.25">
      <c r="I1441" s="41" t="s">
        <v>344</v>
      </c>
      <c r="J1441" s="41" t="s">
        <v>24</v>
      </c>
      <c r="K1441" s="41" t="s">
        <v>12</v>
      </c>
      <c r="L1441" s="41" t="s">
        <v>339</v>
      </c>
      <c r="M1441">
        <f t="shared" si="89"/>
        <v>131</v>
      </c>
      <c r="N1441">
        <f t="shared" si="90"/>
        <v>9</v>
      </c>
      <c r="O1441">
        <f t="shared" si="91"/>
        <v>0</v>
      </c>
      <c r="P1441">
        <f t="shared" si="92"/>
        <v>0</v>
      </c>
    </row>
    <row r="1442" spans="9:16" ht="15" customHeight="1" x14ac:dyDescent="0.25">
      <c r="I1442" s="43" t="s">
        <v>10</v>
      </c>
      <c r="J1442" s="43" t="s">
        <v>24</v>
      </c>
      <c r="K1442" s="43" t="s">
        <v>12</v>
      </c>
      <c r="L1442" s="43" t="s">
        <v>345</v>
      </c>
      <c r="M1442">
        <f t="shared" si="89"/>
        <v>143</v>
      </c>
      <c r="N1442">
        <f t="shared" si="90"/>
        <v>9</v>
      </c>
      <c r="O1442">
        <f t="shared" si="91"/>
        <v>0</v>
      </c>
      <c r="P1442">
        <f t="shared" si="92"/>
        <v>2</v>
      </c>
    </row>
    <row r="1443" spans="9:16" ht="15" customHeight="1" x14ac:dyDescent="0.25">
      <c r="I1443" s="41" t="s">
        <v>17</v>
      </c>
      <c r="J1443" s="41" t="s">
        <v>24</v>
      </c>
      <c r="K1443" s="41" t="s">
        <v>1552</v>
      </c>
      <c r="L1443" s="41" t="s">
        <v>33</v>
      </c>
      <c r="M1443">
        <f t="shared" si="89"/>
        <v>141</v>
      </c>
      <c r="N1443">
        <f t="shared" si="90"/>
        <v>9</v>
      </c>
      <c r="O1443">
        <f t="shared" si="91"/>
        <v>37</v>
      </c>
      <c r="P1443">
        <f t="shared" si="92"/>
        <v>30</v>
      </c>
    </row>
    <row r="1444" spans="9:16" ht="15" customHeight="1" x14ac:dyDescent="0.25">
      <c r="I1444" s="43" t="s">
        <v>23</v>
      </c>
      <c r="J1444" s="43" t="s">
        <v>24</v>
      </c>
      <c r="K1444" s="43" t="s">
        <v>1555</v>
      </c>
      <c r="L1444" s="43" t="s">
        <v>13</v>
      </c>
      <c r="M1444">
        <f t="shared" si="89"/>
        <v>136</v>
      </c>
      <c r="N1444">
        <f t="shared" si="90"/>
        <v>9</v>
      </c>
      <c r="O1444">
        <f t="shared" si="91"/>
        <v>41</v>
      </c>
      <c r="P1444">
        <f t="shared" si="92"/>
        <v>21</v>
      </c>
    </row>
    <row r="1445" spans="9:16" ht="15" customHeight="1" x14ac:dyDescent="0.25">
      <c r="I1445" s="41" t="s">
        <v>342</v>
      </c>
      <c r="J1445" s="41" t="s">
        <v>24</v>
      </c>
      <c r="K1445" s="41" t="s">
        <v>1557</v>
      </c>
      <c r="L1445" s="41" t="s">
        <v>19</v>
      </c>
      <c r="M1445">
        <f t="shared" si="89"/>
        <v>134</v>
      </c>
      <c r="N1445">
        <f t="shared" si="90"/>
        <v>9</v>
      </c>
      <c r="O1445">
        <f t="shared" si="91"/>
        <v>47</v>
      </c>
      <c r="P1445">
        <f t="shared" si="92"/>
        <v>23</v>
      </c>
    </row>
    <row r="1446" spans="9:16" ht="15" customHeight="1" x14ac:dyDescent="0.25">
      <c r="I1446" s="43" t="s">
        <v>340</v>
      </c>
      <c r="J1446" s="43" t="s">
        <v>24</v>
      </c>
      <c r="K1446" s="43" t="s">
        <v>1560</v>
      </c>
      <c r="L1446" s="43" t="s">
        <v>43</v>
      </c>
      <c r="M1446">
        <f t="shared" si="89"/>
        <v>129</v>
      </c>
      <c r="N1446">
        <f t="shared" si="90"/>
        <v>9</v>
      </c>
      <c r="O1446">
        <f t="shared" si="91"/>
        <v>49</v>
      </c>
      <c r="P1446">
        <f t="shared" si="92"/>
        <v>25</v>
      </c>
    </row>
    <row r="1447" spans="9:16" ht="15" customHeight="1" x14ac:dyDescent="0.25">
      <c r="I1447" s="41" t="s">
        <v>343</v>
      </c>
      <c r="J1447" s="41" t="s">
        <v>11</v>
      </c>
      <c r="K1447" s="41" t="s">
        <v>1553</v>
      </c>
      <c r="L1447" s="41" t="s">
        <v>339</v>
      </c>
      <c r="M1447">
        <f t="shared" si="89"/>
        <v>132</v>
      </c>
      <c r="N1447">
        <f t="shared" si="90"/>
        <v>32</v>
      </c>
      <c r="O1447">
        <f t="shared" si="91"/>
        <v>39</v>
      </c>
      <c r="P1447">
        <f t="shared" si="92"/>
        <v>0</v>
      </c>
    </row>
    <row r="1448" spans="9:16" ht="15" customHeight="1" x14ac:dyDescent="0.25">
      <c r="I1448" s="43" t="s">
        <v>335</v>
      </c>
      <c r="J1448" s="43" t="s">
        <v>11</v>
      </c>
      <c r="K1448" s="43" t="s">
        <v>1556</v>
      </c>
      <c r="L1448" s="43" t="s">
        <v>345</v>
      </c>
      <c r="M1448">
        <f t="shared" si="89"/>
        <v>139</v>
      </c>
      <c r="N1448">
        <f t="shared" si="90"/>
        <v>32</v>
      </c>
      <c r="O1448">
        <f t="shared" si="91"/>
        <v>42</v>
      </c>
      <c r="P1448">
        <f t="shared" si="92"/>
        <v>2</v>
      </c>
    </row>
    <row r="1449" spans="9:16" ht="15" customHeight="1" x14ac:dyDescent="0.25">
      <c r="I1449" s="41" t="s">
        <v>338</v>
      </c>
      <c r="J1449" s="41" t="s">
        <v>24</v>
      </c>
      <c r="K1449" s="41" t="s">
        <v>1558</v>
      </c>
      <c r="L1449" s="41" t="s">
        <v>33</v>
      </c>
      <c r="M1449">
        <f t="shared" si="89"/>
        <v>135</v>
      </c>
      <c r="N1449">
        <f t="shared" si="90"/>
        <v>9</v>
      </c>
      <c r="O1449">
        <f t="shared" si="91"/>
        <v>48</v>
      </c>
      <c r="P1449">
        <f t="shared" si="92"/>
        <v>30</v>
      </c>
    </row>
    <row r="1450" spans="9:16" ht="15" customHeight="1" x14ac:dyDescent="0.25">
      <c r="I1450" s="43" t="s">
        <v>337</v>
      </c>
      <c r="J1450" s="43" t="s">
        <v>24</v>
      </c>
      <c r="K1450" s="43" t="s">
        <v>1561</v>
      </c>
      <c r="L1450" s="43" t="s">
        <v>13</v>
      </c>
      <c r="M1450">
        <f t="shared" si="89"/>
        <v>137</v>
      </c>
      <c r="N1450">
        <f t="shared" si="90"/>
        <v>9</v>
      </c>
      <c r="O1450">
        <f t="shared" si="91"/>
        <v>51</v>
      </c>
      <c r="P1450">
        <f t="shared" si="92"/>
        <v>21</v>
      </c>
    </row>
    <row r="1451" spans="9:16" ht="15" customHeight="1" x14ac:dyDescent="0.25">
      <c r="I1451" s="41" t="s">
        <v>343</v>
      </c>
      <c r="J1451" s="41" t="s">
        <v>11</v>
      </c>
      <c r="K1451" s="41" t="s">
        <v>1554</v>
      </c>
      <c r="L1451" s="41" t="s">
        <v>19</v>
      </c>
      <c r="M1451">
        <f t="shared" si="89"/>
        <v>132</v>
      </c>
      <c r="N1451">
        <f t="shared" si="90"/>
        <v>32</v>
      </c>
      <c r="O1451">
        <f t="shared" si="91"/>
        <v>38</v>
      </c>
      <c r="P1451">
        <f t="shared" si="92"/>
        <v>23</v>
      </c>
    </row>
    <row r="1452" spans="9:16" ht="15" customHeight="1" x14ac:dyDescent="0.25">
      <c r="I1452" s="43" t="s">
        <v>340</v>
      </c>
      <c r="J1452" s="43" t="s">
        <v>11</v>
      </c>
      <c r="K1452" s="43" t="s">
        <v>1559</v>
      </c>
      <c r="L1452" s="43" t="s">
        <v>43</v>
      </c>
      <c r="M1452">
        <f t="shared" si="89"/>
        <v>129</v>
      </c>
      <c r="N1452">
        <f t="shared" si="90"/>
        <v>32</v>
      </c>
      <c r="O1452">
        <f t="shared" si="91"/>
        <v>43</v>
      </c>
      <c r="P1452">
        <f t="shared" si="92"/>
        <v>25</v>
      </c>
    </row>
    <row r="1453" spans="9:16" ht="15" customHeight="1" x14ac:dyDescent="0.25">
      <c r="I1453" s="41" t="s">
        <v>10</v>
      </c>
      <c r="J1453" s="41" t="s">
        <v>11</v>
      </c>
      <c r="K1453" s="41" t="s">
        <v>1554</v>
      </c>
      <c r="L1453" s="41" t="s">
        <v>339</v>
      </c>
      <c r="M1453">
        <f t="shared" si="89"/>
        <v>143</v>
      </c>
      <c r="N1453">
        <f t="shared" si="90"/>
        <v>32</v>
      </c>
      <c r="O1453">
        <f t="shared" si="91"/>
        <v>38</v>
      </c>
      <c r="P1453">
        <f t="shared" si="92"/>
        <v>0</v>
      </c>
    </row>
    <row r="1454" spans="9:16" ht="15" customHeight="1" x14ac:dyDescent="0.25">
      <c r="I1454" s="43" t="s">
        <v>344</v>
      </c>
      <c r="J1454" s="43" t="s">
        <v>24</v>
      </c>
      <c r="K1454" s="43" t="s">
        <v>1559</v>
      </c>
      <c r="L1454" s="43" t="s">
        <v>345</v>
      </c>
      <c r="M1454">
        <f t="shared" si="89"/>
        <v>131</v>
      </c>
      <c r="N1454">
        <f t="shared" si="90"/>
        <v>9</v>
      </c>
      <c r="O1454">
        <f t="shared" si="91"/>
        <v>43</v>
      </c>
      <c r="P1454">
        <f t="shared" si="92"/>
        <v>2</v>
      </c>
    </row>
    <row r="1455" spans="9:16" ht="15" customHeight="1" x14ac:dyDescent="0.25">
      <c r="I1455" s="41" t="s">
        <v>338</v>
      </c>
      <c r="J1455" s="41" t="s">
        <v>11</v>
      </c>
      <c r="K1455" s="41" t="s">
        <v>1553</v>
      </c>
      <c r="L1455" s="41" t="s">
        <v>33</v>
      </c>
      <c r="M1455">
        <f t="shared" si="89"/>
        <v>135</v>
      </c>
      <c r="N1455">
        <f t="shared" si="90"/>
        <v>32</v>
      </c>
      <c r="O1455">
        <f t="shared" si="91"/>
        <v>39</v>
      </c>
      <c r="P1455">
        <f t="shared" si="92"/>
        <v>30</v>
      </c>
    </row>
    <row r="1456" spans="9:16" ht="15" customHeight="1" x14ac:dyDescent="0.25">
      <c r="I1456" s="43" t="s">
        <v>23</v>
      </c>
      <c r="J1456" s="43" t="s">
        <v>11</v>
      </c>
      <c r="K1456" s="43" t="s">
        <v>1556</v>
      </c>
      <c r="L1456" s="43" t="s">
        <v>13</v>
      </c>
      <c r="M1456">
        <f t="shared" si="89"/>
        <v>136</v>
      </c>
      <c r="N1456">
        <f t="shared" si="90"/>
        <v>32</v>
      </c>
      <c r="O1456">
        <f t="shared" si="91"/>
        <v>42</v>
      </c>
      <c r="P1456">
        <f t="shared" si="92"/>
        <v>21</v>
      </c>
    </row>
    <row r="1457" spans="9:16" ht="15" customHeight="1" x14ac:dyDescent="0.25">
      <c r="I1457" s="41" t="s">
        <v>17</v>
      </c>
      <c r="J1457" s="41" t="s">
        <v>24</v>
      </c>
      <c r="K1457" s="41" t="s">
        <v>1558</v>
      </c>
      <c r="L1457" s="41" t="s">
        <v>19</v>
      </c>
      <c r="M1457">
        <f t="shared" si="89"/>
        <v>141</v>
      </c>
      <c r="N1457">
        <f t="shared" si="90"/>
        <v>9</v>
      </c>
      <c r="O1457">
        <f t="shared" si="91"/>
        <v>48</v>
      </c>
      <c r="P1457">
        <f t="shared" si="92"/>
        <v>23</v>
      </c>
    </row>
    <row r="1458" spans="9:16" ht="15" customHeight="1" x14ac:dyDescent="0.25">
      <c r="I1458" s="43" t="s">
        <v>10</v>
      </c>
      <c r="J1458" s="43" t="s">
        <v>11</v>
      </c>
      <c r="K1458" s="43" t="s">
        <v>1561</v>
      </c>
      <c r="L1458" s="43" t="s">
        <v>43</v>
      </c>
      <c r="M1458">
        <f t="shared" si="89"/>
        <v>143</v>
      </c>
      <c r="N1458">
        <f t="shared" si="90"/>
        <v>32</v>
      </c>
      <c r="O1458">
        <f t="shared" si="91"/>
        <v>51</v>
      </c>
      <c r="P1458">
        <f t="shared" si="92"/>
        <v>25</v>
      </c>
    </row>
    <row r="1459" spans="9:16" ht="15" customHeight="1" x14ac:dyDescent="0.25">
      <c r="I1459" s="41" t="s">
        <v>337</v>
      </c>
      <c r="J1459" s="41" t="s">
        <v>24</v>
      </c>
      <c r="K1459" s="41" t="s">
        <v>1552</v>
      </c>
      <c r="L1459" s="41" t="s">
        <v>339</v>
      </c>
      <c r="M1459">
        <f t="shared" si="89"/>
        <v>137</v>
      </c>
      <c r="N1459">
        <f t="shared" si="90"/>
        <v>9</v>
      </c>
      <c r="O1459">
        <f t="shared" si="91"/>
        <v>37</v>
      </c>
      <c r="P1459">
        <f t="shared" si="92"/>
        <v>0</v>
      </c>
    </row>
    <row r="1460" spans="9:16" ht="15" customHeight="1" x14ac:dyDescent="0.25">
      <c r="I1460" s="43" t="s">
        <v>338</v>
      </c>
      <c r="J1460" s="43" t="s">
        <v>11</v>
      </c>
      <c r="K1460" s="43" t="s">
        <v>1555</v>
      </c>
      <c r="L1460" s="43" t="s">
        <v>345</v>
      </c>
      <c r="M1460">
        <f t="shared" si="89"/>
        <v>135</v>
      </c>
      <c r="N1460">
        <f t="shared" si="90"/>
        <v>32</v>
      </c>
      <c r="O1460">
        <f t="shared" si="91"/>
        <v>41</v>
      </c>
      <c r="P1460">
        <f t="shared" si="92"/>
        <v>2</v>
      </c>
    </row>
    <row r="1461" spans="9:16" ht="15" customHeight="1" x14ac:dyDescent="0.25">
      <c r="I1461" s="41" t="s">
        <v>338</v>
      </c>
      <c r="J1461" s="41" t="s">
        <v>24</v>
      </c>
      <c r="K1461" s="41" t="s">
        <v>1557</v>
      </c>
      <c r="L1461" s="41" t="s">
        <v>33</v>
      </c>
      <c r="M1461">
        <f t="shared" si="89"/>
        <v>135</v>
      </c>
      <c r="N1461">
        <f t="shared" si="90"/>
        <v>9</v>
      </c>
      <c r="O1461">
        <f t="shared" si="91"/>
        <v>47</v>
      </c>
      <c r="P1461">
        <f t="shared" si="92"/>
        <v>30</v>
      </c>
    </row>
    <row r="1462" spans="9:16" ht="15" customHeight="1" x14ac:dyDescent="0.25">
      <c r="I1462" s="43" t="s">
        <v>335</v>
      </c>
      <c r="J1462" s="43" t="s">
        <v>11</v>
      </c>
      <c r="K1462" s="43" t="s">
        <v>1560</v>
      </c>
      <c r="L1462" s="43" t="s">
        <v>13</v>
      </c>
      <c r="M1462">
        <f t="shared" si="89"/>
        <v>139</v>
      </c>
      <c r="N1462">
        <f t="shared" si="90"/>
        <v>32</v>
      </c>
      <c r="O1462">
        <f t="shared" si="91"/>
        <v>49</v>
      </c>
      <c r="P1462">
        <f t="shared" si="92"/>
        <v>21</v>
      </c>
    </row>
    <row r="1463" spans="9:16" ht="15" customHeight="1" x14ac:dyDescent="0.25">
      <c r="I1463" s="41" t="s">
        <v>335</v>
      </c>
      <c r="J1463" s="41" t="s">
        <v>24</v>
      </c>
      <c r="K1463" s="41" t="s">
        <v>12</v>
      </c>
      <c r="L1463" s="41" t="s">
        <v>19</v>
      </c>
      <c r="M1463">
        <f t="shared" si="89"/>
        <v>139</v>
      </c>
      <c r="N1463">
        <f t="shared" si="90"/>
        <v>9</v>
      </c>
      <c r="O1463">
        <f t="shared" si="91"/>
        <v>0</v>
      </c>
      <c r="P1463">
        <f t="shared" si="92"/>
        <v>23</v>
      </c>
    </row>
    <row r="1464" spans="9:16" ht="15" customHeight="1" x14ac:dyDescent="0.25">
      <c r="I1464" s="43" t="s">
        <v>342</v>
      </c>
      <c r="J1464" s="43" t="s">
        <v>24</v>
      </c>
      <c r="K1464" s="43" t="s">
        <v>12</v>
      </c>
      <c r="L1464" s="43" t="s">
        <v>43</v>
      </c>
      <c r="M1464">
        <f t="shared" ref="M1464:M1523" si="93">_xlfn.XLOOKUP(I1464,$C$9:$C$37,$D$9:$D$37,2,0)</f>
        <v>134</v>
      </c>
      <c r="N1464">
        <f t="shared" ref="N1464:N1523" si="94">_xlfn.XLOOKUP(J1464,$C$9:$C$37,$D$9:$D$37,2,0)</f>
        <v>9</v>
      </c>
      <c r="O1464">
        <f t="shared" ref="O1464:O1523" si="95">_xlfn.XLOOKUP(K1464,$C$9:$C$37,$D$9:$D$37,2,0)</f>
        <v>0</v>
      </c>
      <c r="P1464">
        <f t="shared" ref="P1464:P1523" si="96">_xlfn.XLOOKUP(L1464,$C$9:$C$37,$D$9:$D$37,2,0)</f>
        <v>25</v>
      </c>
    </row>
    <row r="1465" spans="9:16" ht="15" customHeight="1" x14ac:dyDescent="0.25">
      <c r="I1465" s="41" t="s">
        <v>342</v>
      </c>
      <c r="J1465" s="41" t="s">
        <v>24</v>
      </c>
      <c r="K1465" s="41" t="s">
        <v>1552</v>
      </c>
      <c r="L1465" s="41" t="s">
        <v>339</v>
      </c>
      <c r="M1465">
        <f t="shared" si="93"/>
        <v>134</v>
      </c>
      <c r="N1465">
        <f t="shared" si="94"/>
        <v>9</v>
      </c>
      <c r="O1465">
        <f t="shared" si="95"/>
        <v>37</v>
      </c>
      <c r="P1465">
        <f t="shared" si="96"/>
        <v>0</v>
      </c>
    </row>
    <row r="1466" spans="9:16" ht="15" customHeight="1" x14ac:dyDescent="0.25">
      <c r="I1466" s="43" t="s">
        <v>10</v>
      </c>
      <c r="J1466" s="43" t="s">
        <v>11</v>
      </c>
      <c r="K1466" s="43" t="s">
        <v>1553</v>
      </c>
      <c r="L1466" s="43" t="s">
        <v>345</v>
      </c>
      <c r="M1466">
        <f t="shared" si="93"/>
        <v>143</v>
      </c>
      <c r="N1466">
        <f t="shared" si="94"/>
        <v>32</v>
      </c>
      <c r="O1466">
        <f t="shared" si="95"/>
        <v>39</v>
      </c>
      <c r="P1466">
        <f t="shared" si="96"/>
        <v>2</v>
      </c>
    </row>
    <row r="1467" spans="9:16" ht="15" customHeight="1" x14ac:dyDescent="0.25">
      <c r="I1467" s="41" t="s">
        <v>17</v>
      </c>
      <c r="J1467" s="41" t="s">
        <v>24</v>
      </c>
      <c r="K1467" s="41" t="s">
        <v>1554</v>
      </c>
      <c r="L1467" s="41" t="s">
        <v>33</v>
      </c>
      <c r="M1467">
        <f t="shared" si="93"/>
        <v>141</v>
      </c>
      <c r="N1467">
        <f t="shared" si="94"/>
        <v>9</v>
      </c>
      <c r="O1467">
        <f t="shared" si="95"/>
        <v>38</v>
      </c>
      <c r="P1467">
        <f t="shared" si="96"/>
        <v>30</v>
      </c>
    </row>
    <row r="1468" spans="9:16" ht="15" customHeight="1" x14ac:dyDescent="0.25">
      <c r="I1468" s="43" t="s">
        <v>10</v>
      </c>
      <c r="J1468" s="43" t="s">
        <v>11</v>
      </c>
      <c r="K1468" s="43" t="s">
        <v>1555</v>
      </c>
      <c r="L1468" s="43" t="s">
        <v>13</v>
      </c>
      <c r="M1468">
        <f t="shared" si="93"/>
        <v>143</v>
      </c>
      <c r="N1468">
        <f t="shared" si="94"/>
        <v>32</v>
      </c>
      <c r="O1468">
        <f t="shared" si="95"/>
        <v>41</v>
      </c>
      <c r="P1468">
        <f t="shared" si="96"/>
        <v>21</v>
      </c>
    </row>
    <row r="1469" spans="9:16" ht="15" customHeight="1" x14ac:dyDescent="0.25">
      <c r="I1469" s="41" t="s">
        <v>23</v>
      </c>
      <c r="J1469" s="41" t="s">
        <v>24</v>
      </c>
      <c r="K1469" s="41" t="s">
        <v>1556</v>
      </c>
      <c r="L1469" s="41" t="s">
        <v>19</v>
      </c>
      <c r="M1469">
        <f t="shared" si="93"/>
        <v>136</v>
      </c>
      <c r="N1469">
        <f t="shared" si="94"/>
        <v>9</v>
      </c>
      <c r="O1469">
        <f t="shared" si="95"/>
        <v>42</v>
      </c>
      <c r="P1469">
        <f t="shared" si="96"/>
        <v>23</v>
      </c>
    </row>
    <row r="1470" spans="9:16" ht="15" customHeight="1" x14ac:dyDescent="0.25">
      <c r="I1470" s="43" t="s">
        <v>17</v>
      </c>
      <c r="J1470" s="43" t="s">
        <v>11</v>
      </c>
      <c r="K1470" s="43" t="s">
        <v>1559</v>
      </c>
      <c r="L1470" s="43" t="s">
        <v>43</v>
      </c>
      <c r="M1470">
        <f t="shared" si="93"/>
        <v>141</v>
      </c>
      <c r="N1470">
        <f t="shared" si="94"/>
        <v>32</v>
      </c>
      <c r="O1470">
        <f t="shared" si="95"/>
        <v>43</v>
      </c>
      <c r="P1470">
        <f t="shared" si="96"/>
        <v>25</v>
      </c>
    </row>
    <row r="1471" spans="9:16" ht="15" customHeight="1" x14ac:dyDescent="0.25">
      <c r="I1471" s="41" t="s">
        <v>337</v>
      </c>
      <c r="J1471" s="41" t="s">
        <v>24</v>
      </c>
      <c r="K1471" s="41" t="s">
        <v>1557</v>
      </c>
      <c r="L1471" s="41" t="s">
        <v>339</v>
      </c>
      <c r="M1471">
        <f t="shared" si="93"/>
        <v>137</v>
      </c>
      <c r="N1471">
        <f t="shared" si="94"/>
        <v>9</v>
      </c>
      <c r="O1471">
        <f t="shared" si="95"/>
        <v>47</v>
      </c>
      <c r="P1471">
        <f t="shared" si="96"/>
        <v>0</v>
      </c>
    </row>
    <row r="1472" spans="9:16" ht="15" customHeight="1" x14ac:dyDescent="0.25">
      <c r="I1472" s="43" t="s">
        <v>338</v>
      </c>
      <c r="J1472" s="43" t="s">
        <v>11</v>
      </c>
      <c r="K1472" s="43" t="s">
        <v>1558</v>
      </c>
      <c r="L1472" s="43" t="s">
        <v>345</v>
      </c>
      <c r="M1472">
        <f t="shared" si="93"/>
        <v>135</v>
      </c>
      <c r="N1472">
        <f t="shared" si="94"/>
        <v>32</v>
      </c>
      <c r="O1472">
        <f t="shared" si="95"/>
        <v>48</v>
      </c>
      <c r="P1472">
        <f t="shared" si="96"/>
        <v>2</v>
      </c>
    </row>
    <row r="1473" spans="9:16" ht="15" customHeight="1" x14ac:dyDescent="0.25">
      <c r="I1473" s="41" t="s">
        <v>335</v>
      </c>
      <c r="J1473" s="41" t="s">
        <v>11</v>
      </c>
      <c r="K1473" s="41" t="s">
        <v>1560</v>
      </c>
      <c r="L1473" s="41" t="s">
        <v>33</v>
      </c>
      <c r="M1473">
        <f t="shared" si="93"/>
        <v>139</v>
      </c>
      <c r="N1473">
        <f t="shared" si="94"/>
        <v>32</v>
      </c>
      <c r="O1473">
        <f t="shared" si="95"/>
        <v>49</v>
      </c>
      <c r="P1473">
        <f t="shared" si="96"/>
        <v>30</v>
      </c>
    </row>
    <row r="1474" spans="9:16" ht="15" customHeight="1" x14ac:dyDescent="0.25">
      <c r="I1474" s="43" t="s">
        <v>342</v>
      </c>
      <c r="J1474" s="43" t="s">
        <v>24</v>
      </c>
      <c r="K1474" s="43" t="s">
        <v>1561</v>
      </c>
      <c r="L1474" s="43" t="s">
        <v>13</v>
      </c>
      <c r="M1474">
        <f t="shared" si="93"/>
        <v>134</v>
      </c>
      <c r="N1474">
        <f t="shared" si="94"/>
        <v>9</v>
      </c>
      <c r="O1474">
        <f t="shared" si="95"/>
        <v>51</v>
      </c>
      <c r="P1474">
        <f t="shared" si="96"/>
        <v>21</v>
      </c>
    </row>
    <row r="1475" spans="9:16" ht="15" customHeight="1" x14ac:dyDescent="0.25">
      <c r="I1475" s="41" t="s">
        <v>23</v>
      </c>
      <c r="J1475" s="41" t="s">
        <v>11</v>
      </c>
      <c r="K1475" s="41" t="s">
        <v>1561</v>
      </c>
      <c r="L1475" s="41" t="s">
        <v>19</v>
      </c>
      <c r="M1475">
        <f t="shared" si="93"/>
        <v>136</v>
      </c>
      <c r="N1475">
        <f t="shared" si="94"/>
        <v>32</v>
      </c>
      <c r="O1475">
        <f t="shared" si="95"/>
        <v>51</v>
      </c>
      <c r="P1475">
        <f t="shared" si="96"/>
        <v>23</v>
      </c>
    </row>
    <row r="1476" spans="9:16" ht="15" customHeight="1" x14ac:dyDescent="0.25">
      <c r="I1476" s="43" t="s">
        <v>17</v>
      </c>
      <c r="J1476" s="43" t="s">
        <v>24</v>
      </c>
      <c r="K1476" s="43" t="s">
        <v>1560</v>
      </c>
      <c r="L1476" s="43" t="s">
        <v>43</v>
      </c>
      <c r="M1476">
        <f t="shared" si="93"/>
        <v>141</v>
      </c>
      <c r="N1476">
        <f t="shared" si="94"/>
        <v>9</v>
      </c>
      <c r="O1476">
        <f t="shared" si="95"/>
        <v>49</v>
      </c>
      <c r="P1476">
        <f t="shared" si="96"/>
        <v>25</v>
      </c>
    </row>
    <row r="1477" spans="9:16" ht="15" customHeight="1" x14ac:dyDescent="0.25">
      <c r="I1477" s="41" t="s">
        <v>10</v>
      </c>
      <c r="J1477" s="41" t="s">
        <v>24</v>
      </c>
      <c r="K1477" s="41" t="s">
        <v>1558</v>
      </c>
      <c r="L1477" s="41" t="s">
        <v>339</v>
      </c>
      <c r="M1477">
        <f t="shared" si="93"/>
        <v>143</v>
      </c>
      <c r="N1477">
        <f t="shared" si="94"/>
        <v>9</v>
      </c>
      <c r="O1477">
        <f t="shared" si="95"/>
        <v>48</v>
      </c>
      <c r="P1477">
        <f t="shared" si="96"/>
        <v>0</v>
      </c>
    </row>
    <row r="1478" spans="9:16" ht="15" customHeight="1" x14ac:dyDescent="0.25">
      <c r="I1478" s="43" t="s">
        <v>343</v>
      </c>
      <c r="J1478" s="43" t="s">
        <v>11</v>
      </c>
      <c r="K1478" s="43" t="s">
        <v>1557</v>
      </c>
      <c r="L1478" s="43" t="s">
        <v>345</v>
      </c>
      <c r="M1478">
        <f t="shared" si="93"/>
        <v>132</v>
      </c>
      <c r="N1478">
        <f t="shared" si="94"/>
        <v>32</v>
      </c>
      <c r="O1478">
        <f t="shared" si="95"/>
        <v>47</v>
      </c>
      <c r="P1478">
        <f t="shared" si="96"/>
        <v>2</v>
      </c>
    </row>
    <row r="1479" spans="9:16" ht="15" customHeight="1" x14ac:dyDescent="0.25">
      <c r="I1479" s="41" t="s">
        <v>340</v>
      </c>
      <c r="J1479" s="41" t="s">
        <v>11</v>
      </c>
      <c r="K1479" s="41" t="s">
        <v>1559</v>
      </c>
      <c r="L1479" s="41" t="s">
        <v>33</v>
      </c>
      <c r="M1479">
        <f t="shared" si="93"/>
        <v>129</v>
      </c>
      <c r="N1479">
        <f t="shared" si="94"/>
        <v>32</v>
      </c>
      <c r="O1479">
        <f t="shared" si="95"/>
        <v>43</v>
      </c>
      <c r="P1479">
        <f t="shared" si="96"/>
        <v>30</v>
      </c>
    </row>
    <row r="1480" spans="9:16" ht="15" customHeight="1" x14ac:dyDescent="0.25">
      <c r="I1480" s="43" t="s">
        <v>344</v>
      </c>
      <c r="J1480" s="43" t="s">
        <v>11</v>
      </c>
      <c r="K1480" s="43" t="s">
        <v>1556</v>
      </c>
      <c r="L1480" s="43" t="s">
        <v>13</v>
      </c>
      <c r="M1480">
        <f t="shared" si="93"/>
        <v>131</v>
      </c>
      <c r="N1480">
        <f t="shared" si="94"/>
        <v>32</v>
      </c>
      <c r="O1480">
        <f t="shared" si="95"/>
        <v>42</v>
      </c>
      <c r="P1480">
        <f t="shared" si="96"/>
        <v>21</v>
      </c>
    </row>
    <row r="1481" spans="9:16" ht="15" customHeight="1" x14ac:dyDescent="0.25">
      <c r="I1481" s="41" t="s">
        <v>335</v>
      </c>
      <c r="J1481" s="41" t="s">
        <v>11</v>
      </c>
      <c r="K1481" s="41" t="s">
        <v>1555</v>
      </c>
      <c r="L1481" s="41" t="s">
        <v>19</v>
      </c>
      <c r="M1481">
        <f t="shared" si="93"/>
        <v>139</v>
      </c>
      <c r="N1481">
        <f t="shared" si="94"/>
        <v>32</v>
      </c>
      <c r="O1481">
        <f t="shared" si="95"/>
        <v>41</v>
      </c>
      <c r="P1481">
        <f t="shared" si="96"/>
        <v>23</v>
      </c>
    </row>
    <row r="1482" spans="9:16" ht="15" customHeight="1" x14ac:dyDescent="0.25">
      <c r="I1482" s="43" t="s">
        <v>343</v>
      </c>
      <c r="J1482" s="43" t="s">
        <v>11</v>
      </c>
      <c r="K1482" s="43" t="s">
        <v>1554</v>
      </c>
      <c r="L1482" s="43" t="s">
        <v>43</v>
      </c>
      <c r="M1482">
        <f t="shared" si="93"/>
        <v>132</v>
      </c>
      <c r="N1482">
        <f t="shared" si="94"/>
        <v>32</v>
      </c>
      <c r="O1482">
        <f t="shared" si="95"/>
        <v>38</v>
      </c>
      <c r="P1482">
        <f t="shared" si="96"/>
        <v>25</v>
      </c>
    </row>
    <row r="1483" spans="9:16" ht="15" customHeight="1" x14ac:dyDescent="0.25">
      <c r="I1483" s="41" t="s">
        <v>340</v>
      </c>
      <c r="J1483" s="41" t="s">
        <v>11</v>
      </c>
      <c r="K1483" s="41" t="s">
        <v>1553</v>
      </c>
      <c r="L1483" s="41" t="s">
        <v>339</v>
      </c>
      <c r="M1483">
        <f t="shared" si="93"/>
        <v>129</v>
      </c>
      <c r="N1483">
        <f t="shared" si="94"/>
        <v>32</v>
      </c>
      <c r="O1483">
        <f t="shared" si="95"/>
        <v>39</v>
      </c>
      <c r="P1483">
        <f t="shared" si="96"/>
        <v>0</v>
      </c>
    </row>
    <row r="1484" spans="9:16" ht="15" customHeight="1" x14ac:dyDescent="0.25">
      <c r="I1484" s="43" t="s">
        <v>344</v>
      </c>
      <c r="J1484" s="43" t="s">
        <v>24</v>
      </c>
      <c r="K1484" s="43" t="s">
        <v>1552</v>
      </c>
      <c r="L1484" s="43" t="s">
        <v>345</v>
      </c>
      <c r="M1484">
        <f t="shared" si="93"/>
        <v>131</v>
      </c>
      <c r="N1484">
        <f t="shared" si="94"/>
        <v>9</v>
      </c>
      <c r="O1484">
        <f t="shared" si="95"/>
        <v>37</v>
      </c>
      <c r="P1484">
        <f t="shared" si="96"/>
        <v>2</v>
      </c>
    </row>
    <row r="1485" spans="9:16" ht="15" customHeight="1" x14ac:dyDescent="0.25">
      <c r="I1485" s="41" t="s">
        <v>337</v>
      </c>
      <c r="J1485" s="41" t="s">
        <v>11</v>
      </c>
      <c r="K1485" s="41" t="s">
        <v>12</v>
      </c>
      <c r="L1485" s="41" t="s">
        <v>33</v>
      </c>
      <c r="M1485">
        <f t="shared" si="93"/>
        <v>137</v>
      </c>
      <c r="N1485">
        <f t="shared" si="94"/>
        <v>32</v>
      </c>
      <c r="O1485">
        <f t="shared" si="95"/>
        <v>0</v>
      </c>
      <c r="P1485">
        <f t="shared" si="96"/>
        <v>30</v>
      </c>
    </row>
    <row r="1486" spans="9:16" ht="15" customHeight="1" x14ac:dyDescent="0.25">
      <c r="I1486" s="43" t="s">
        <v>338</v>
      </c>
      <c r="J1486" s="43" t="s">
        <v>11</v>
      </c>
      <c r="K1486" s="43" t="s">
        <v>12</v>
      </c>
      <c r="L1486" s="43" t="s">
        <v>13</v>
      </c>
      <c r="M1486">
        <f t="shared" si="93"/>
        <v>135</v>
      </c>
      <c r="N1486">
        <f t="shared" si="94"/>
        <v>32</v>
      </c>
      <c r="O1486">
        <f t="shared" si="95"/>
        <v>0</v>
      </c>
      <c r="P1486">
        <f t="shared" si="96"/>
        <v>21</v>
      </c>
    </row>
    <row r="1487" spans="9:16" ht="15" customHeight="1" x14ac:dyDescent="0.25">
      <c r="I1487" s="41" t="s">
        <v>335</v>
      </c>
      <c r="J1487" s="41" t="s">
        <v>11</v>
      </c>
      <c r="K1487" s="41" t="s">
        <v>1552</v>
      </c>
      <c r="L1487" s="41" t="s">
        <v>19</v>
      </c>
      <c r="M1487">
        <f t="shared" si="93"/>
        <v>139</v>
      </c>
      <c r="N1487">
        <f t="shared" si="94"/>
        <v>32</v>
      </c>
      <c r="O1487">
        <f t="shared" si="95"/>
        <v>37</v>
      </c>
      <c r="P1487">
        <f t="shared" si="96"/>
        <v>23</v>
      </c>
    </row>
    <row r="1488" spans="9:16" ht="15" customHeight="1" x14ac:dyDescent="0.25">
      <c r="I1488" s="43" t="s">
        <v>343</v>
      </c>
      <c r="J1488" s="43" t="s">
        <v>11</v>
      </c>
      <c r="K1488" s="43" t="s">
        <v>1555</v>
      </c>
      <c r="L1488" s="43" t="s">
        <v>43</v>
      </c>
      <c r="M1488">
        <f t="shared" si="93"/>
        <v>132</v>
      </c>
      <c r="N1488">
        <f t="shared" si="94"/>
        <v>32</v>
      </c>
      <c r="O1488">
        <f t="shared" si="95"/>
        <v>41</v>
      </c>
      <c r="P1488">
        <f t="shared" si="96"/>
        <v>25</v>
      </c>
    </row>
    <row r="1489" spans="9:16" ht="15" customHeight="1" x14ac:dyDescent="0.25">
      <c r="I1489" s="41" t="s">
        <v>340</v>
      </c>
      <c r="J1489" s="41" t="s">
        <v>24</v>
      </c>
      <c r="K1489" s="41" t="s">
        <v>1557</v>
      </c>
      <c r="L1489" s="41" t="s">
        <v>339</v>
      </c>
      <c r="M1489">
        <f t="shared" si="93"/>
        <v>129</v>
      </c>
      <c r="N1489">
        <f t="shared" si="94"/>
        <v>9</v>
      </c>
      <c r="O1489">
        <f t="shared" si="95"/>
        <v>47</v>
      </c>
      <c r="P1489">
        <f t="shared" si="96"/>
        <v>0</v>
      </c>
    </row>
    <row r="1490" spans="9:16" ht="15" customHeight="1" x14ac:dyDescent="0.25">
      <c r="I1490" s="43" t="s">
        <v>342</v>
      </c>
      <c r="J1490" s="43" t="s">
        <v>11</v>
      </c>
      <c r="K1490" s="43" t="s">
        <v>1560</v>
      </c>
      <c r="L1490" s="43" t="s">
        <v>345</v>
      </c>
      <c r="M1490">
        <f t="shared" si="93"/>
        <v>134</v>
      </c>
      <c r="N1490">
        <f t="shared" si="94"/>
        <v>32</v>
      </c>
      <c r="O1490">
        <f t="shared" si="95"/>
        <v>49</v>
      </c>
      <c r="P1490">
        <f t="shared" si="96"/>
        <v>2</v>
      </c>
    </row>
    <row r="1491" spans="9:16" ht="15" customHeight="1" x14ac:dyDescent="0.25">
      <c r="I1491" s="41" t="s">
        <v>23</v>
      </c>
      <c r="J1491" s="41" t="s">
        <v>24</v>
      </c>
      <c r="K1491" s="41" t="s">
        <v>1553</v>
      </c>
      <c r="L1491" s="41" t="s">
        <v>33</v>
      </c>
      <c r="M1491">
        <f t="shared" si="93"/>
        <v>136</v>
      </c>
      <c r="N1491">
        <f t="shared" si="94"/>
        <v>9</v>
      </c>
      <c r="O1491">
        <f t="shared" si="95"/>
        <v>39</v>
      </c>
      <c r="P1491">
        <f t="shared" si="96"/>
        <v>30</v>
      </c>
    </row>
    <row r="1492" spans="9:16" ht="15" customHeight="1" x14ac:dyDescent="0.25">
      <c r="I1492" s="43" t="s">
        <v>17</v>
      </c>
      <c r="J1492" s="43" t="s">
        <v>11</v>
      </c>
      <c r="K1492" s="43" t="s">
        <v>1556</v>
      </c>
      <c r="L1492" s="43" t="s">
        <v>13</v>
      </c>
      <c r="M1492">
        <f t="shared" si="93"/>
        <v>141</v>
      </c>
      <c r="N1492">
        <f t="shared" si="94"/>
        <v>32</v>
      </c>
      <c r="O1492">
        <f t="shared" si="95"/>
        <v>42</v>
      </c>
      <c r="P1492">
        <f t="shared" si="96"/>
        <v>21</v>
      </c>
    </row>
    <row r="1493" spans="9:16" ht="15" customHeight="1" x14ac:dyDescent="0.25">
      <c r="I1493" s="41" t="s">
        <v>10</v>
      </c>
      <c r="J1493" s="41" t="s">
        <v>24</v>
      </c>
      <c r="K1493" s="41" t="s">
        <v>1558</v>
      </c>
      <c r="L1493" s="41" t="s">
        <v>19</v>
      </c>
      <c r="M1493">
        <f t="shared" si="93"/>
        <v>143</v>
      </c>
      <c r="N1493">
        <f t="shared" si="94"/>
        <v>9</v>
      </c>
      <c r="O1493">
        <f t="shared" si="95"/>
        <v>48</v>
      </c>
      <c r="P1493">
        <f t="shared" si="96"/>
        <v>23</v>
      </c>
    </row>
    <row r="1494" spans="9:16" ht="15" customHeight="1" x14ac:dyDescent="0.25">
      <c r="I1494" s="43" t="s">
        <v>344</v>
      </c>
      <c r="J1494" s="43" t="s">
        <v>11</v>
      </c>
      <c r="K1494" s="43" t="s">
        <v>1561</v>
      </c>
      <c r="L1494" s="43" t="s">
        <v>43</v>
      </c>
      <c r="M1494">
        <f t="shared" si="93"/>
        <v>131</v>
      </c>
      <c r="N1494">
        <f t="shared" si="94"/>
        <v>32</v>
      </c>
      <c r="O1494">
        <f t="shared" si="95"/>
        <v>51</v>
      </c>
      <c r="P1494">
        <f t="shared" si="96"/>
        <v>25</v>
      </c>
    </row>
    <row r="1495" spans="9:16" ht="15" customHeight="1" x14ac:dyDescent="0.25">
      <c r="I1495" s="41" t="s">
        <v>344</v>
      </c>
      <c r="J1495" s="41" t="s">
        <v>24</v>
      </c>
      <c r="K1495" s="41" t="s">
        <v>1554</v>
      </c>
      <c r="L1495" s="41" t="s">
        <v>339</v>
      </c>
      <c r="M1495">
        <f t="shared" si="93"/>
        <v>131</v>
      </c>
      <c r="N1495">
        <f t="shared" si="94"/>
        <v>9</v>
      </c>
      <c r="O1495">
        <f t="shared" si="95"/>
        <v>38</v>
      </c>
      <c r="P1495">
        <f t="shared" si="96"/>
        <v>0</v>
      </c>
    </row>
    <row r="1496" spans="9:16" ht="15" customHeight="1" x14ac:dyDescent="0.25">
      <c r="I1496" s="43" t="s">
        <v>10</v>
      </c>
      <c r="J1496" s="43" t="s">
        <v>24</v>
      </c>
      <c r="K1496" s="43" t="s">
        <v>1559</v>
      </c>
      <c r="L1496" s="43" t="s">
        <v>345</v>
      </c>
      <c r="M1496">
        <f t="shared" si="93"/>
        <v>143</v>
      </c>
      <c r="N1496">
        <f t="shared" si="94"/>
        <v>9</v>
      </c>
      <c r="O1496">
        <f t="shared" si="95"/>
        <v>43</v>
      </c>
      <c r="P1496">
        <f t="shared" si="96"/>
        <v>2</v>
      </c>
    </row>
    <row r="1497" spans="9:16" ht="15" customHeight="1" x14ac:dyDescent="0.25">
      <c r="I1497" s="41" t="s">
        <v>17</v>
      </c>
      <c r="J1497" s="41" t="s">
        <v>24</v>
      </c>
      <c r="K1497" s="41" t="s">
        <v>1554</v>
      </c>
      <c r="L1497" s="41" t="s">
        <v>33</v>
      </c>
      <c r="M1497">
        <f t="shared" si="93"/>
        <v>141</v>
      </c>
      <c r="N1497">
        <f t="shared" si="94"/>
        <v>9</v>
      </c>
      <c r="O1497">
        <f t="shared" si="95"/>
        <v>38</v>
      </c>
      <c r="P1497">
        <f t="shared" si="96"/>
        <v>30</v>
      </c>
    </row>
    <row r="1498" spans="9:16" ht="15" customHeight="1" x14ac:dyDescent="0.25">
      <c r="I1498" s="43" t="s">
        <v>23</v>
      </c>
      <c r="J1498" s="43" t="s">
        <v>11</v>
      </c>
      <c r="K1498" s="43" t="s">
        <v>1559</v>
      </c>
      <c r="L1498" s="43" t="s">
        <v>13</v>
      </c>
      <c r="M1498">
        <f t="shared" si="93"/>
        <v>136</v>
      </c>
      <c r="N1498">
        <f t="shared" si="94"/>
        <v>32</v>
      </c>
      <c r="O1498">
        <f t="shared" si="95"/>
        <v>43</v>
      </c>
      <c r="P1498">
        <f t="shared" si="96"/>
        <v>21</v>
      </c>
    </row>
    <row r="1499" spans="9:16" ht="15" customHeight="1" x14ac:dyDescent="0.25">
      <c r="I1499" s="41" t="s">
        <v>342</v>
      </c>
      <c r="J1499" s="41" t="s">
        <v>11</v>
      </c>
      <c r="K1499" s="41" t="s">
        <v>1553</v>
      </c>
      <c r="L1499" s="41" t="s">
        <v>19</v>
      </c>
      <c r="M1499">
        <f t="shared" si="93"/>
        <v>134</v>
      </c>
      <c r="N1499">
        <f t="shared" si="94"/>
        <v>32</v>
      </c>
      <c r="O1499">
        <f t="shared" si="95"/>
        <v>39</v>
      </c>
      <c r="P1499">
        <f t="shared" si="96"/>
        <v>23</v>
      </c>
    </row>
    <row r="1500" spans="9:16" ht="15" customHeight="1" x14ac:dyDescent="0.25">
      <c r="I1500" s="43" t="s">
        <v>340</v>
      </c>
      <c r="J1500" s="43" t="s">
        <v>11</v>
      </c>
      <c r="K1500" s="43" t="s">
        <v>1556</v>
      </c>
      <c r="L1500" s="43" t="s">
        <v>43</v>
      </c>
      <c r="M1500">
        <f t="shared" si="93"/>
        <v>129</v>
      </c>
      <c r="N1500">
        <f t="shared" si="94"/>
        <v>32</v>
      </c>
      <c r="O1500">
        <f t="shared" si="95"/>
        <v>42</v>
      </c>
      <c r="P1500">
        <f t="shared" si="96"/>
        <v>25</v>
      </c>
    </row>
    <row r="1501" spans="9:16" ht="15" customHeight="1" x14ac:dyDescent="0.25">
      <c r="I1501" s="41" t="s">
        <v>343</v>
      </c>
      <c r="J1501" s="41" t="s">
        <v>11</v>
      </c>
      <c r="K1501" s="41" t="s">
        <v>1558</v>
      </c>
      <c r="L1501" s="41" t="s">
        <v>339</v>
      </c>
      <c r="M1501">
        <f t="shared" si="93"/>
        <v>132</v>
      </c>
      <c r="N1501">
        <f t="shared" si="94"/>
        <v>32</v>
      </c>
      <c r="O1501">
        <f t="shared" si="95"/>
        <v>48</v>
      </c>
      <c r="P1501">
        <f t="shared" si="96"/>
        <v>0</v>
      </c>
    </row>
    <row r="1502" spans="9:16" ht="15" customHeight="1" x14ac:dyDescent="0.25">
      <c r="I1502" s="43" t="s">
        <v>335</v>
      </c>
      <c r="J1502" s="43" t="s">
        <v>11</v>
      </c>
      <c r="K1502" s="43" t="s">
        <v>1561</v>
      </c>
      <c r="L1502" s="43" t="s">
        <v>345</v>
      </c>
      <c r="M1502">
        <f t="shared" si="93"/>
        <v>139</v>
      </c>
      <c r="N1502">
        <f t="shared" si="94"/>
        <v>32</v>
      </c>
      <c r="O1502">
        <f t="shared" si="95"/>
        <v>51</v>
      </c>
      <c r="P1502">
        <f t="shared" si="96"/>
        <v>2</v>
      </c>
    </row>
    <row r="1503" spans="9:16" ht="15" customHeight="1" x14ac:dyDescent="0.25">
      <c r="I1503" s="41" t="s">
        <v>338</v>
      </c>
      <c r="J1503" s="41" t="s">
        <v>11</v>
      </c>
      <c r="K1503" s="41" t="s">
        <v>1552</v>
      </c>
      <c r="L1503" s="41" t="s">
        <v>33</v>
      </c>
      <c r="M1503">
        <f t="shared" si="93"/>
        <v>135</v>
      </c>
      <c r="N1503">
        <f t="shared" si="94"/>
        <v>32</v>
      </c>
      <c r="O1503">
        <f t="shared" si="95"/>
        <v>37</v>
      </c>
      <c r="P1503">
        <f t="shared" si="96"/>
        <v>30</v>
      </c>
    </row>
    <row r="1504" spans="9:16" ht="15" customHeight="1" x14ac:dyDescent="0.25">
      <c r="I1504" s="43" t="s">
        <v>337</v>
      </c>
      <c r="J1504" s="43" t="s">
        <v>24</v>
      </c>
      <c r="K1504" s="43" t="s">
        <v>1555</v>
      </c>
      <c r="L1504" s="43" t="s">
        <v>13</v>
      </c>
      <c r="M1504">
        <f t="shared" si="93"/>
        <v>137</v>
      </c>
      <c r="N1504">
        <f t="shared" si="94"/>
        <v>9</v>
      </c>
      <c r="O1504">
        <f t="shared" si="95"/>
        <v>41</v>
      </c>
      <c r="P1504">
        <f t="shared" si="96"/>
        <v>21</v>
      </c>
    </row>
    <row r="1505" spans="9:16" ht="15" customHeight="1" x14ac:dyDescent="0.25">
      <c r="I1505" s="41" t="s">
        <v>343</v>
      </c>
      <c r="J1505" s="41" t="s">
        <v>11</v>
      </c>
      <c r="K1505" s="41" t="s">
        <v>1557</v>
      </c>
      <c r="L1505" s="41" t="s">
        <v>19</v>
      </c>
      <c r="M1505">
        <f t="shared" si="93"/>
        <v>132</v>
      </c>
      <c r="N1505">
        <f t="shared" si="94"/>
        <v>32</v>
      </c>
      <c r="O1505">
        <f t="shared" si="95"/>
        <v>47</v>
      </c>
      <c r="P1505">
        <f t="shared" si="96"/>
        <v>23</v>
      </c>
    </row>
    <row r="1506" spans="9:16" ht="15" customHeight="1" x14ac:dyDescent="0.25">
      <c r="I1506" s="43" t="s">
        <v>340</v>
      </c>
      <c r="J1506" s="43" t="s">
        <v>24</v>
      </c>
      <c r="K1506" s="43" t="s">
        <v>1560</v>
      </c>
      <c r="L1506" s="43" t="s">
        <v>43</v>
      </c>
      <c r="M1506">
        <f t="shared" si="93"/>
        <v>129</v>
      </c>
      <c r="N1506">
        <f t="shared" si="94"/>
        <v>9</v>
      </c>
      <c r="O1506">
        <f t="shared" si="95"/>
        <v>49</v>
      </c>
      <c r="P1506">
        <f t="shared" si="96"/>
        <v>25</v>
      </c>
    </row>
    <row r="1507" spans="9:16" ht="15" customHeight="1" x14ac:dyDescent="0.25">
      <c r="I1507" s="41" t="s">
        <v>10</v>
      </c>
      <c r="J1507" s="41" t="s">
        <v>24</v>
      </c>
      <c r="K1507" s="41" t="s">
        <v>12</v>
      </c>
      <c r="L1507" s="41" t="s">
        <v>339</v>
      </c>
      <c r="M1507">
        <f t="shared" si="93"/>
        <v>143</v>
      </c>
      <c r="N1507">
        <f t="shared" si="94"/>
        <v>9</v>
      </c>
      <c r="O1507">
        <f t="shared" si="95"/>
        <v>0</v>
      </c>
      <c r="P1507">
        <f t="shared" si="96"/>
        <v>0</v>
      </c>
    </row>
    <row r="1508" spans="9:16" ht="15" customHeight="1" x14ac:dyDescent="0.25">
      <c r="I1508" s="43" t="s">
        <v>344</v>
      </c>
      <c r="J1508" s="43" t="s">
        <v>11</v>
      </c>
      <c r="K1508" s="43" t="s">
        <v>12</v>
      </c>
      <c r="L1508" s="43" t="s">
        <v>345</v>
      </c>
      <c r="M1508">
        <f t="shared" si="93"/>
        <v>131</v>
      </c>
      <c r="N1508">
        <f t="shared" si="94"/>
        <v>32</v>
      </c>
      <c r="O1508">
        <f t="shared" si="95"/>
        <v>0</v>
      </c>
      <c r="P1508">
        <f t="shared" si="96"/>
        <v>2</v>
      </c>
    </row>
    <row r="1509" spans="9:16" ht="15" customHeight="1" x14ac:dyDescent="0.25">
      <c r="I1509" s="41" t="s">
        <v>338</v>
      </c>
      <c r="J1509" s="41" t="s">
        <v>24</v>
      </c>
      <c r="K1509" s="41" t="s">
        <v>1552</v>
      </c>
      <c r="L1509" s="41" t="s">
        <v>33</v>
      </c>
      <c r="M1509">
        <f t="shared" si="93"/>
        <v>135</v>
      </c>
      <c r="N1509">
        <f t="shared" si="94"/>
        <v>9</v>
      </c>
      <c r="O1509">
        <f t="shared" si="95"/>
        <v>37</v>
      </c>
      <c r="P1509">
        <f t="shared" si="96"/>
        <v>30</v>
      </c>
    </row>
    <row r="1510" spans="9:16" ht="15" customHeight="1" x14ac:dyDescent="0.25">
      <c r="I1510" s="43" t="s">
        <v>23</v>
      </c>
      <c r="J1510" s="43" t="s">
        <v>11</v>
      </c>
      <c r="K1510" s="43" t="s">
        <v>1553</v>
      </c>
      <c r="L1510" s="43" t="s">
        <v>13</v>
      </c>
      <c r="M1510">
        <f t="shared" si="93"/>
        <v>136</v>
      </c>
      <c r="N1510">
        <f t="shared" si="94"/>
        <v>32</v>
      </c>
      <c r="O1510">
        <f t="shared" si="95"/>
        <v>39</v>
      </c>
      <c r="P1510">
        <f t="shared" si="96"/>
        <v>21</v>
      </c>
    </row>
    <row r="1511" spans="9:16" ht="15" customHeight="1" x14ac:dyDescent="0.25">
      <c r="I1511" s="41" t="s">
        <v>17</v>
      </c>
      <c r="J1511" s="41" t="s">
        <v>11</v>
      </c>
      <c r="K1511" s="41" t="s">
        <v>1554</v>
      </c>
      <c r="L1511" s="41" t="s">
        <v>19</v>
      </c>
      <c r="M1511">
        <f t="shared" si="93"/>
        <v>141</v>
      </c>
      <c r="N1511">
        <f t="shared" si="94"/>
        <v>32</v>
      </c>
      <c r="O1511">
        <f t="shared" si="95"/>
        <v>38</v>
      </c>
      <c r="P1511">
        <f t="shared" si="96"/>
        <v>23</v>
      </c>
    </row>
    <row r="1512" spans="9:16" ht="15" customHeight="1" x14ac:dyDescent="0.25">
      <c r="I1512" s="43" t="s">
        <v>10</v>
      </c>
      <c r="J1512" s="43" t="s">
        <v>11</v>
      </c>
      <c r="K1512" s="43" t="s">
        <v>1555</v>
      </c>
      <c r="L1512" s="43" t="s">
        <v>43</v>
      </c>
      <c r="M1512">
        <f t="shared" si="93"/>
        <v>143</v>
      </c>
      <c r="N1512">
        <f t="shared" si="94"/>
        <v>32</v>
      </c>
      <c r="O1512">
        <f t="shared" si="95"/>
        <v>41</v>
      </c>
      <c r="P1512">
        <f t="shared" si="96"/>
        <v>25</v>
      </c>
    </row>
    <row r="1513" spans="9:16" ht="15" customHeight="1" x14ac:dyDescent="0.25">
      <c r="I1513" s="41" t="s">
        <v>337</v>
      </c>
      <c r="J1513" s="41" t="s">
        <v>11</v>
      </c>
      <c r="K1513" s="41" t="s">
        <v>1556</v>
      </c>
      <c r="L1513" s="41" t="s">
        <v>339</v>
      </c>
      <c r="M1513">
        <f t="shared" si="93"/>
        <v>137</v>
      </c>
      <c r="N1513">
        <f t="shared" si="94"/>
        <v>32</v>
      </c>
      <c r="O1513">
        <f t="shared" si="95"/>
        <v>42</v>
      </c>
      <c r="P1513">
        <f t="shared" si="96"/>
        <v>0</v>
      </c>
    </row>
    <row r="1514" spans="9:16" ht="15" customHeight="1" x14ac:dyDescent="0.25">
      <c r="I1514" s="43" t="s">
        <v>338</v>
      </c>
      <c r="J1514" s="43" t="s">
        <v>24</v>
      </c>
      <c r="K1514" s="43" t="s">
        <v>1559</v>
      </c>
      <c r="L1514" s="43" t="s">
        <v>345</v>
      </c>
      <c r="M1514">
        <f t="shared" si="93"/>
        <v>135</v>
      </c>
      <c r="N1514">
        <f t="shared" si="94"/>
        <v>9</v>
      </c>
      <c r="O1514">
        <f t="shared" si="95"/>
        <v>43</v>
      </c>
      <c r="P1514">
        <f t="shared" si="96"/>
        <v>2</v>
      </c>
    </row>
    <row r="1515" spans="9:16" ht="15" customHeight="1" x14ac:dyDescent="0.25">
      <c r="I1515" s="41" t="s">
        <v>338</v>
      </c>
      <c r="J1515" s="41" t="s">
        <v>11</v>
      </c>
      <c r="K1515" s="41" t="s">
        <v>1557</v>
      </c>
      <c r="L1515" s="41" t="s">
        <v>33</v>
      </c>
      <c r="M1515">
        <f t="shared" si="93"/>
        <v>135</v>
      </c>
      <c r="N1515">
        <f t="shared" si="94"/>
        <v>32</v>
      </c>
      <c r="O1515">
        <f t="shared" si="95"/>
        <v>47</v>
      </c>
      <c r="P1515">
        <f t="shared" si="96"/>
        <v>30</v>
      </c>
    </row>
    <row r="1516" spans="9:16" ht="15" customHeight="1" x14ac:dyDescent="0.25">
      <c r="I1516" s="43" t="s">
        <v>335</v>
      </c>
      <c r="J1516" s="43" t="s">
        <v>24</v>
      </c>
      <c r="K1516" s="43" t="s">
        <v>1558</v>
      </c>
      <c r="L1516" s="43" t="s">
        <v>13</v>
      </c>
      <c r="M1516">
        <f t="shared" si="93"/>
        <v>139</v>
      </c>
      <c r="N1516">
        <f t="shared" si="94"/>
        <v>9</v>
      </c>
      <c r="O1516">
        <f t="shared" si="95"/>
        <v>48</v>
      </c>
      <c r="P1516">
        <f t="shared" si="96"/>
        <v>21</v>
      </c>
    </row>
    <row r="1517" spans="9:16" ht="15" customHeight="1" x14ac:dyDescent="0.25">
      <c r="I1517" s="41" t="s">
        <v>335</v>
      </c>
      <c r="J1517" s="41" t="s">
        <v>11</v>
      </c>
      <c r="K1517" s="41" t="s">
        <v>1560</v>
      </c>
      <c r="L1517" s="41" t="s">
        <v>19</v>
      </c>
      <c r="M1517">
        <f t="shared" si="93"/>
        <v>139</v>
      </c>
      <c r="N1517">
        <f t="shared" si="94"/>
        <v>32</v>
      </c>
      <c r="O1517">
        <f t="shared" si="95"/>
        <v>49</v>
      </c>
      <c r="P1517">
        <f t="shared" si="96"/>
        <v>23</v>
      </c>
    </row>
    <row r="1518" spans="9:16" ht="15" customHeight="1" x14ac:dyDescent="0.25">
      <c r="I1518" s="43" t="s">
        <v>342</v>
      </c>
      <c r="J1518" s="43" t="s">
        <v>11</v>
      </c>
      <c r="K1518" s="43" t="s">
        <v>1561</v>
      </c>
      <c r="L1518" s="43" t="s">
        <v>43</v>
      </c>
      <c r="M1518">
        <f t="shared" si="93"/>
        <v>134</v>
      </c>
      <c r="N1518">
        <f t="shared" si="94"/>
        <v>32</v>
      </c>
      <c r="O1518">
        <f t="shared" si="95"/>
        <v>51</v>
      </c>
      <c r="P1518">
        <f t="shared" si="96"/>
        <v>25</v>
      </c>
    </row>
    <row r="1519" spans="9:16" ht="15" customHeight="1" x14ac:dyDescent="0.25">
      <c r="I1519" s="41" t="s">
        <v>342</v>
      </c>
      <c r="J1519" s="41" t="s">
        <v>11</v>
      </c>
      <c r="K1519" s="41" t="s">
        <v>1561</v>
      </c>
      <c r="L1519" s="41" t="s">
        <v>339</v>
      </c>
      <c r="M1519">
        <f t="shared" si="93"/>
        <v>134</v>
      </c>
      <c r="N1519">
        <f t="shared" si="94"/>
        <v>32</v>
      </c>
      <c r="O1519">
        <f t="shared" si="95"/>
        <v>51</v>
      </c>
      <c r="P1519">
        <f t="shared" si="96"/>
        <v>0</v>
      </c>
    </row>
    <row r="1520" spans="9:16" ht="15" customHeight="1" x14ac:dyDescent="0.25">
      <c r="I1520" s="43" t="s">
        <v>10</v>
      </c>
      <c r="J1520" s="43" t="s">
        <v>24</v>
      </c>
      <c r="K1520" s="43" t="s">
        <v>1560</v>
      </c>
      <c r="L1520" s="43" t="s">
        <v>345</v>
      </c>
      <c r="M1520">
        <f t="shared" si="93"/>
        <v>143</v>
      </c>
      <c r="N1520">
        <f t="shared" si="94"/>
        <v>9</v>
      </c>
      <c r="O1520">
        <f t="shared" si="95"/>
        <v>49</v>
      </c>
      <c r="P1520">
        <f t="shared" si="96"/>
        <v>2</v>
      </c>
    </row>
    <row r="1521" spans="9:16" ht="15" customHeight="1" x14ac:dyDescent="0.25">
      <c r="I1521" s="41" t="s">
        <v>17</v>
      </c>
      <c r="J1521" s="41" t="s">
        <v>11</v>
      </c>
      <c r="K1521" s="41" t="s">
        <v>1558</v>
      </c>
      <c r="L1521" s="41" t="s">
        <v>33</v>
      </c>
      <c r="M1521">
        <f t="shared" si="93"/>
        <v>141</v>
      </c>
      <c r="N1521">
        <f t="shared" si="94"/>
        <v>32</v>
      </c>
      <c r="O1521">
        <f t="shared" si="95"/>
        <v>48</v>
      </c>
      <c r="P1521">
        <f t="shared" si="96"/>
        <v>30</v>
      </c>
    </row>
    <row r="1522" spans="9:16" ht="15" customHeight="1" x14ac:dyDescent="0.25">
      <c r="I1522" s="43" t="s">
        <v>10</v>
      </c>
      <c r="J1522" s="43" t="s">
        <v>11</v>
      </c>
      <c r="K1522" s="43" t="s">
        <v>1557</v>
      </c>
      <c r="L1522" s="43" t="s">
        <v>13</v>
      </c>
      <c r="M1522">
        <f t="shared" si="93"/>
        <v>143</v>
      </c>
      <c r="N1522">
        <f t="shared" si="94"/>
        <v>32</v>
      </c>
      <c r="O1522">
        <f t="shared" si="95"/>
        <v>47</v>
      </c>
      <c r="P1522">
        <f t="shared" si="96"/>
        <v>21</v>
      </c>
    </row>
    <row r="1523" spans="9:16" ht="15" customHeight="1" x14ac:dyDescent="0.25">
      <c r="I1523" s="41" t="s">
        <v>23</v>
      </c>
      <c r="J1523" s="41" t="s">
        <v>11</v>
      </c>
      <c r="K1523" s="41" t="s">
        <v>1559</v>
      </c>
      <c r="L1523" s="41" t="s">
        <v>19</v>
      </c>
      <c r="M1523">
        <f t="shared" si="93"/>
        <v>136</v>
      </c>
      <c r="N1523">
        <f t="shared" si="94"/>
        <v>32</v>
      </c>
      <c r="O1523">
        <f t="shared" si="95"/>
        <v>43</v>
      </c>
      <c r="P1523">
        <f t="shared" si="96"/>
        <v>23</v>
      </c>
    </row>
  </sheetData>
  <mergeCells count="8">
    <mergeCell ref="I14:J14"/>
    <mergeCell ref="I11:M11"/>
    <mergeCell ref="I10:M10"/>
    <mergeCell ref="I12:M13"/>
    <mergeCell ref="B2:C2"/>
    <mergeCell ref="J3:K3"/>
    <mergeCell ref="L3:M3"/>
    <mergeCell ref="E2:F2"/>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07150F-50AB-43B8-8DC0-C8D0BC58B898}">
  <sheetPr codeName="Sheet3"/>
  <dimension ref="B1:M506"/>
  <sheetViews>
    <sheetView zoomScaleNormal="100" workbookViewId="0">
      <selection activeCell="J6" sqref="J6"/>
    </sheetView>
  </sheetViews>
  <sheetFormatPr defaultColWidth="14.42578125" defaultRowHeight="15" customHeight="1" x14ac:dyDescent="0.25"/>
  <cols>
    <col min="1" max="1" width="5.28515625" customWidth="1"/>
    <col min="2" max="2" width="15" customWidth="1"/>
    <col min="3" max="3" width="18.42578125" bestFit="1" customWidth="1"/>
    <col min="4" max="4" width="29.7109375" customWidth="1"/>
    <col min="5" max="5" width="20.140625" customWidth="1"/>
    <col min="6" max="6" width="18.140625" customWidth="1"/>
    <col min="7" max="7" width="14.28515625" customWidth="1"/>
    <col min="8" max="8" width="19.85546875" customWidth="1"/>
    <col min="9" max="9" width="16.28515625" customWidth="1"/>
    <col min="10" max="10" width="14.85546875" customWidth="1"/>
    <col min="11" max="11" width="8.7109375" customWidth="1"/>
  </cols>
  <sheetData>
    <row r="1" spans="2:13" ht="15" customHeight="1" thickBot="1" x14ac:dyDescent="0.3"/>
    <row r="2" spans="2:13" ht="24.95" customHeight="1" thickTop="1" thickBot="1" x14ac:dyDescent="0.3">
      <c r="B2" s="93" t="s">
        <v>323</v>
      </c>
      <c r="C2" s="93"/>
      <c r="D2" s="93"/>
      <c r="E2" s="93"/>
      <c r="F2" s="93"/>
      <c r="G2" s="93"/>
      <c r="H2" s="93"/>
      <c r="I2" s="93"/>
      <c r="J2" s="93"/>
    </row>
    <row r="3" spans="2:13" ht="15" customHeight="1" thickTop="1" x14ac:dyDescent="0.25"/>
    <row r="4" spans="2:13" ht="15" customHeight="1" x14ac:dyDescent="0.25">
      <c r="G4" s="9"/>
      <c r="I4" s="94" t="s">
        <v>324</v>
      </c>
      <c r="J4" s="95"/>
      <c r="M4" s="9" t="s">
        <v>325</v>
      </c>
    </row>
    <row r="6" spans="2:13" ht="30" x14ac:dyDescent="0.25">
      <c r="B6" s="5" t="s">
        <v>326</v>
      </c>
      <c r="C6" s="6" t="s">
        <v>0</v>
      </c>
      <c r="D6" s="6" t="s">
        <v>1</v>
      </c>
      <c r="E6" s="6" t="s">
        <v>2</v>
      </c>
      <c r="F6" s="6" t="s">
        <v>3</v>
      </c>
      <c r="G6" s="6" t="s">
        <v>327</v>
      </c>
      <c r="H6" s="6" t="s">
        <v>5</v>
      </c>
      <c r="I6" s="6" t="s">
        <v>6</v>
      </c>
      <c r="J6" s="7" t="s">
        <v>1564</v>
      </c>
    </row>
    <row r="7" spans="2:13" ht="14.25" customHeight="1" x14ac:dyDescent="0.25">
      <c r="B7" s="10" t="s">
        <v>7</v>
      </c>
      <c r="C7" s="25" t="s">
        <v>8</v>
      </c>
      <c r="D7" s="8" t="s">
        <v>9</v>
      </c>
      <c r="E7" s="23" t="s">
        <v>337</v>
      </c>
      <c r="F7" s="10" t="s">
        <v>11</v>
      </c>
      <c r="G7" s="30" t="s">
        <v>12</v>
      </c>
      <c r="H7" s="10" t="s">
        <v>19</v>
      </c>
      <c r="I7" s="26">
        <v>44945</v>
      </c>
      <c r="J7" s="34">
        <f>SUM(Assumptions!M24:P24)</f>
        <v>192</v>
      </c>
      <c r="L7" s="9"/>
    </row>
    <row r="8" spans="2:13" ht="14.25" customHeight="1" x14ac:dyDescent="0.25">
      <c r="B8" s="10" t="s">
        <v>14</v>
      </c>
      <c r="C8" s="8" t="s">
        <v>15</v>
      </c>
      <c r="D8" s="8" t="s">
        <v>16</v>
      </c>
      <c r="E8" s="24" t="s">
        <v>338</v>
      </c>
      <c r="F8" s="10" t="s">
        <v>11</v>
      </c>
      <c r="G8" s="29" t="s">
        <v>1552</v>
      </c>
      <c r="H8" s="10" t="s">
        <v>43</v>
      </c>
      <c r="I8" s="26">
        <v>44966</v>
      </c>
      <c r="J8" s="34">
        <f>SUM(Assumptions!M25:P25)</f>
        <v>229</v>
      </c>
      <c r="L8" s="9"/>
    </row>
    <row r="9" spans="2:13" ht="14.25" customHeight="1" x14ac:dyDescent="0.25">
      <c r="B9" s="10" t="s">
        <v>20</v>
      </c>
      <c r="C9" s="8" t="s">
        <v>21</v>
      </c>
      <c r="D9" s="8" t="s">
        <v>22</v>
      </c>
      <c r="E9" s="10" t="s">
        <v>335</v>
      </c>
      <c r="F9" s="10" t="s">
        <v>24</v>
      </c>
      <c r="G9" s="29" t="s">
        <v>1553</v>
      </c>
      <c r="H9" s="17" t="s">
        <v>339</v>
      </c>
      <c r="I9" s="26">
        <v>44980</v>
      </c>
      <c r="J9" s="34">
        <f>SUM(Assumptions!M26:P26)</f>
        <v>187</v>
      </c>
      <c r="L9" s="9"/>
    </row>
    <row r="10" spans="2:13" ht="14.25" customHeight="1" x14ac:dyDescent="0.25">
      <c r="B10" s="10" t="s">
        <v>25</v>
      </c>
      <c r="C10" s="8" t="s">
        <v>26</v>
      </c>
      <c r="D10" s="8" t="s">
        <v>27</v>
      </c>
      <c r="E10" s="23" t="s">
        <v>343</v>
      </c>
      <c r="F10" s="10" t="s">
        <v>24</v>
      </c>
      <c r="G10" s="29" t="s">
        <v>1554</v>
      </c>
      <c r="H10" s="24" t="s">
        <v>345</v>
      </c>
      <c r="I10" s="26">
        <v>44987</v>
      </c>
      <c r="J10" s="34">
        <f>SUM(Assumptions!M27:P27)</f>
        <v>181</v>
      </c>
      <c r="L10" s="9"/>
    </row>
    <row r="11" spans="2:13" ht="14.25" customHeight="1" x14ac:dyDescent="0.25">
      <c r="B11" s="10" t="s">
        <v>29</v>
      </c>
      <c r="C11" s="8" t="s">
        <v>30</v>
      </c>
      <c r="D11" s="8" t="s">
        <v>31</v>
      </c>
      <c r="E11" s="24" t="s">
        <v>340</v>
      </c>
      <c r="F11" s="10" t="s">
        <v>24</v>
      </c>
      <c r="G11" s="29" t="s">
        <v>1555</v>
      </c>
      <c r="H11" s="10" t="s">
        <v>33</v>
      </c>
      <c r="I11" s="26">
        <v>45001</v>
      </c>
      <c r="J11" s="34">
        <f>SUM(Assumptions!M28:P28)</f>
        <v>209</v>
      </c>
      <c r="L11" s="9"/>
    </row>
    <row r="12" spans="2:13" ht="14.25" customHeight="1" x14ac:dyDescent="0.25">
      <c r="B12" s="10" t="s">
        <v>34</v>
      </c>
      <c r="C12" s="8" t="s">
        <v>35</v>
      </c>
      <c r="D12" s="8" t="s">
        <v>36</v>
      </c>
      <c r="E12" s="23" t="s">
        <v>342</v>
      </c>
      <c r="F12" s="10" t="s">
        <v>11</v>
      </c>
      <c r="G12" s="29" t="s">
        <v>1556</v>
      </c>
      <c r="H12" s="10" t="s">
        <v>13</v>
      </c>
      <c r="I12" s="26">
        <v>45015</v>
      </c>
      <c r="J12" s="34">
        <f>SUM(Assumptions!M29:P29)</f>
        <v>229</v>
      </c>
      <c r="L12" s="9"/>
    </row>
    <row r="13" spans="2:13" ht="14.25" customHeight="1" x14ac:dyDescent="0.25">
      <c r="B13" s="10" t="s">
        <v>37</v>
      </c>
      <c r="C13" s="8" t="s">
        <v>38</v>
      </c>
      <c r="D13" s="8" t="s">
        <v>39</v>
      </c>
      <c r="E13" s="10" t="s">
        <v>23</v>
      </c>
      <c r="F13" s="10" t="s">
        <v>24</v>
      </c>
      <c r="G13" s="29" t="s">
        <v>1559</v>
      </c>
      <c r="H13" s="10" t="s">
        <v>19</v>
      </c>
      <c r="I13" s="26">
        <v>45022</v>
      </c>
      <c r="J13" s="34">
        <f>SUM(Assumptions!M30:P30)</f>
        <v>211</v>
      </c>
      <c r="L13" s="9"/>
    </row>
    <row r="14" spans="2:13" ht="14.25" customHeight="1" x14ac:dyDescent="0.25">
      <c r="B14" s="10" t="s">
        <v>40</v>
      </c>
      <c r="C14" s="8" t="s">
        <v>41</v>
      </c>
      <c r="D14" s="8" t="s">
        <v>42</v>
      </c>
      <c r="E14" s="10" t="s">
        <v>17</v>
      </c>
      <c r="F14" s="10" t="s">
        <v>11</v>
      </c>
      <c r="G14" s="29" t="s">
        <v>1557</v>
      </c>
      <c r="H14" s="10" t="s">
        <v>43</v>
      </c>
      <c r="I14" s="26">
        <v>45036</v>
      </c>
      <c r="J14" s="34">
        <f>SUM(Assumptions!M31:P31)</f>
        <v>245</v>
      </c>
      <c r="L14" s="9"/>
    </row>
    <row r="15" spans="2:13" ht="14.25" customHeight="1" x14ac:dyDescent="0.25">
      <c r="B15" s="10" t="s">
        <v>44</v>
      </c>
      <c r="C15" s="8" t="s">
        <v>45</v>
      </c>
      <c r="D15" s="8" t="s">
        <v>46</v>
      </c>
      <c r="E15" s="10" t="s">
        <v>10</v>
      </c>
      <c r="F15" s="10" t="s">
        <v>11</v>
      </c>
      <c r="G15" s="29" t="s">
        <v>1558</v>
      </c>
      <c r="H15" s="17" t="s">
        <v>339</v>
      </c>
      <c r="I15" s="26">
        <v>45057</v>
      </c>
      <c r="J15" s="34">
        <f>SUM(Assumptions!M32:P32)</f>
        <v>223</v>
      </c>
      <c r="L15" s="9"/>
    </row>
    <row r="16" spans="2:13" ht="14.25" customHeight="1" x14ac:dyDescent="0.25">
      <c r="B16" s="10" t="s">
        <v>47</v>
      </c>
      <c r="C16" s="8" t="s">
        <v>48</v>
      </c>
      <c r="D16" s="8" t="s">
        <v>49</v>
      </c>
      <c r="E16" s="23" t="s">
        <v>344</v>
      </c>
      <c r="F16" s="10" t="s">
        <v>11</v>
      </c>
      <c r="G16" s="29" t="s">
        <v>1560</v>
      </c>
      <c r="H16" s="24" t="s">
        <v>345</v>
      </c>
      <c r="I16" s="26">
        <v>45071</v>
      </c>
      <c r="J16" s="34">
        <f>SUM(Assumptions!M33:P33)</f>
        <v>214</v>
      </c>
      <c r="L16" s="9"/>
    </row>
    <row r="17" spans="2:12" ht="14.25" customHeight="1" x14ac:dyDescent="0.25">
      <c r="B17" s="10" t="s">
        <v>50</v>
      </c>
      <c r="C17" s="8" t="s">
        <v>51</v>
      </c>
      <c r="D17" s="8" t="s">
        <v>52</v>
      </c>
      <c r="E17" s="23" t="s">
        <v>344</v>
      </c>
      <c r="F17" s="10" t="s">
        <v>24</v>
      </c>
      <c r="G17" s="29" t="s">
        <v>1561</v>
      </c>
      <c r="H17" s="10" t="s">
        <v>33</v>
      </c>
      <c r="I17" s="26">
        <v>45085</v>
      </c>
      <c r="J17" s="34">
        <f>SUM(Assumptions!M34:P34)</f>
        <v>221</v>
      </c>
      <c r="L17" s="9"/>
    </row>
    <row r="18" spans="2:12" ht="14.25" customHeight="1" x14ac:dyDescent="0.25">
      <c r="B18" s="10" t="s">
        <v>53</v>
      </c>
      <c r="C18" s="8" t="s">
        <v>54</v>
      </c>
      <c r="D18" s="8" t="s">
        <v>55</v>
      </c>
      <c r="E18" s="10" t="s">
        <v>10</v>
      </c>
      <c r="F18" s="10" t="s">
        <v>24</v>
      </c>
      <c r="G18" s="29" t="s">
        <v>1561</v>
      </c>
      <c r="H18" s="10" t="s">
        <v>13</v>
      </c>
      <c r="I18" s="26">
        <v>45099</v>
      </c>
      <c r="J18" s="34">
        <f>SUM(Assumptions!M35:P35)</f>
        <v>224</v>
      </c>
      <c r="L18" s="9"/>
    </row>
    <row r="19" spans="2:12" ht="14.25" customHeight="1" x14ac:dyDescent="0.25">
      <c r="B19" s="10" t="s">
        <v>56</v>
      </c>
      <c r="C19" s="8" t="s">
        <v>57</v>
      </c>
      <c r="D19" s="8" t="s">
        <v>58</v>
      </c>
      <c r="E19" s="24" t="s">
        <v>17</v>
      </c>
      <c r="F19" s="10" t="s">
        <v>24</v>
      </c>
      <c r="G19" s="29" t="s">
        <v>1560</v>
      </c>
      <c r="H19" s="10" t="s">
        <v>19</v>
      </c>
      <c r="I19" s="26">
        <v>45113</v>
      </c>
      <c r="J19" s="34">
        <f>SUM(Assumptions!M36:P36)</f>
        <v>222</v>
      </c>
      <c r="L19" s="9"/>
    </row>
    <row r="20" spans="2:12" ht="14.25" customHeight="1" x14ac:dyDescent="0.25">
      <c r="B20" s="10" t="s">
        <v>59</v>
      </c>
      <c r="C20" s="8" t="s">
        <v>60</v>
      </c>
      <c r="D20" s="8" t="s">
        <v>61</v>
      </c>
      <c r="E20" s="10" t="s">
        <v>23</v>
      </c>
      <c r="F20" s="10" t="s">
        <v>24</v>
      </c>
      <c r="G20" s="29" t="s">
        <v>1558</v>
      </c>
      <c r="H20" s="10" t="s">
        <v>43</v>
      </c>
      <c r="I20" s="26">
        <v>45127</v>
      </c>
      <c r="J20" s="34">
        <f>SUM(Assumptions!M37:P37)</f>
        <v>218</v>
      </c>
      <c r="L20" s="9"/>
    </row>
    <row r="21" spans="2:12" ht="14.25" customHeight="1" x14ac:dyDescent="0.25">
      <c r="B21" s="10" t="s">
        <v>62</v>
      </c>
      <c r="C21" s="8" t="s">
        <v>63</v>
      </c>
      <c r="D21" s="8" t="s">
        <v>64</v>
      </c>
      <c r="E21" s="10" t="s">
        <v>342</v>
      </c>
      <c r="F21" s="10" t="s">
        <v>24</v>
      </c>
      <c r="G21" s="29" t="s">
        <v>1557</v>
      </c>
      <c r="H21" s="17" t="s">
        <v>339</v>
      </c>
      <c r="I21" s="26">
        <v>45148</v>
      </c>
      <c r="J21" s="34">
        <f>SUM(Assumptions!M38:P38)</f>
        <v>190</v>
      </c>
      <c r="L21" s="9"/>
    </row>
    <row r="22" spans="2:12" ht="14.25" customHeight="1" x14ac:dyDescent="0.25">
      <c r="B22" s="10" t="s">
        <v>65</v>
      </c>
      <c r="C22" s="8" t="s">
        <v>66</v>
      </c>
      <c r="D22" s="8" t="s">
        <v>67</v>
      </c>
      <c r="E22" s="24" t="s">
        <v>340</v>
      </c>
      <c r="F22" s="10" t="s">
        <v>24</v>
      </c>
      <c r="G22" s="29" t="s">
        <v>1559</v>
      </c>
      <c r="H22" s="24" t="s">
        <v>345</v>
      </c>
      <c r="I22" s="26">
        <v>45162</v>
      </c>
      <c r="J22" s="34">
        <f>SUM(Assumptions!M39:P39)</f>
        <v>183</v>
      </c>
      <c r="L22" s="9"/>
    </row>
    <row r="23" spans="2:12" ht="14.25" customHeight="1" x14ac:dyDescent="0.25">
      <c r="B23" s="10" t="s">
        <v>68</v>
      </c>
      <c r="C23" s="8" t="s">
        <v>69</v>
      </c>
      <c r="D23" s="8" t="s">
        <v>70</v>
      </c>
      <c r="E23" s="10" t="s">
        <v>343</v>
      </c>
      <c r="F23" s="10" t="s">
        <v>11</v>
      </c>
      <c r="G23" s="29" t="s">
        <v>1556</v>
      </c>
      <c r="H23" s="10" t="s">
        <v>33</v>
      </c>
      <c r="I23" s="26">
        <v>45176</v>
      </c>
      <c r="J23" s="34">
        <f>SUM(Assumptions!M40:P40)</f>
        <v>236</v>
      </c>
      <c r="L23" s="9"/>
    </row>
    <row r="24" spans="2:12" ht="14.25" customHeight="1" x14ac:dyDescent="0.25">
      <c r="B24" s="10" t="s">
        <v>71</v>
      </c>
      <c r="C24" s="8" t="s">
        <v>72</v>
      </c>
      <c r="D24" s="8" t="s">
        <v>73</v>
      </c>
      <c r="E24" s="10" t="s">
        <v>335</v>
      </c>
      <c r="F24" s="10" t="s">
        <v>11</v>
      </c>
      <c r="G24" s="29" t="s">
        <v>1555</v>
      </c>
      <c r="H24" s="10" t="s">
        <v>13</v>
      </c>
      <c r="I24" s="26">
        <v>45190</v>
      </c>
      <c r="J24" s="34">
        <f>SUM(Assumptions!M41:P41)</f>
        <v>233</v>
      </c>
      <c r="L24" s="9"/>
    </row>
    <row r="25" spans="2:12" ht="14.25" customHeight="1" x14ac:dyDescent="0.25">
      <c r="B25" s="10" t="s">
        <v>74</v>
      </c>
      <c r="C25" s="8" t="s">
        <v>75</v>
      </c>
      <c r="D25" s="8" t="s">
        <v>76</v>
      </c>
      <c r="E25" s="10" t="s">
        <v>338</v>
      </c>
      <c r="F25" s="10" t="s">
        <v>24</v>
      </c>
      <c r="G25" s="29" t="s">
        <v>1554</v>
      </c>
      <c r="H25" s="10" t="s">
        <v>19</v>
      </c>
      <c r="I25" s="26">
        <v>45204</v>
      </c>
      <c r="J25" s="34">
        <f>SUM(Assumptions!M42:P42)</f>
        <v>205</v>
      </c>
      <c r="L25" s="9"/>
    </row>
    <row r="26" spans="2:12" ht="14.25" customHeight="1" x14ac:dyDescent="0.25">
      <c r="B26" s="10" t="s">
        <v>77</v>
      </c>
      <c r="C26" s="8" t="s">
        <v>78</v>
      </c>
      <c r="D26" s="8" t="s">
        <v>79</v>
      </c>
      <c r="E26" s="23" t="s">
        <v>337</v>
      </c>
      <c r="F26" s="10" t="s">
        <v>24</v>
      </c>
      <c r="G26" s="29" t="s">
        <v>1553</v>
      </c>
      <c r="H26" s="10" t="s">
        <v>43</v>
      </c>
      <c r="I26" s="26">
        <v>45218</v>
      </c>
      <c r="J26" s="34">
        <f>SUM(Assumptions!M43:P43)</f>
        <v>210</v>
      </c>
      <c r="L26" s="9"/>
    </row>
    <row r="27" spans="2:12" ht="14.25" customHeight="1" x14ac:dyDescent="0.25">
      <c r="B27" s="10" t="s">
        <v>80</v>
      </c>
      <c r="C27" s="8" t="s">
        <v>81</v>
      </c>
      <c r="D27" s="8" t="s">
        <v>82</v>
      </c>
      <c r="E27" s="23" t="s">
        <v>343</v>
      </c>
      <c r="F27" s="10" t="s">
        <v>11</v>
      </c>
      <c r="G27" s="29" t="s">
        <v>1552</v>
      </c>
      <c r="H27" s="17" t="s">
        <v>339</v>
      </c>
      <c r="I27" s="26">
        <v>45239</v>
      </c>
      <c r="J27" s="34">
        <f>SUM(Assumptions!M44:P44)</f>
        <v>201</v>
      </c>
      <c r="L27" s="9"/>
    </row>
    <row r="28" spans="2:12" ht="14.25" customHeight="1" x14ac:dyDescent="0.25">
      <c r="B28" s="10" t="s">
        <v>83</v>
      </c>
      <c r="C28" s="8" t="s">
        <v>84</v>
      </c>
      <c r="D28" s="8" t="s">
        <v>85</v>
      </c>
      <c r="E28" s="24" t="s">
        <v>340</v>
      </c>
      <c r="F28" s="10" t="s">
        <v>11</v>
      </c>
      <c r="G28" s="30" t="s">
        <v>12</v>
      </c>
      <c r="H28" s="24" t="s">
        <v>345</v>
      </c>
      <c r="I28" s="26">
        <v>45253</v>
      </c>
      <c r="J28" s="34">
        <f>SUM(Assumptions!M45:P45)</f>
        <v>163</v>
      </c>
      <c r="L28" s="9"/>
    </row>
    <row r="29" spans="2:12" ht="14.25" customHeight="1" x14ac:dyDescent="0.25">
      <c r="B29" s="10" t="s">
        <v>86</v>
      </c>
      <c r="C29" s="8" t="s">
        <v>87</v>
      </c>
      <c r="D29" s="8" t="s">
        <v>88</v>
      </c>
      <c r="E29" s="10" t="s">
        <v>10</v>
      </c>
      <c r="F29" s="10" t="s">
        <v>11</v>
      </c>
      <c r="G29" s="30" t="s">
        <v>12</v>
      </c>
      <c r="H29" s="10" t="s">
        <v>33</v>
      </c>
      <c r="I29" s="26">
        <v>45267</v>
      </c>
      <c r="J29" s="34">
        <f>SUM(Assumptions!M46:P46)</f>
        <v>205</v>
      </c>
      <c r="L29" s="9"/>
    </row>
    <row r="30" spans="2:12" ht="14.25" customHeight="1" x14ac:dyDescent="0.25">
      <c r="B30" s="10" t="s">
        <v>89</v>
      </c>
      <c r="C30" s="8" t="s">
        <v>90</v>
      </c>
      <c r="D30" s="8" t="s">
        <v>91</v>
      </c>
      <c r="E30" s="23" t="s">
        <v>344</v>
      </c>
      <c r="F30" s="10" t="s">
        <v>24</v>
      </c>
      <c r="G30" s="29" t="s">
        <v>1552</v>
      </c>
      <c r="H30" s="10" t="s">
        <v>13</v>
      </c>
      <c r="I30" s="26">
        <v>45281</v>
      </c>
      <c r="J30" s="34">
        <f>SUM(Assumptions!M47:P47)</f>
        <v>198</v>
      </c>
      <c r="L30" s="9"/>
    </row>
    <row r="31" spans="2:12" ht="14.25" customHeight="1" x14ac:dyDescent="0.25">
      <c r="B31" s="10" t="s">
        <v>92</v>
      </c>
      <c r="C31" s="8" t="s">
        <v>93</v>
      </c>
      <c r="D31" s="8" t="s">
        <v>94</v>
      </c>
      <c r="E31" s="24" t="s">
        <v>338</v>
      </c>
      <c r="F31" s="10" t="s">
        <v>11</v>
      </c>
      <c r="G31" s="29" t="s">
        <v>1555</v>
      </c>
      <c r="H31" s="10" t="s">
        <v>19</v>
      </c>
      <c r="I31" s="26">
        <v>45302</v>
      </c>
      <c r="J31" s="34">
        <f>SUM(Assumptions!M48:P48)</f>
        <v>231</v>
      </c>
      <c r="L31" s="9"/>
    </row>
    <row r="32" spans="2:12" ht="14.25" customHeight="1" x14ac:dyDescent="0.25">
      <c r="B32" s="10" t="s">
        <v>95</v>
      </c>
      <c r="C32" s="8" t="s">
        <v>96</v>
      </c>
      <c r="D32" s="8" t="s">
        <v>97</v>
      </c>
      <c r="E32" s="23" t="s">
        <v>23</v>
      </c>
      <c r="F32" s="10" t="s">
        <v>11</v>
      </c>
      <c r="G32" s="29" t="s">
        <v>1557</v>
      </c>
      <c r="H32" s="10" t="s">
        <v>43</v>
      </c>
      <c r="I32" s="26">
        <v>45316</v>
      </c>
      <c r="J32" s="34">
        <f>SUM(Assumptions!M49:P49)</f>
        <v>240</v>
      </c>
      <c r="L32" s="9"/>
    </row>
    <row r="33" spans="2:12" ht="14.25" customHeight="1" x14ac:dyDescent="0.25">
      <c r="B33" s="10" t="s">
        <v>98</v>
      </c>
      <c r="C33" s="8" t="s">
        <v>99</v>
      </c>
      <c r="D33" s="8" t="s">
        <v>100</v>
      </c>
      <c r="E33" s="10" t="s">
        <v>17</v>
      </c>
      <c r="F33" s="10" t="s">
        <v>24</v>
      </c>
      <c r="G33" s="29" t="s">
        <v>1560</v>
      </c>
      <c r="H33" s="17" t="s">
        <v>339</v>
      </c>
      <c r="I33" s="26">
        <v>45330</v>
      </c>
      <c r="J33" s="34">
        <f>SUM(Assumptions!M50:P50)</f>
        <v>199</v>
      </c>
      <c r="L33" s="9"/>
    </row>
    <row r="34" spans="2:12" ht="14.25" customHeight="1" x14ac:dyDescent="0.25">
      <c r="B34" s="10" t="s">
        <v>101</v>
      </c>
      <c r="C34" s="8" t="s">
        <v>102</v>
      </c>
      <c r="D34" s="8" t="s">
        <v>103</v>
      </c>
      <c r="E34" s="10" t="s">
        <v>10</v>
      </c>
      <c r="F34" s="10" t="s">
        <v>11</v>
      </c>
      <c r="G34" s="29" t="s">
        <v>1553</v>
      </c>
      <c r="H34" s="24" t="s">
        <v>345</v>
      </c>
      <c r="I34" s="26">
        <v>45344</v>
      </c>
      <c r="J34" s="34">
        <f>SUM(Assumptions!M51:P51)</f>
        <v>216</v>
      </c>
      <c r="L34" s="9"/>
    </row>
    <row r="35" spans="2:12" ht="14.25" customHeight="1" x14ac:dyDescent="0.25">
      <c r="B35" s="10" t="s">
        <v>104</v>
      </c>
      <c r="C35" s="8" t="s">
        <v>105</v>
      </c>
      <c r="D35" s="8" t="s">
        <v>106</v>
      </c>
      <c r="E35" s="10" t="s">
        <v>337</v>
      </c>
      <c r="F35" s="10" t="s">
        <v>24</v>
      </c>
      <c r="G35" s="29" t="s">
        <v>1556</v>
      </c>
      <c r="H35" s="10" t="s">
        <v>33</v>
      </c>
      <c r="I35" s="26">
        <v>45358</v>
      </c>
      <c r="J35" s="34">
        <f>SUM(Assumptions!M52:P52)</f>
        <v>218</v>
      </c>
      <c r="L35" s="9"/>
    </row>
    <row r="36" spans="2:12" ht="14.25" customHeight="1" x14ac:dyDescent="0.25">
      <c r="B36" s="10" t="s">
        <v>107</v>
      </c>
      <c r="C36" s="8" t="s">
        <v>108</v>
      </c>
      <c r="D36" s="8" t="s">
        <v>109</v>
      </c>
      <c r="E36" s="23" t="s">
        <v>338</v>
      </c>
      <c r="F36" s="10" t="s">
        <v>11</v>
      </c>
      <c r="G36" s="29" t="s">
        <v>1558</v>
      </c>
      <c r="H36" s="10" t="s">
        <v>13</v>
      </c>
      <c r="I36" s="26">
        <v>45372</v>
      </c>
      <c r="J36" s="34">
        <f>SUM(Assumptions!M53:P53)</f>
        <v>236</v>
      </c>
      <c r="L36" s="9"/>
    </row>
    <row r="37" spans="2:12" ht="14.25" customHeight="1" x14ac:dyDescent="0.25">
      <c r="B37" s="10" t="s">
        <v>110</v>
      </c>
      <c r="C37" s="8" t="s">
        <v>111</v>
      </c>
      <c r="D37" s="8" t="s">
        <v>112</v>
      </c>
      <c r="E37" s="23" t="s">
        <v>338</v>
      </c>
      <c r="F37" s="10" t="s">
        <v>24</v>
      </c>
      <c r="G37" s="29" t="s">
        <v>1561</v>
      </c>
      <c r="H37" s="10" t="s">
        <v>19</v>
      </c>
      <c r="I37" s="26">
        <v>45386</v>
      </c>
      <c r="J37" s="34">
        <f>SUM(Assumptions!M54:P54)</f>
        <v>218</v>
      </c>
      <c r="L37" s="9"/>
    </row>
    <row r="38" spans="2:12" ht="14.25" customHeight="1" x14ac:dyDescent="0.25">
      <c r="B38" s="10" t="s">
        <v>113</v>
      </c>
      <c r="C38" s="8" t="s">
        <v>114</v>
      </c>
      <c r="D38" s="8" t="s">
        <v>115</v>
      </c>
      <c r="E38" s="24" t="s">
        <v>335</v>
      </c>
      <c r="F38" s="10" t="s">
        <v>11</v>
      </c>
      <c r="G38" s="29" t="s">
        <v>1554</v>
      </c>
      <c r="H38" s="10" t="s">
        <v>43</v>
      </c>
      <c r="I38" s="26">
        <v>45400</v>
      </c>
      <c r="J38" s="34">
        <f>SUM(Assumptions!M55:P55)</f>
        <v>234</v>
      </c>
      <c r="L38" s="9"/>
    </row>
    <row r="39" spans="2:12" ht="14.25" customHeight="1" x14ac:dyDescent="0.25">
      <c r="B39" s="10" t="s">
        <v>116</v>
      </c>
      <c r="C39" s="8" t="s">
        <v>117</v>
      </c>
      <c r="D39" s="8" t="s">
        <v>118</v>
      </c>
      <c r="E39" s="10" t="s">
        <v>335</v>
      </c>
      <c r="F39" s="10" t="s">
        <v>24</v>
      </c>
      <c r="G39" s="29" t="s">
        <v>1559</v>
      </c>
      <c r="H39" s="17" t="s">
        <v>339</v>
      </c>
      <c r="I39" s="26">
        <v>45414</v>
      </c>
      <c r="J39" s="34">
        <f>SUM(Assumptions!M56:P56)</f>
        <v>191</v>
      </c>
      <c r="L39" s="9"/>
    </row>
    <row r="40" spans="2:12" ht="14.25" customHeight="1" x14ac:dyDescent="0.25">
      <c r="B40" s="10" t="s">
        <v>119</v>
      </c>
      <c r="C40" s="8" t="s">
        <v>120</v>
      </c>
      <c r="D40" s="8" t="s">
        <v>121</v>
      </c>
      <c r="E40" s="23" t="s">
        <v>342</v>
      </c>
      <c r="F40" s="10" t="s">
        <v>24</v>
      </c>
      <c r="G40" s="29" t="s">
        <v>1554</v>
      </c>
      <c r="H40" s="24" t="s">
        <v>345</v>
      </c>
      <c r="I40" s="26">
        <v>45428</v>
      </c>
      <c r="J40" s="34">
        <f>SUM(Assumptions!M57:P57)</f>
        <v>183</v>
      </c>
      <c r="L40" s="9"/>
    </row>
    <row r="41" spans="2:12" ht="14.25" customHeight="1" x14ac:dyDescent="0.25">
      <c r="B41" s="10" t="s">
        <v>122</v>
      </c>
      <c r="C41" s="8" t="s">
        <v>123</v>
      </c>
      <c r="D41" s="8" t="s">
        <v>124</v>
      </c>
      <c r="E41" s="24" t="s">
        <v>342</v>
      </c>
      <c r="F41" s="10" t="s">
        <v>24</v>
      </c>
      <c r="G41" s="29" t="s">
        <v>1559</v>
      </c>
      <c r="H41" s="10" t="s">
        <v>33</v>
      </c>
      <c r="I41" s="26">
        <v>45442</v>
      </c>
      <c r="J41" s="34">
        <f>SUM(Assumptions!M58:P58)</f>
        <v>216</v>
      </c>
      <c r="L41" s="9"/>
    </row>
    <row r="42" spans="2:12" ht="14.25" customHeight="1" x14ac:dyDescent="0.25">
      <c r="B42" s="10" t="s">
        <v>125</v>
      </c>
      <c r="C42" s="8" t="s">
        <v>126</v>
      </c>
      <c r="D42" s="8" t="s">
        <v>127</v>
      </c>
      <c r="E42" s="23" t="s">
        <v>10</v>
      </c>
      <c r="F42" s="10" t="s">
        <v>11</v>
      </c>
      <c r="G42" s="29" t="s">
        <v>1553</v>
      </c>
      <c r="H42" s="10" t="s">
        <v>13</v>
      </c>
      <c r="I42" s="26">
        <v>45449</v>
      </c>
      <c r="J42" s="34">
        <f>SUM(Assumptions!M59:P59)</f>
        <v>235</v>
      </c>
      <c r="L42" s="9"/>
    </row>
    <row r="43" spans="2:12" ht="14.25" customHeight="1" x14ac:dyDescent="0.25">
      <c r="B43" s="10" t="s">
        <v>128</v>
      </c>
      <c r="C43" s="8" t="s">
        <v>129</v>
      </c>
      <c r="D43" s="8" t="s">
        <v>130</v>
      </c>
      <c r="E43" s="10" t="s">
        <v>17</v>
      </c>
      <c r="F43" s="10" t="s">
        <v>24</v>
      </c>
      <c r="G43" s="29" t="s">
        <v>1556</v>
      </c>
      <c r="H43" s="10" t="s">
        <v>19</v>
      </c>
      <c r="I43" s="26">
        <v>45463</v>
      </c>
      <c r="J43" s="34">
        <f>SUM(Assumptions!M60:P60)</f>
        <v>215</v>
      </c>
      <c r="L43" s="9"/>
    </row>
    <row r="44" spans="2:12" ht="14.25" customHeight="1" x14ac:dyDescent="0.25">
      <c r="B44" s="10" t="s">
        <v>131</v>
      </c>
      <c r="C44" s="8" t="s">
        <v>132</v>
      </c>
      <c r="D44" s="8" t="s">
        <v>133</v>
      </c>
      <c r="E44" s="10" t="s">
        <v>10</v>
      </c>
      <c r="F44" s="10" t="s">
        <v>11</v>
      </c>
      <c r="G44" s="29" t="s">
        <v>1558</v>
      </c>
      <c r="H44" s="10" t="s">
        <v>43</v>
      </c>
      <c r="I44" s="26">
        <v>45477</v>
      </c>
      <c r="J44" s="34">
        <f>SUM(Assumptions!M61:P61)</f>
        <v>248</v>
      </c>
      <c r="L44" s="9"/>
    </row>
    <row r="45" spans="2:12" ht="14.25" customHeight="1" x14ac:dyDescent="0.25">
      <c r="B45" s="10" t="s">
        <v>134</v>
      </c>
      <c r="C45" s="8" t="s">
        <v>135</v>
      </c>
      <c r="D45" s="8" t="s">
        <v>136</v>
      </c>
      <c r="E45" s="10" t="s">
        <v>23</v>
      </c>
      <c r="F45" s="10" t="s">
        <v>24</v>
      </c>
      <c r="G45" s="29" t="s">
        <v>1561</v>
      </c>
      <c r="H45" s="17" t="s">
        <v>339</v>
      </c>
      <c r="I45" s="26">
        <v>45491</v>
      </c>
      <c r="J45" s="34">
        <f>SUM(Assumptions!M62:P62)</f>
        <v>196</v>
      </c>
      <c r="L45" s="9"/>
    </row>
    <row r="46" spans="2:12" ht="14.25" customHeight="1" x14ac:dyDescent="0.25">
      <c r="B46" s="10" t="s">
        <v>137</v>
      </c>
      <c r="C46" s="8" t="s">
        <v>138</v>
      </c>
      <c r="D46" s="8" t="s">
        <v>139</v>
      </c>
      <c r="E46" s="23" t="s">
        <v>17</v>
      </c>
      <c r="F46" s="10" t="s">
        <v>11</v>
      </c>
      <c r="G46" s="29" t="s">
        <v>1552</v>
      </c>
      <c r="H46" s="24" t="s">
        <v>345</v>
      </c>
      <c r="I46" s="26">
        <v>45505</v>
      </c>
      <c r="J46" s="34">
        <f>SUM(Assumptions!M63:P63)</f>
        <v>212</v>
      </c>
      <c r="L46" s="9"/>
    </row>
    <row r="47" spans="2:12" ht="14.25" customHeight="1" x14ac:dyDescent="0.25">
      <c r="B47" s="10" t="s">
        <v>140</v>
      </c>
      <c r="C47" s="8" t="s">
        <v>141</v>
      </c>
      <c r="D47" s="8" t="s">
        <v>142</v>
      </c>
      <c r="E47" s="23" t="s">
        <v>337</v>
      </c>
      <c r="F47" s="10" t="s">
        <v>24</v>
      </c>
      <c r="G47" s="29" t="s">
        <v>1555</v>
      </c>
      <c r="H47" s="10" t="s">
        <v>33</v>
      </c>
      <c r="I47" s="26">
        <v>45519</v>
      </c>
      <c r="J47" s="34">
        <f>SUM(Assumptions!M64:P64)</f>
        <v>217</v>
      </c>
      <c r="L47" s="9"/>
    </row>
    <row r="48" spans="2:12" ht="14.25" customHeight="1" x14ac:dyDescent="0.25">
      <c r="B48" s="10" t="s">
        <v>143</v>
      </c>
      <c r="C48" s="8" t="s">
        <v>144</v>
      </c>
      <c r="D48" s="8" t="s">
        <v>145</v>
      </c>
      <c r="E48" s="24" t="s">
        <v>338</v>
      </c>
      <c r="F48" s="10" t="s">
        <v>11</v>
      </c>
      <c r="G48" s="29" t="s">
        <v>1557</v>
      </c>
      <c r="H48" s="10" t="s">
        <v>13</v>
      </c>
      <c r="I48" s="26">
        <v>45533</v>
      </c>
      <c r="J48" s="34">
        <f>SUM(Assumptions!M65:P65)</f>
        <v>235</v>
      </c>
      <c r="L48" s="9"/>
    </row>
    <row r="49" spans="2:12" ht="14.25" customHeight="1" x14ac:dyDescent="0.25">
      <c r="B49" s="10" t="s">
        <v>146</v>
      </c>
      <c r="C49" s="8" t="s">
        <v>147</v>
      </c>
      <c r="D49" s="8" t="s">
        <v>148</v>
      </c>
      <c r="E49" s="10" t="s">
        <v>335</v>
      </c>
      <c r="F49" s="10" t="s">
        <v>11</v>
      </c>
      <c r="G49" s="29" t="s">
        <v>1560</v>
      </c>
      <c r="H49" s="10" t="s">
        <v>19</v>
      </c>
      <c r="I49" s="26">
        <v>45540</v>
      </c>
      <c r="J49" s="34">
        <f>SUM(Assumptions!M66:P66)</f>
        <v>243</v>
      </c>
      <c r="L49" s="9"/>
    </row>
    <row r="50" spans="2:12" ht="14.25" customHeight="1" x14ac:dyDescent="0.25">
      <c r="B50" s="10" t="s">
        <v>149</v>
      </c>
      <c r="C50" s="8" t="s">
        <v>150</v>
      </c>
      <c r="D50" s="8" t="s">
        <v>151</v>
      </c>
      <c r="E50" s="23" t="s">
        <v>342</v>
      </c>
      <c r="F50" s="10" t="s">
        <v>24</v>
      </c>
      <c r="G50" s="30" t="s">
        <v>12</v>
      </c>
      <c r="H50" s="10" t="s">
        <v>43</v>
      </c>
      <c r="I50" s="26">
        <v>45554</v>
      </c>
      <c r="J50" s="34">
        <f>SUM(Assumptions!M67:P67)</f>
        <v>168</v>
      </c>
      <c r="L50" s="9"/>
    </row>
    <row r="51" spans="2:12" ht="14.25" customHeight="1" x14ac:dyDescent="0.25">
      <c r="B51" s="10" t="s">
        <v>152</v>
      </c>
      <c r="C51" s="8" t="s">
        <v>153</v>
      </c>
      <c r="D51" s="8" t="s">
        <v>154</v>
      </c>
      <c r="E51" s="24" t="s">
        <v>23</v>
      </c>
      <c r="F51" s="10" t="s">
        <v>11</v>
      </c>
      <c r="G51" s="30" t="s">
        <v>12</v>
      </c>
      <c r="H51" s="17" t="s">
        <v>339</v>
      </c>
      <c r="I51" s="26">
        <v>45575</v>
      </c>
      <c r="J51" s="34">
        <f>SUM(Assumptions!M68:P68)</f>
        <v>168</v>
      </c>
      <c r="L51" s="9"/>
    </row>
    <row r="52" spans="2:12" ht="14.25" customHeight="1" x14ac:dyDescent="0.25">
      <c r="B52" s="10" t="s">
        <v>155</v>
      </c>
      <c r="C52" s="8" t="s">
        <v>156</v>
      </c>
      <c r="D52" s="8" t="s">
        <v>157</v>
      </c>
      <c r="E52" s="23" t="s">
        <v>17</v>
      </c>
      <c r="F52" s="10" t="s">
        <v>24</v>
      </c>
      <c r="G52" s="29" t="s">
        <v>1552</v>
      </c>
      <c r="H52" s="24" t="s">
        <v>345</v>
      </c>
      <c r="I52" s="26">
        <v>45589</v>
      </c>
      <c r="J52" s="34">
        <f>SUM(Assumptions!M69:P69)</f>
        <v>189</v>
      </c>
      <c r="L52" s="9"/>
    </row>
    <row r="53" spans="2:12" ht="14.25" customHeight="1" x14ac:dyDescent="0.25">
      <c r="B53" s="10" t="s">
        <v>158</v>
      </c>
      <c r="C53" s="8" t="s">
        <v>159</v>
      </c>
      <c r="D53" s="8" t="s">
        <v>160</v>
      </c>
      <c r="E53" s="10" t="s">
        <v>10</v>
      </c>
      <c r="F53" s="10" t="s">
        <v>24</v>
      </c>
      <c r="G53" s="29" t="s">
        <v>1553</v>
      </c>
      <c r="H53" s="10" t="s">
        <v>33</v>
      </c>
      <c r="I53" s="26">
        <v>45603</v>
      </c>
      <c r="J53" s="34">
        <f>SUM(Assumptions!M70:P70)</f>
        <v>221</v>
      </c>
      <c r="L53" s="9"/>
    </row>
    <row r="54" spans="2:12" ht="14.25" customHeight="1" x14ac:dyDescent="0.25">
      <c r="B54" s="10" t="s">
        <v>161</v>
      </c>
      <c r="C54" s="8" t="s">
        <v>162</v>
      </c>
      <c r="D54" s="8" t="s">
        <v>163</v>
      </c>
      <c r="E54" s="10" t="s">
        <v>343</v>
      </c>
      <c r="F54" s="10" t="s">
        <v>11</v>
      </c>
      <c r="G54" s="29" t="s">
        <v>1554</v>
      </c>
      <c r="H54" s="10" t="s">
        <v>13</v>
      </c>
      <c r="I54" s="26">
        <v>45617</v>
      </c>
      <c r="J54" s="34">
        <f>SUM(Assumptions!M71:P71)</f>
        <v>223</v>
      </c>
      <c r="L54" s="9"/>
    </row>
    <row r="55" spans="2:12" ht="14.25" customHeight="1" x14ac:dyDescent="0.25">
      <c r="B55" s="10" t="s">
        <v>164</v>
      </c>
      <c r="C55" s="8" t="s">
        <v>165</v>
      </c>
      <c r="D55" s="8" t="s">
        <v>166</v>
      </c>
      <c r="E55" s="10" t="s">
        <v>340</v>
      </c>
      <c r="F55" s="10" t="s">
        <v>11</v>
      </c>
      <c r="G55" s="29" t="s">
        <v>1555</v>
      </c>
      <c r="H55" s="10" t="s">
        <v>19</v>
      </c>
      <c r="I55" s="26">
        <v>45631</v>
      </c>
      <c r="J55" s="34">
        <f>SUM(Assumptions!M72:P72)</f>
        <v>225</v>
      </c>
      <c r="L55" s="9"/>
    </row>
    <row r="56" spans="2:12" ht="14.25" customHeight="1" x14ac:dyDescent="0.25">
      <c r="B56" s="10" t="s">
        <v>167</v>
      </c>
      <c r="C56" s="8" t="s">
        <v>168</v>
      </c>
      <c r="D56" s="8" t="s">
        <v>169</v>
      </c>
      <c r="E56" s="23" t="s">
        <v>344</v>
      </c>
      <c r="F56" s="10" t="s">
        <v>11</v>
      </c>
      <c r="G56" s="29" t="s">
        <v>1556</v>
      </c>
      <c r="H56" s="10" t="s">
        <v>43</v>
      </c>
      <c r="I56" s="26">
        <v>45645</v>
      </c>
      <c r="J56" s="34">
        <f>SUM(Assumptions!M73:P73)</f>
        <v>230</v>
      </c>
      <c r="L56" s="9"/>
    </row>
    <row r="57" spans="2:12" ht="14.25" customHeight="1" x14ac:dyDescent="0.25">
      <c r="B57" s="10" t="s">
        <v>170</v>
      </c>
      <c r="C57" s="8" t="s">
        <v>171</v>
      </c>
      <c r="D57" s="8" t="s">
        <v>172</v>
      </c>
      <c r="E57" s="23" t="s">
        <v>335</v>
      </c>
      <c r="F57" s="10" t="s">
        <v>11</v>
      </c>
      <c r="G57" s="29" t="s">
        <v>1559</v>
      </c>
      <c r="H57" s="17" t="s">
        <v>339</v>
      </c>
      <c r="I57" s="26">
        <v>45666</v>
      </c>
      <c r="J57" s="34">
        <f>SUM(Assumptions!M74:P74)</f>
        <v>214</v>
      </c>
      <c r="L57" s="9"/>
    </row>
    <row r="58" spans="2:12" ht="14.25" customHeight="1" x14ac:dyDescent="0.25">
      <c r="B58" s="10" t="s">
        <v>173</v>
      </c>
      <c r="C58" s="8" t="s">
        <v>174</v>
      </c>
      <c r="D58" s="8" t="s">
        <v>175</v>
      </c>
      <c r="E58" s="24" t="s">
        <v>343</v>
      </c>
      <c r="F58" s="10" t="s">
        <v>11</v>
      </c>
      <c r="G58" s="29" t="s">
        <v>1557</v>
      </c>
      <c r="H58" s="24" t="s">
        <v>345</v>
      </c>
      <c r="I58" s="26">
        <v>45680</v>
      </c>
      <c r="J58" s="34">
        <f>SUM(Assumptions!M75:P75)</f>
        <v>213</v>
      </c>
      <c r="L58" s="9"/>
    </row>
    <row r="59" spans="2:12" ht="14.25" customHeight="1" x14ac:dyDescent="0.25">
      <c r="B59" s="10" t="s">
        <v>176</v>
      </c>
      <c r="C59" s="8" t="s">
        <v>177</v>
      </c>
      <c r="D59" s="8" t="s">
        <v>178</v>
      </c>
      <c r="E59" s="10" t="s">
        <v>340</v>
      </c>
      <c r="F59" s="10" t="s">
        <v>11</v>
      </c>
      <c r="G59" s="29" t="s">
        <v>1558</v>
      </c>
      <c r="H59" s="10" t="s">
        <v>33</v>
      </c>
      <c r="I59" s="26">
        <v>45694</v>
      </c>
      <c r="J59" s="34">
        <f>SUM(Assumptions!M76:P76)</f>
        <v>239</v>
      </c>
      <c r="L59" s="9"/>
    </row>
    <row r="60" spans="2:12" ht="14.25" customHeight="1" x14ac:dyDescent="0.25">
      <c r="B60" s="10" t="s">
        <v>179</v>
      </c>
      <c r="C60" s="8" t="s">
        <v>180</v>
      </c>
      <c r="D60" s="8" t="s">
        <v>181</v>
      </c>
      <c r="E60" s="23" t="s">
        <v>344</v>
      </c>
      <c r="F60" s="10" t="s">
        <v>24</v>
      </c>
      <c r="G60" s="29" t="s">
        <v>1560</v>
      </c>
      <c r="H60" s="10" t="s">
        <v>13</v>
      </c>
      <c r="I60" s="26">
        <v>45708</v>
      </c>
      <c r="J60" s="34">
        <f>SUM(Assumptions!M77:P77)</f>
        <v>210</v>
      </c>
      <c r="L60" s="9"/>
    </row>
    <row r="61" spans="2:12" ht="14.25" customHeight="1" x14ac:dyDescent="0.25">
      <c r="B61" s="10" t="s">
        <v>182</v>
      </c>
      <c r="C61" s="8" t="s">
        <v>183</v>
      </c>
      <c r="D61" s="8" t="s">
        <v>184</v>
      </c>
      <c r="E61" s="23" t="s">
        <v>337</v>
      </c>
      <c r="F61" s="10" t="s">
        <v>11</v>
      </c>
      <c r="G61" s="29" t="s">
        <v>1561</v>
      </c>
      <c r="H61" s="10" t="s">
        <v>19</v>
      </c>
      <c r="I61" s="26">
        <v>45722</v>
      </c>
      <c r="J61" s="34">
        <f>SUM(Assumptions!M78:P78)</f>
        <v>243</v>
      </c>
      <c r="L61" s="9"/>
    </row>
    <row r="62" spans="2:12" ht="14.25" customHeight="1" x14ac:dyDescent="0.25">
      <c r="B62" s="10" t="s">
        <v>185</v>
      </c>
      <c r="C62" s="8" t="s">
        <v>186</v>
      </c>
      <c r="D62" s="8" t="s">
        <v>187</v>
      </c>
      <c r="E62" s="24" t="s">
        <v>338</v>
      </c>
      <c r="F62" s="10" t="s">
        <v>11</v>
      </c>
      <c r="G62" s="29" t="s">
        <v>1561</v>
      </c>
      <c r="H62" s="10" t="s">
        <v>43</v>
      </c>
      <c r="I62" s="26">
        <v>45736</v>
      </c>
      <c r="J62" s="34">
        <f>SUM(Assumptions!M79:P79)</f>
        <v>243</v>
      </c>
      <c r="L62" s="9"/>
    </row>
    <row r="63" spans="2:12" ht="14.25" customHeight="1" x14ac:dyDescent="0.25">
      <c r="B63" s="10" t="s">
        <v>188</v>
      </c>
      <c r="C63" s="8" t="s">
        <v>189</v>
      </c>
      <c r="D63" s="8" t="s">
        <v>190</v>
      </c>
      <c r="E63" s="10" t="s">
        <v>335</v>
      </c>
      <c r="F63" s="10" t="s">
        <v>11</v>
      </c>
      <c r="G63" s="29" t="s">
        <v>1560</v>
      </c>
      <c r="H63" s="17" t="s">
        <v>339</v>
      </c>
      <c r="I63" s="26">
        <v>45750</v>
      </c>
      <c r="J63" s="34">
        <f>SUM(Assumptions!M80:P80)</f>
        <v>220</v>
      </c>
      <c r="L63" s="9"/>
    </row>
    <row r="64" spans="2:12" ht="14.25" customHeight="1" x14ac:dyDescent="0.25">
      <c r="B64" s="10" t="s">
        <v>191</v>
      </c>
      <c r="C64" s="8" t="s">
        <v>192</v>
      </c>
      <c r="D64" s="8" t="s">
        <v>193</v>
      </c>
      <c r="E64" s="23" t="s">
        <v>343</v>
      </c>
      <c r="F64" s="10" t="s">
        <v>11</v>
      </c>
      <c r="G64" s="29" t="s">
        <v>1558</v>
      </c>
      <c r="H64" s="24" t="s">
        <v>345</v>
      </c>
      <c r="I64" s="26">
        <v>45764</v>
      </c>
      <c r="J64" s="34">
        <f>SUM(Assumptions!M81:P81)</f>
        <v>214</v>
      </c>
      <c r="L64" s="9"/>
    </row>
    <row r="65" spans="2:12" ht="14.25" customHeight="1" x14ac:dyDescent="0.25">
      <c r="B65" s="10" t="s">
        <v>194</v>
      </c>
      <c r="C65" s="8" t="s">
        <v>195</v>
      </c>
      <c r="D65" s="8" t="s">
        <v>196</v>
      </c>
      <c r="E65" s="24" t="s">
        <v>340</v>
      </c>
      <c r="F65" s="10" t="s">
        <v>24</v>
      </c>
      <c r="G65" s="29" t="s">
        <v>1557</v>
      </c>
      <c r="H65" s="10" t="s">
        <v>33</v>
      </c>
      <c r="I65" s="26">
        <v>45785</v>
      </c>
      <c r="J65" s="34">
        <f>SUM(Assumptions!M82:P82)</f>
        <v>215</v>
      </c>
      <c r="L65" s="9"/>
    </row>
    <row r="66" spans="2:12" ht="14.25" customHeight="1" x14ac:dyDescent="0.25">
      <c r="B66" s="10" t="s">
        <v>197</v>
      </c>
      <c r="C66" s="8" t="s">
        <v>198</v>
      </c>
      <c r="D66" s="8" t="s">
        <v>199</v>
      </c>
      <c r="E66" s="23" t="s">
        <v>342</v>
      </c>
      <c r="F66" s="10" t="s">
        <v>11</v>
      </c>
      <c r="G66" s="29" t="s">
        <v>1559</v>
      </c>
      <c r="H66" s="10" t="s">
        <v>13</v>
      </c>
      <c r="I66" s="26">
        <v>45799</v>
      </c>
      <c r="J66" s="34">
        <f>SUM(Assumptions!M83:P83)</f>
        <v>230</v>
      </c>
      <c r="L66" s="9"/>
    </row>
    <row r="67" spans="2:12" ht="14.25" customHeight="1" x14ac:dyDescent="0.25">
      <c r="B67" s="10" t="s">
        <v>200</v>
      </c>
      <c r="C67" s="8" t="s">
        <v>201</v>
      </c>
      <c r="D67" s="8" t="s">
        <v>202</v>
      </c>
      <c r="E67" s="10" t="s">
        <v>23</v>
      </c>
      <c r="F67" s="10" t="s">
        <v>24</v>
      </c>
      <c r="G67" s="29" t="s">
        <v>1556</v>
      </c>
      <c r="H67" s="10" t="s">
        <v>19</v>
      </c>
      <c r="I67" s="26">
        <v>45820</v>
      </c>
      <c r="J67" s="34">
        <f>SUM(Assumptions!M84:P84)</f>
        <v>210</v>
      </c>
      <c r="L67" s="9"/>
    </row>
    <row r="68" spans="2:12" ht="14.25" customHeight="1" x14ac:dyDescent="0.25">
      <c r="B68" s="10" t="s">
        <v>203</v>
      </c>
      <c r="C68" s="8" t="s">
        <v>204</v>
      </c>
      <c r="D68" s="8" t="s">
        <v>205</v>
      </c>
      <c r="E68" s="10" t="s">
        <v>17</v>
      </c>
      <c r="F68" s="10" t="s">
        <v>11</v>
      </c>
      <c r="G68" s="29" t="s">
        <v>1555</v>
      </c>
      <c r="H68" s="10" t="s">
        <v>43</v>
      </c>
      <c r="I68" s="26">
        <v>45834</v>
      </c>
      <c r="J68" s="34">
        <f>SUM(Assumptions!M85:P85)</f>
        <v>239</v>
      </c>
      <c r="L68" s="9"/>
    </row>
    <row r="69" spans="2:12" ht="14.25" customHeight="1" x14ac:dyDescent="0.25">
      <c r="B69" s="10" t="s">
        <v>206</v>
      </c>
      <c r="C69" s="8" t="s">
        <v>207</v>
      </c>
      <c r="D69" s="8" t="s">
        <v>208</v>
      </c>
      <c r="E69" s="10" t="s">
        <v>10</v>
      </c>
      <c r="F69" s="10" t="s">
        <v>24</v>
      </c>
      <c r="G69" s="29" t="s">
        <v>1554</v>
      </c>
      <c r="H69" s="17" t="s">
        <v>339</v>
      </c>
      <c r="I69" s="26">
        <v>45848</v>
      </c>
      <c r="J69" s="34">
        <f>SUM(Assumptions!M86:P86)</f>
        <v>190</v>
      </c>
      <c r="L69" s="9"/>
    </row>
    <row r="70" spans="2:12" ht="14.25" customHeight="1" x14ac:dyDescent="0.25">
      <c r="B70" s="10" t="s">
        <v>209</v>
      </c>
      <c r="C70" s="8" t="s">
        <v>210</v>
      </c>
      <c r="D70" s="8" t="s">
        <v>211</v>
      </c>
      <c r="E70" s="23" t="s">
        <v>344</v>
      </c>
      <c r="F70" s="10" t="s">
        <v>11</v>
      </c>
      <c r="G70" s="29" t="s">
        <v>1553</v>
      </c>
      <c r="H70" s="24" t="s">
        <v>345</v>
      </c>
      <c r="I70" s="26">
        <v>45862</v>
      </c>
      <c r="J70" s="34">
        <f>SUM(Assumptions!M87:P87)</f>
        <v>204</v>
      </c>
      <c r="L70" s="9"/>
    </row>
    <row r="71" spans="2:12" ht="14.25" customHeight="1" x14ac:dyDescent="0.25">
      <c r="B71" s="10" t="s">
        <v>212</v>
      </c>
      <c r="C71" s="8" t="s">
        <v>213</v>
      </c>
      <c r="D71" s="8" t="s">
        <v>214</v>
      </c>
      <c r="E71" s="23" t="s">
        <v>344</v>
      </c>
      <c r="F71" s="10" t="s">
        <v>24</v>
      </c>
      <c r="G71" s="29" t="s">
        <v>1552</v>
      </c>
      <c r="H71" s="10" t="s">
        <v>33</v>
      </c>
      <c r="I71" s="26">
        <v>45876</v>
      </c>
      <c r="J71" s="34">
        <f>SUM(Assumptions!M88:P88)</f>
        <v>207</v>
      </c>
      <c r="L71" s="9"/>
    </row>
    <row r="72" spans="2:12" ht="14.25" customHeight="1" x14ac:dyDescent="0.25">
      <c r="B72" s="10" t="s">
        <v>215</v>
      </c>
      <c r="C72" s="8" t="s">
        <v>216</v>
      </c>
      <c r="D72" s="8" t="s">
        <v>217</v>
      </c>
      <c r="E72" s="10" t="s">
        <v>10</v>
      </c>
      <c r="F72" s="10" t="s">
        <v>24</v>
      </c>
      <c r="G72" s="30" t="s">
        <v>12</v>
      </c>
      <c r="H72" s="10" t="s">
        <v>13</v>
      </c>
      <c r="I72" s="26">
        <v>45890</v>
      </c>
      <c r="J72" s="34">
        <f>SUM(Assumptions!M89:P89)</f>
        <v>173</v>
      </c>
      <c r="L72" s="9"/>
    </row>
    <row r="73" spans="2:12" ht="14.25" customHeight="1" x14ac:dyDescent="0.25">
      <c r="B73" s="10" t="s">
        <v>218</v>
      </c>
      <c r="C73" s="8" t="s">
        <v>219</v>
      </c>
      <c r="D73" s="8" t="s">
        <v>220</v>
      </c>
      <c r="E73" s="24" t="s">
        <v>17</v>
      </c>
      <c r="F73" s="10" t="s">
        <v>24</v>
      </c>
      <c r="G73" s="30" t="s">
        <v>12</v>
      </c>
      <c r="H73" s="10" t="s">
        <v>19</v>
      </c>
      <c r="I73" s="26">
        <v>45904</v>
      </c>
      <c r="J73" s="34">
        <f>SUM(Assumptions!M90:P90)</f>
        <v>173</v>
      </c>
      <c r="L73" s="9"/>
    </row>
    <row r="74" spans="2:12" ht="14.25" customHeight="1" x14ac:dyDescent="0.25">
      <c r="B74" s="10" t="s">
        <v>221</v>
      </c>
      <c r="C74" s="8" t="s">
        <v>222</v>
      </c>
      <c r="D74" s="8" t="s">
        <v>223</v>
      </c>
      <c r="E74" s="10" t="s">
        <v>23</v>
      </c>
      <c r="F74" s="10" t="s">
        <v>11</v>
      </c>
      <c r="G74" s="29" t="s">
        <v>1552</v>
      </c>
      <c r="H74" s="10" t="s">
        <v>43</v>
      </c>
      <c r="I74" s="26">
        <v>45918</v>
      </c>
      <c r="J74" s="34">
        <f>SUM(Assumptions!M91:P91)</f>
        <v>230</v>
      </c>
      <c r="L74" s="9"/>
    </row>
    <row r="75" spans="2:12" ht="14.25" customHeight="1" x14ac:dyDescent="0.25">
      <c r="B75" s="10" t="s">
        <v>224</v>
      </c>
      <c r="C75" s="8" t="s">
        <v>225</v>
      </c>
      <c r="D75" s="8" t="s">
        <v>226</v>
      </c>
      <c r="E75" s="10" t="s">
        <v>342</v>
      </c>
      <c r="F75" s="10" t="s">
        <v>11</v>
      </c>
      <c r="G75" s="29" t="s">
        <v>1555</v>
      </c>
      <c r="H75" s="17" t="s">
        <v>339</v>
      </c>
      <c r="I75" s="26">
        <v>45932</v>
      </c>
      <c r="J75" s="34">
        <f>SUM(Assumptions!M92:P92)</f>
        <v>207</v>
      </c>
      <c r="L75" s="9"/>
    </row>
    <row r="76" spans="2:12" ht="14.25" customHeight="1" x14ac:dyDescent="0.25">
      <c r="B76" s="10" t="s">
        <v>227</v>
      </c>
      <c r="C76" s="8" t="s">
        <v>228</v>
      </c>
      <c r="D76" s="8" t="s">
        <v>229</v>
      </c>
      <c r="E76" s="24" t="s">
        <v>340</v>
      </c>
      <c r="F76" s="10" t="s">
        <v>11</v>
      </c>
      <c r="G76" s="29" t="s">
        <v>1557</v>
      </c>
      <c r="H76" s="24" t="s">
        <v>345</v>
      </c>
      <c r="I76" s="26">
        <v>45946</v>
      </c>
      <c r="J76" s="34">
        <f>SUM(Assumptions!M93:P93)</f>
        <v>210</v>
      </c>
      <c r="L76" s="9"/>
    </row>
    <row r="77" spans="2:12" ht="14.25" customHeight="1" x14ac:dyDescent="0.25">
      <c r="B77" s="10" t="s">
        <v>230</v>
      </c>
      <c r="C77" s="8" t="s">
        <v>231</v>
      </c>
      <c r="D77" s="8" t="s">
        <v>232</v>
      </c>
      <c r="E77" s="10" t="s">
        <v>343</v>
      </c>
      <c r="F77" s="10" t="s">
        <v>11</v>
      </c>
      <c r="G77" s="29" t="s">
        <v>1560</v>
      </c>
      <c r="H77" s="10" t="s">
        <v>33</v>
      </c>
      <c r="I77" s="26">
        <v>45960</v>
      </c>
      <c r="J77" s="34">
        <f>SUM(Assumptions!M94:P94)</f>
        <v>243</v>
      </c>
      <c r="L77" s="9"/>
    </row>
    <row r="78" spans="2:12" ht="14.25" customHeight="1" x14ac:dyDescent="0.25">
      <c r="B78" s="10" t="s">
        <v>233</v>
      </c>
      <c r="C78" s="8" t="s">
        <v>234</v>
      </c>
      <c r="D78" s="8" t="s">
        <v>235</v>
      </c>
      <c r="E78" s="10" t="s">
        <v>335</v>
      </c>
      <c r="F78" s="10" t="s">
        <v>11</v>
      </c>
      <c r="G78" s="29" t="s">
        <v>1553</v>
      </c>
      <c r="H78" s="10" t="s">
        <v>13</v>
      </c>
      <c r="I78" s="26">
        <v>45967</v>
      </c>
      <c r="J78" s="34">
        <f>SUM(Assumptions!M95:P95)</f>
        <v>231</v>
      </c>
      <c r="L78" s="9"/>
    </row>
    <row r="79" spans="2:12" ht="14.25" customHeight="1" x14ac:dyDescent="0.25">
      <c r="B79" s="10" t="s">
        <v>236</v>
      </c>
      <c r="C79" s="8" t="s">
        <v>237</v>
      </c>
      <c r="D79" s="8" t="s">
        <v>238</v>
      </c>
      <c r="E79" s="10" t="s">
        <v>338</v>
      </c>
      <c r="F79" s="10" t="s">
        <v>11</v>
      </c>
      <c r="G79" s="29" t="s">
        <v>1556</v>
      </c>
      <c r="H79" s="10" t="s">
        <v>19</v>
      </c>
      <c r="I79" s="26">
        <v>45981</v>
      </c>
      <c r="J79" s="34">
        <f>SUM(Assumptions!M96:P96)</f>
        <v>232</v>
      </c>
      <c r="L79" s="9"/>
    </row>
    <row r="80" spans="2:12" ht="14.25" customHeight="1" x14ac:dyDescent="0.25">
      <c r="B80" s="10" t="s">
        <v>239</v>
      </c>
      <c r="C80" s="8" t="s">
        <v>240</v>
      </c>
      <c r="D80" s="8" t="s">
        <v>241</v>
      </c>
      <c r="E80" s="23" t="s">
        <v>337</v>
      </c>
      <c r="F80" s="10" t="s">
        <v>24</v>
      </c>
      <c r="G80" s="29" t="s">
        <v>1558</v>
      </c>
      <c r="H80" s="10" t="s">
        <v>43</v>
      </c>
      <c r="I80" s="26">
        <v>44945</v>
      </c>
      <c r="J80" s="34">
        <f>SUM(Assumptions!M97:P97)</f>
        <v>219</v>
      </c>
      <c r="L80" s="9"/>
    </row>
    <row r="81" spans="2:12" ht="14.25" customHeight="1" x14ac:dyDescent="0.25">
      <c r="B81" s="10" t="s">
        <v>242</v>
      </c>
      <c r="C81" s="8" t="s">
        <v>243</v>
      </c>
      <c r="D81" s="8" t="s">
        <v>244</v>
      </c>
      <c r="E81" s="23" t="s">
        <v>343</v>
      </c>
      <c r="F81" s="10" t="s">
        <v>11</v>
      </c>
      <c r="G81" s="29" t="s">
        <v>1561</v>
      </c>
      <c r="H81" s="17" t="s">
        <v>339</v>
      </c>
      <c r="I81" s="26">
        <v>44966</v>
      </c>
      <c r="J81" s="34">
        <f>SUM(Assumptions!M98:P98)</f>
        <v>215</v>
      </c>
      <c r="L81" s="9"/>
    </row>
    <row r="82" spans="2:12" ht="14.25" customHeight="1" x14ac:dyDescent="0.25">
      <c r="B82" s="10" t="s">
        <v>245</v>
      </c>
      <c r="C82" s="8" t="s">
        <v>246</v>
      </c>
      <c r="D82" s="8" t="s">
        <v>247</v>
      </c>
      <c r="E82" s="24" t="s">
        <v>340</v>
      </c>
      <c r="F82" s="10" t="s">
        <v>24</v>
      </c>
      <c r="G82" s="29" t="s">
        <v>1554</v>
      </c>
      <c r="H82" s="24" t="s">
        <v>345</v>
      </c>
      <c r="I82" s="26">
        <v>44980</v>
      </c>
      <c r="J82" s="34">
        <f>SUM(Assumptions!M99:P99)</f>
        <v>178</v>
      </c>
      <c r="L82" s="9"/>
    </row>
    <row r="83" spans="2:12" ht="14.25" customHeight="1" x14ac:dyDescent="0.25">
      <c r="B83" s="10" t="s">
        <v>248</v>
      </c>
      <c r="C83" s="8" t="s">
        <v>249</v>
      </c>
      <c r="D83" s="8" t="s">
        <v>250</v>
      </c>
      <c r="E83" s="10" t="s">
        <v>10</v>
      </c>
      <c r="F83" s="10" t="s">
        <v>24</v>
      </c>
      <c r="G83" s="29" t="s">
        <v>1559</v>
      </c>
      <c r="H83" s="10" t="s">
        <v>33</v>
      </c>
      <c r="I83" s="26">
        <v>44987</v>
      </c>
      <c r="J83" s="34">
        <f>SUM(Assumptions!M100:P100)</f>
        <v>225</v>
      </c>
      <c r="L83" s="9"/>
    </row>
    <row r="84" spans="2:12" ht="14.25" customHeight="1" x14ac:dyDescent="0.25">
      <c r="B84" s="10" t="s">
        <v>251</v>
      </c>
      <c r="C84" s="8" t="s">
        <v>252</v>
      </c>
      <c r="D84" s="8" t="s">
        <v>253</v>
      </c>
      <c r="E84" s="23" t="s">
        <v>344</v>
      </c>
      <c r="F84" s="10" t="s">
        <v>11</v>
      </c>
      <c r="G84" s="29" t="s">
        <v>1554</v>
      </c>
      <c r="H84" s="10" t="s">
        <v>13</v>
      </c>
      <c r="I84" s="26">
        <v>45001</v>
      </c>
      <c r="J84" s="34">
        <f>SUM(Assumptions!M101:P101)</f>
        <v>222</v>
      </c>
      <c r="L84" s="9"/>
    </row>
    <row r="85" spans="2:12" ht="14.25" customHeight="1" x14ac:dyDescent="0.25">
      <c r="B85" s="10" t="s">
        <v>254</v>
      </c>
      <c r="C85" s="8" t="s">
        <v>255</v>
      </c>
      <c r="D85" s="8" t="s">
        <v>256</v>
      </c>
      <c r="E85" s="24" t="s">
        <v>338</v>
      </c>
      <c r="F85" s="10" t="s">
        <v>24</v>
      </c>
      <c r="G85" s="29" t="s">
        <v>1559</v>
      </c>
      <c r="H85" s="10" t="s">
        <v>19</v>
      </c>
      <c r="I85" s="26">
        <v>45015</v>
      </c>
      <c r="J85" s="34">
        <f>SUM(Assumptions!M102:P102)</f>
        <v>210</v>
      </c>
      <c r="L85" s="9"/>
    </row>
    <row r="86" spans="2:12" ht="14.25" customHeight="1" x14ac:dyDescent="0.25">
      <c r="B86" s="10" t="s">
        <v>257</v>
      </c>
      <c r="C86" s="8" t="s">
        <v>258</v>
      </c>
      <c r="D86" s="8" t="s">
        <v>259</v>
      </c>
      <c r="E86" s="23" t="s">
        <v>23</v>
      </c>
      <c r="F86" s="10" t="s">
        <v>11</v>
      </c>
      <c r="G86" s="29" t="s">
        <v>1553</v>
      </c>
      <c r="H86" s="10" t="s">
        <v>43</v>
      </c>
      <c r="I86" s="26">
        <v>45022</v>
      </c>
      <c r="J86" s="34">
        <f>SUM(Assumptions!M103:P103)</f>
        <v>232</v>
      </c>
      <c r="L86" s="9"/>
    </row>
    <row r="87" spans="2:12" ht="14.25" customHeight="1" x14ac:dyDescent="0.25">
      <c r="B87" s="10" t="s">
        <v>260</v>
      </c>
      <c r="C87" s="8" t="s">
        <v>261</v>
      </c>
      <c r="D87" s="8" t="s">
        <v>262</v>
      </c>
      <c r="E87" s="10" t="s">
        <v>17</v>
      </c>
      <c r="F87" s="10" t="s">
        <v>11</v>
      </c>
      <c r="G87" s="29" t="s">
        <v>1556</v>
      </c>
      <c r="H87" s="17" t="s">
        <v>339</v>
      </c>
      <c r="I87" s="26">
        <v>45036</v>
      </c>
      <c r="J87" s="34">
        <f>SUM(Assumptions!M104:P104)</f>
        <v>215</v>
      </c>
      <c r="L87" s="9"/>
    </row>
    <row r="88" spans="2:12" ht="14.25" customHeight="1" x14ac:dyDescent="0.25">
      <c r="B88" s="10" t="s">
        <v>263</v>
      </c>
      <c r="C88" s="8" t="s">
        <v>264</v>
      </c>
      <c r="D88" s="8" t="s">
        <v>265</v>
      </c>
      <c r="E88" s="10" t="s">
        <v>10</v>
      </c>
      <c r="F88" s="10" t="s">
        <v>11</v>
      </c>
      <c r="G88" s="29" t="s">
        <v>1558</v>
      </c>
      <c r="H88" s="24" t="s">
        <v>345</v>
      </c>
      <c r="I88" s="26">
        <v>45057</v>
      </c>
      <c r="J88" s="34">
        <f>SUM(Assumptions!M105:P105)</f>
        <v>225</v>
      </c>
      <c r="L88" s="9"/>
    </row>
    <row r="89" spans="2:12" ht="14.25" customHeight="1" x14ac:dyDescent="0.25">
      <c r="B89" s="10" t="s">
        <v>266</v>
      </c>
      <c r="C89" s="8" t="s">
        <v>267</v>
      </c>
      <c r="D89" s="8" t="s">
        <v>268</v>
      </c>
      <c r="E89" s="10" t="s">
        <v>337</v>
      </c>
      <c r="F89" s="10" t="s">
        <v>11</v>
      </c>
      <c r="G89" s="29" t="s">
        <v>1561</v>
      </c>
      <c r="H89" s="10" t="s">
        <v>33</v>
      </c>
      <c r="I89" s="26">
        <v>45071</v>
      </c>
      <c r="J89" s="34">
        <f>SUM(Assumptions!M106:P106)</f>
        <v>250</v>
      </c>
      <c r="L89" s="9"/>
    </row>
    <row r="90" spans="2:12" ht="14.25" customHeight="1" x14ac:dyDescent="0.25">
      <c r="B90" s="10" t="s">
        <v>269</v>
      </c>
      <c r="C90" s="8" t="s">
        <v>270</v>
      </c>
      <c r="D90" s="8" t="s">
        <v>271</v>
      </c>
      <c r="E90" s="23" t="s">
        <v>338</v>
      </c>
      <c r="F90" s="10" t="s">
        <v>24</v>
      </c>
      <c r="G90" s="29" t="s">
        <v>1552</v>
      </c>
      <c r="H90" s="10" t="s">
        <v>13</v>
      </c>
      <c r="I90" s="26">
        <v>45085</v>
      </c>
      <c r="J90" s="34">
        <f>SUM(Assumptions!M107:P107)</f>
        <v>202</v>
      </c>
      <c r="L90" s="9"/>
    </row>
    <row r="91" spans="2:12" ht="14.25" customHeight="1" x14ac:dyDescent="0.25">
      <c r="B91" s="10" t="s">
        <v>272</v>
      </c>
      <c r="C91" s="8" t="s">
        <v>273</v>
      </c>
      <c r="D91" s="8" t="s">
        <v>274</v>
      </c>
      <c r="E91" s="23" t="s">
        <v>338</v>
      </c>
      <c r="F91" s="10" t="s">
        <v>11</v>
      </c>
      <c r="G91" s="29" t="s">
        <v>1555</v>
      </c>
      <c r="H91" s="10" t="s">
        <v>19</v>
      </c>
      <c r="I91" s="26">
        <v>45099</v>
      </c>
      <c r="J91" s="34">
        <f>SUM(Assumptions!M108:P108)</f>
        <v>231</v>
      </c>
      <c r="L91" s="9"/>
    </row>
    <row r="92" spans="2:12" ht="14.25" customHeight="1" x14ac:dyDescent="0.25">
      <c r="B92" s="10" t="s">
        <v>275</v>
      </c>
      <c r="C92" s="8" t="s">
        <v>276</v>
      </c>
      <c r="D92" s="8" t="s">
        <v>277</v>
      </c>
      <c r="E92" s="24" t="s">
        <v>335</v>
      </c>
      <c r="F92" s="10" t="s">
        <v>24</v>
      </c>
      <c r="G92" s="29" t="s">
        <v>1557</v>
      </c>
      <c r="H92" s="10" t="s">
        <v>43</v>
      </c>
      <c r="I92" s="26">
        <v>45113</v>
      </c>
      <c r="J92" s="34">
        <f>SUM(Assumptions!M109:P109)</f>
        <v>220</v>
      </c>
      <c r="L92" s="9"/>
    </row>
    <row r="93" spans="2:12" ht="14.25" customHeight="1" x14ac:dyDescent="0.25">
      <c r="B93" s="10" t="s">
        <v>278</v>
      </c>
      <c r="C93" s="8" t="s">
        <v>279</v>
      </c>
      <c r="D93" s="8" t="s">
        <v>280</v>
      </c>
      <c r="E93" s="10" t="s">
        <v>335</v>
      </c>
      <c r="F93" s="10" t="s">
        <v>11</v>
      </c>
      <c r="G93" s="29" t="s">
        <v>1560</v>
      </c>
      <c r="H93" s="17" t="s">
        <v>339</v>
      </c>
      <c r="I93" s="26">
        <v>45127</v>
      </c>
      <c r="J93" s="34">
        <f>SUM(Assumptions!M110:P110)</f>
        <v>220</v>
      </c>
      <c r="L93" s="9"/>
    </row>
    <row r="94" spans="2:12" ht="14.25" customHeight="1" x14ac:dyDescent="0.25">
      <c r="B94" s="10" t="s">
        <v>281</v>
      </c>
      <c r="C94" s="8" t="s">
        <v>282</v>
      </c>
      <c r="D94" s="8" t="s">
        <v>283</v>
      </c>
      <c r="E94" s="23" t="s">
        <v>342</v>
      </c>
      <c r="F94" s="10" t="s">
        <v>11</v>
      </c>
      <c r="G94" s="30" t="s">
        <v>12</v>
      </c>
      <c r="H94" s="24" t="s">
        <v>345</v>
      </c>
      <c r="I94" s="26">
        <v>45148</v>
      </c>
      <c r="J94" s="34">
        <f>SUM(Assumptions!M111:P111)</f>
        <v>168</v>
      </c>
      <c r="L94" s="9"/>
    </row>
    <row r="95" spans="2:12" ht="14.25" customHeight="1" x14ac:dyDescent="0.25">
      <c r="B95" s="10" t="s">
        <v>284</v>
      </c>
      <c r="C95" s="8" t="s">
        <v>285</v>
      </c>
      <c r="D95" s="8" t="s">
        <v>286</v>
      </c>
      <c r="E95" s="24" t="s">
        <v>342</v>
      </c>
      <c r="F95" s="10" t="s">
        <v>11</v>
      </c>
      <c r="G95" s="30" t="s">
        <v>12</v>
      </c>
      <c r="H95" s="10" t="s">
        <v>33</v>
      </c>
      <c r="I95" s="26">
        <v>45162</v>
      </c>
      <c r="J95" s="34">
        <f>SUM(Assumptions!M112:P112)</f>
        <v>196</v>
      </c>
      <c r="L95" s="9"/>
    </row>
    <row r="96" spans="2:12" ht="14.25" customHeight="1" x14ac:dyDescent="0.25">
      <c r="B96" s="10" t="s">
        <v>287</v>
      </c>
      <c r="C96" s="8" t="s">
        <v>288</v>
      </c>
      <c r="D96" s="8" t="s">
        <v>289</v>
      </c>
      <c r="E96" s="23" t="s">
        <v>10</v>
      </c>
      <c r="F96" s="10" t="s">
        <v>24</v>
      </c>
      <c r="G96" s="29" t="s">
        <v>1552</v>
      </c>
      <c r="H96" s="10" t="s">
        <v>13</v>
      </c>
      <c r="I96" s="26">
        <v>45176</v>
      </c>
      <c r="J96" s="34">
        <f>SUM(Assumptions!M113:P113)</f>
        <v>210</v>
      </c>
      <c r="L96" s="9"/>
    </row>
    <row r="97" spans="2:12" ht="14.25" customHeight="1" x14ac:dyDescent="0.25">
      <c r="B97" s="10" t="s">
        <v>290</v>
      </c>
      <c r="C97" s="8" t="s">
        <v>291</v>
      </c>
      <c r="D97" s="8" t="s">
        <v>292</v>
      </c>
      <c r="E97" s="10" t="s">
        <v>17</v>
      </c>
      <c r="F97" s="10" t="s">
        <v>11</v>
      </c>
      <c r="G97" s="29" t="s">
        <v>1553</v>
      </c>
      <c r="H97" s="10" t="s">
        <v>19</v>
      </c>
      <c r="I97" s="26">
        <v>45190</v>
      </c>
      <c r="J97" s="34">
        <f>SUM(Assumptions!M114:P114)</f>
        <v>235</v>
      </c>
      <c r="L97" s="9"/>
    </row>
    <row r="98" spans="2:12" ht="14.25" customHeight="1" x14ac:dyDescent="0.25">
      <c r="B98" s="10" t="s">
        <v>293</v>
      </c>
      <c r="C98" s="8" t="s">
        <v>294</v>
      </c>
      <c r="D98" s="8" t="s">
        <v>295</v>
      </c>
      <c r="E98" s="10" t="s">
        <v>10</v>
      </c>
      <c r="F98" s="10" t="s">
        <v>11</v>
      </c>
      <c r="G98" s="29" t="s">
        <v>1554</v>
      </c>
      <c r="H98" s="10" t="s">
        <v>43</v>
      </c>
      <c r="I98" s="26">
        <v>45204</v>
      </c>
      <c r="J98" s="34">
        <f>SUM(Assumptions!M115:P115)</f>
        <v>238</v>
      </c>
      <c r="L98" s="9"/>
    </row>
    <row r="99" spans="2:12" ht="14.25" customHeight="1" x14ac:dyDescent="0.25">
      <c r="B99" s="10" t="s">
        <v>296</v>
      </c>
      <c r="C99" s="8" t="s">
        <v>297</v>
      </c>
      <c r="D99" s="8" t="s">
        <v>298</v>
      </c>
      <c r="E99" s="10" t="s">
        <v>23</v>
      </c>
      <c r="F99" s="10" t="s">
        <v>11</v>
      </c>
      <c r="G99" s="29" t="s">
        <v>1555</v>
      </c>
      <c r="H99" s="17" t="s">
        <v>339</v>
      </c>
      <c r="I99" s="26">
        <v>45218</v>
      </c>
      <c r="J99" s="34">
        <f>SUM(Assumptions!M116:P116)</f>
        <v>209</v>
      </c>
      <c r="L99" s="9"/>
    </row>
    <row r="100" spans="2:12" ht="14.25" customHeight="1" x14ac:dyDescent="0.25">
      <c r="B100" s="10" t="s">
        <v>299</v>
      </c>
      <c r="C100" s="8" t="s">
        <v>300</v>
      </c>
      <c r="D100" s="8" t="s">
        <v>301</v>
      </c>
      <c r="E100" s="23" t="s">
        <v>17</v>
      </c>
      <c r="F100" s="10" t="s">
        <v>11</v>
      </c>
      <c r="G100" s="29" t="s">
        <v>1556</v>
      </c>
      <c r="H100" s="24" t="s">
        <v>345</v>
      </c>
      <c r="I100" s="26">
        <v>45239</v>
      </c>
      <c r="J100" s="34">
        <f>SUM(Assumptions!M117:P117)</f>
        <v>217</v>
      </c>
      <c r="L100" s="9"/>
    </row>
    <row r="101" spans="2:12" ht="14.25" customHeight="1" x14ac:dyDescent="0.25">
      <c r="B101" s="10" t="s">
        <v>302</v>
      </c>
      <c r="C101" s="8" t="s">
        <v>303</v>
      </c>
      <c r="D101" s="8" t="s">
        <v>304</v>
      </c>
      <c r="E101" s="23" t="s">
        <v>337</v>
      </c>
      <c r="F101" s="10" t="s">
        <v>24</v>
      </c>
      <c r="G101" s="29" t="s">
        <v>1559</v>
      </c>
      <c r="H101" s="10" t="s">
        <v>33</v>
      </c>
      <c r="I101" s="26">
        <v>45253</v>
      </c>
      <c r="J101" s="34">
        <f>SUM(Assumptions!M118:P118)</f>
        <v>219</v>
      </c>
      <c r="L101" s="9"/>
    </row>
    <row r="102" spans="2:12" ht="14.25" customHeight="1" x14ac:dyDescent="0.25">
      <c r="B102" s="10" t="s">
        <v>305</v>
      </c>
      <c r="C102" s="8" t="s">
        <v>306</v>
      </c>
      <c r="D102" s="8" t="s">
        <v>307</v>
      </c>
      <c r="E102" s="24" t="s">
        <v>338</v>
      </c>
      <c r="F102" s="10" t="s">
        <v>11</v>
      </c>
      <c r="G102" s="29" t="s">
        <v>1557</v>
      </c>
      <c r="H102" s="10" t="s">
        <v>13</v>
      </c>
      <c r="I102" s="26">
        <v>45267</v>
      </c>
      <c r="J102" s="34">
        <f>SUM(Assumptions!M119:P119)</f>
        <v>235</v>
      </c>
      <c r="L102" s="9"/>
    </row>
    <row r="103" spans="2:12" ht="14.25" customHeight="1" x14ac:dyDescent="0.25">
      <c r="B103" s="10" t="s">
        <v>308</v>
      </c>
      <c r="C103" s="8" t="s">
        <v>309</v>
      </c>
      <c r="D103" s="8" t="s">
        <v>310</v>
      </c>
      <c r="E103" s="10" t="s">
        <v>335</v>
      </c>
      <c r="F103" s="10" t="s">
        <v>24</v>
      </c>
      <c r="G103" s="29" t="s">
        <v>1558</v>
      </c>
      <c r="H103" s="10" t="s">
        <v>19</v>
      </c>
      <c r="I103" s="26">
        <v>45281</v>
      </c>
      <c r="J103" s="34">
        <f>SUM(Assumptions!M120:P120)</f>
        <v>219</v>
      </c>
      <c r="L103" s="9"/>
    </row>
    <row r="104" spans="2:12" ht="14.25" customHeight="1" x14ac:dyDescent="0.25">
      <c r="B104" s="10" t="s">
        <v>311</v>
      </c>
      <c r="C104" s="8" t="s">
        <v>312</v>
      </c>
      <c r="D104" s="8" t="s">
        <v>313</v>
      </c>
      <c r="E104" s="23" t="s">
        <v>342</v>
      </c>
      <c r="F104" s="10" t="s">
        <v>11</v>
      </c>
      <c r="G104" s="29" t="s">
        <v>1560</v>
      </c>
      <c r="H104" s="10" t="s">
        <v>43</v>
      </c>
      <c r="I104" s="26">
        <v>45302</v>
      </c>
      <c r="J104" s="34">
        <f>SUM(Assumptions!M121:P121)</f>
        <v>240</v>
      </c>
      <c r="L104" s="9"/>
    </row>
    <row r="105" spans="2:12" ht="14.25" customHeight="1" x14ac:dyDescent="0.25">
      <c r="B105" s="10" t="s">
        <v>314</v>
      </c>
      <c r="C105" s="8" t="s">
        <v>315</v>
      </c>
      <c r="D105" s="8" t="s">
        <v>316</v>
      </c>
      <c r="E105" s="24" t="s">
        <v>23</v>
      </c>
      <c r="F105" s="10" t="s">
        <v>11</v>
      </c>
      <c r="G105" s="29" t="s">
        <v>1561</v>
      </c>
      <c r="H105" s="17" t="s">
        <v>339</v>
      </c>
      <c r="I105" s="26">
        <v>45316</v>
      </c>
      <c r="J105" s="34">
        <f>SUM(Assumptions!M122:P122)</f>
        <v>219</v>
      </c>
      <c r="L105" s="9"/>
    </row>
    <row r="106" spans="2:12" ht="14.25" customHeight="1" x14ac:dyDescent="0.25">
      <c r="B106" s="10" t="s">
        <v>317</v>
      </c>
      <c r="C106" s="8" t="s">
        <v>318</v>
      </c>
      <c r="D106" s="8" t="s">
        <v>319</v>
      </c>
      <c r="E106" s="23" t="s">
        <v>17</v>
      </c>
      <c r="F106" s="10" t="s">
        <v>11</v>
      </c>
      <c r="G106" s="29" t="s">
        <v>1561</v>
      </c>
      <c r="H106" s="24" t="s">
        <v>345</v>
      </c>
      <c r="I106" s="26">
        <v>45330</v>
      </c>
      <c r="J106" s="34">
        <f>SUM(Assumptions!M123:P123)</f>
        <v>226</v>
      </c>
      <c r="L106" s="9"/>
    </row>
    <row r="107" spans="2:12" ht="14.25" customHeight="1" x14ac:dyDescent="0.25">
      <c r="B107" s="10" t="s">
        <v>735</v>
      </c>
      <c r="C107" s="8" t="s">
        <v>346</v>
      </c>
      <c r="D107" s="8" t="s">
        <v>1250</v>
      </c>
      <c r="E107" s="10" t="s">
        <v>10</v>
      </c>
      <c r="F107" s="10" t="s">
        <v>24</v>
      </c>
      <c r="G107" s="29" t="s">
        <v>1560</v>
      </c>
      <c r="H107" s="10" t="s">
        <v>33</v>
      </c>
      <c r="I107" s="26">
        <v>45344</v>
      </c>
      <c r="J107" s="34">
        <f>SUM(Assumptions!M124:P124)</f>
        <v>231</v>
      </c>
    </row>
    <row r="108" spans="2:12" ht="14.25" customHeight="1" x14ac:dyDescent="0.25">
      <c r="B108" s="10" t="s">
        <v>736</v>
      </c>
      <c r="C108" s="8" t="s">
        <v>347</v>
      </c>
      <c r="D108" s="8" t="s">
        <v>1251</v>
      </c>
      <c r="E108" s="10" t="s">
        <v>343</v>
      </c>
      <c r="F108" s="10" t="s">
        <v>11</v>
      </c>
      <c r="G108" s="29" t="s">
        <v>1558</v>
      </c>
      <c r="H108" s="10" t="s">
        <v>13</v>
      </c>
      <c r="I108" s="26">
        <v>45358</v>
      </c>
      <c r="J108" s="34">
        <f>SUM(Assumptions!M125:P125)</f>
        <v>233</v>
      </c>
    </row>
    <row r="109" spans="2:12" ht="14.25" customHeight="1" x14ac:dyDescent="0.25">
      <c r="B109" s="10" t="s">
        <v>737</v>
      </c>
      <c r="C109" s="8" t="s">
        <v>348</v>
      </c>
      <c r="D109" s="8" t="s">
        <v>1252</v>
      </c>
      <c r="E109" s="10" t="s">
        <v>340</v>
      </c>
      <c r="F109" s="10" t="s">
        <v>24</v>
      </c>
      <c r="G109" s="29" t="s">
        <v>1557</v>
      </c>
      <c r="H109" s="10" t="s">
        <v>19</v>
      </c>
      <c r="I109" s="26">
        <v>45372</v>
      </c>
      <c r="J109" s="34">
        <f>SUM(Assumptions!M126:P126)</f>
        <v>208</v>
      </c>
    </row>
    <row r="110" spans="2:12" ht="14.25" customHeight="1" x14ac:dyDescent="0.25">
      <c r="B110" s="10" t="s">
        <v>738</v>
      </c>
      <c r="C110" s="8" t="s">
        <v>349</v>
      </c>
      <c r="D110" s="8" t="s">
        <v>1253</v>
      </c>
      <c r="E110" s="23" t="s">
        <v>344</v>
      </c>
      <c r="F110" s="10" t="s">
        <v>11</v>
      </c>
      <c r="G110" s="29" t="s">
        <v>1559</v>
      </c>
      <c r="H110" s="10" t="s">
        <v>43</v>
      </c>
      <c r="I110" s="26">
        <v>45386</v>
      </c>
      <c r="J110" s="34">
        <f>SUM(Assumptions!M127:P127)</f>
        <v>231</v>
      </c>
    </row>
    <row r="111" spans="2:12" ht="14.25" customHeight="1" x14ac:dyDescent="0.25">
      <c r="B111" s="10" t="s">
        <v>739</v>
      </c>
      <c r="C111" s="8" t="s">
        <v>350</v>
      </c>
      <c r="D111" s="8" t="s">
        <v>1135</v>
      </c>
      <c r="E111" s="23" t="s">
        <v>335</v>
      </c>
      <c r="F111" s="10" t="s">
        <v>24</v>
      </c>
      <c r="G111" s="29" t="s">
        <v>1556</v>
      </c>
      <c r="H111" s="17" t="s">
        <v>339</v>
      </c>
      <c r="I111" s="26">
        <v>45400</v>
      </c>
      <c r="J111" s="34">
        <f>SUM(Assumptions!M128:P128)</f>
        <v>190</v>
      </c>
    </row>
    <row r="112" spans="2:12" ht="14.25" customHeight="1" x14ac:dyDescent="0.25">
      <c r="B112" s="10" t="s">
        <v>740</v>
      </c>
      <c r="C112" s="8" t="s">
        <v>351</v>
      </c>
      <c r="D112" s="8" t="s">
        <v>1136</v>
      </c>
      <c r="E112" s="24" t="s">
        <v>343</v>
      </c>
      <c r="F112" s="10" t="s">
        <v>11</v>
      </c>
      <c r="G112" s="29" t="s">
        <v>1555</v>
      </c>
      <c r="H112" s="24" t="s">
        <v>345</v>
      </c>
      <c r="I112" s="26">
        <v>45414</v>
      </c>
      <c r="J112" s="34">
        <f>SUM(Assumptions!M129:P129)</f>
        <v>207</v>
      </c>
    </row>
    <row r="113" spans="2:10" ht="14.25" customHeight="1" x14ac:dyDescent="0.25">
      <c r="B113" s="10" t="s">
        <v>741</v>
      </c>
      <c r="C113" s="8" t="s">
        <v>352</v>
      </c>
      <c r="D113" s="8" t="s">
        <v>1254</v>
      </c>
      <c r="E113" s="10" t="s">
        <v>340</v>
      </c>
      <c r="F113" s="10" t="s">
        <v>24</v>
      </c>
      <c r="G113" s="29" t="s">
        <v>1554</v>
      </c>
      <c r="H113" s="10" t="s">
        <v>33</v>
      </c>
      <c r="I113" s="26">
        <v>45428</v>
      </c>
      <c r="J113" s="34">
        <f>SUM(Assumptions!M130:P130)</f>
        <v>206</v>
      </c>
    </row>
    <row r="114" spans="2:10" ht="14.25" customHeight="1" x14ac:dyDescent="0.25">
      <c r="B114" s="10" t="s">
        <v>742</v>
      </c>
      <c r="C114" s="8" t="s">
        <v>353</v>
      </c>
      <c r="D114" s="8" t="s">
        <v>1255</v>
      </c>
      <c r="E114" s="23" t="s">
        <v>344</v>
      </c>
      <c r="F114" s="10" t="s">
        <v>11</v>
      </c>
      <c r="G114" s="29" t="s">
        <v>1553</v>
      </c>
      <c r="H114" s="10" t="s">
        <v>13</v>
      </c>
      <c r="I114" s="26">
        <v>45442</v>
      </c>
      <c r="J114" s="34">
        <f>SUM(Assumptions!M131:P131)</f>
        <v>223</v>
      </c>
    </row>
    <row r="115" spans="2:10" ht="14.25" customHeight="1" x14ac:dyDescent="0.25">
      <c r="B115" s="10" t="s">
        <v>743</v>
      </c>
      <c r="C115" s="8" t="s">
        <v>354</v>
      </c>
      <c r="D115" s="8" t="s">
        <v>1256</v>
      </c>
      <c r="E115" s="23" t="s">
        <v>337</v>
      </c>
      <c r="F115" s="10" t="s">
        <v>24</v>
      </c>
      <c r="G115" s="29" t="s">
        <v>1552</v>
      </c>
      <c r="H115" s="10" t="s">
        <v>19</v>
      </c>
      <c r="I115" s="26">
        <v>45449</v>
      </c>
      <c r="J115" s="34">
        <f>SUM(Assumptions!M132:P132)</f>
        <v>206</v>
      </c>
    </row>
    <row r="116" spans="2:10" ht="14.25" customHeight="1" x14ac:dyDescent="0.25">
      <c r="B116" s="10" t="s">
        <v>744</v>
      </c>
      <c r="C116" s="8" t="s">
        <v>355</v>
      </c>
      <c r="D116" s="8" t="s">
        <v>1137</v>
      </c>
      <c r="E116" s="24" t="s">
        <v>338</v>
      </c>
      <c r="F116" s="10" t="s">
        <v>11</v>
      </c>
      <c r="G116" s="30" t="s">
        <v>12</v>
      </c>
      <c r="H116" s="10" t="s">
        <v>43</v>
      </c>
      <c r="I116" s="26">
        <v>45463</v>
      </c>
      <c r="J116" s="34">
        <f>SUM(Assumptions!M133:P133)</f>
        <v>192</v>
      </c>
    </row>
    <row r="117" spans="2:10" ht="14.25" customHeight="1" x14ac:dyDescent="0.25">
      <c r="B117" s="10" t="s">
        <v>745</v>
      </c>
      <c r="C117" s="8" t="s">
        <v>356</v>
      </c>
      <c r="D117" s="8" t="s">
        <v>1257</v>
      </c>
      <c r="E117" s="10" t="s">
        <v>335</v>
      </c>
      <c r="F117" s="10" t="s">
        <v>24</v>
      </c>
      <c r="G117" s="30" t="s">
        <v>12</v>
      </c>
      <c r="H117" s="17" t="s">
        <v>339</v>
      </c>
      <c r="I117" s="26">
        <v>45477</v>
      </c>
      <c r="J117" s="34">
        <f>SUM(Assumptions!M134:P134)</f>
        <v>148</v>
      </c>
    </row>
    <row r="118" spans="2:10" ht="14.25" customHeight="1" x14ac:dyDescent="0.25">
      <c r="B118" s="10" t="s">
        <v>746</v>
      </c>
      <c r="C118" s="8" t="s">
        <v>357</v>
      </c>
      <c r="D118" s="8" t="s">
        <v>1258</v>
      </c>
      <c r="E118" s="23" t="s">
        <v>343</v>
      </c>
      <c r="F118" s="10" t="s">
        <v>11</v>
      </c>
      <c r="G118" s="29" t="s">
        <v>1552</v>
      </c>
      <c r="H118" s="24" t="s">
        <v>345</v>
      </c>
      <c r="I118" s="26">
        <v>45491</v>
      </c>
      <c r="J118" s="34">
        <f>SUM(Assumptions!M135:P135)</f>
        <v>203</v>
      </c>
    </row>
    <row r="119" spans="2:10" ht="14.25" customHeight="1" x14ac:dyDescent="0.25">
      <c r="B119" s="10" t="s">
        <v>747</v>
      </c>
      <c r="C119" s="8" t="s">
        <v>358</v>
      </c>
      <c r="D119" s="8" t="s">
        <v>1259</v>
      </c>
      <c r="E119" s="24" t="s">
        <v>340</v>
      </c>
      <c r="F119" s="10" t="s">
        <v>24</v>
      </c>
      <c r="G119" s="29" t="s">
        <v>1555</v>
      </c>
      <c r="H119" s="10" t="s">
        <v>33</v>
      </c>
      <c r="I119" s="26">
        <v>45505</v>
      </c>
      <c r="J119" s="34">
        <f>SUM(Assumptions!M136:P136)</f>
        <v>209</v>
      </c>
    </row>
    <row r="120" spans="2:10" ht="14.25" customHeight="1" x14ac:dyDescent="0.25">
      <c r="B120" s="10" t="s">
        <v>748</v>
      </c>
      <c r="C120" s="8" t="s">
        <v>359</v>
      </c>
      <c r="D120" s="8" t="s">
        <v>1260</v>
      </c>
      <c r="E120" s="23" t="s">
        <v>342</v>
      </c>
      <c r="F120" s="10" t="s">
        <v>11</v>
      </c>
      <c r="G120" s="29" t="s">
        <v>1557</v>
      </c>
      <c r="H120" s="10" t="s">
        <v>13</v>
      </c>
      <c r="I120" s="26">
        <v>45519</v>
      </c>
      <c r="J120" s="34">
        <f>SUM(Assumptions!M137:P137)</f>
        <v>234</v>
      </c>
    </row>
    <row r="121" spans="2:10" ht="14.25" customHeight="1" x14ac:dyDescent="0.25">
      <c r="B121" s="10" t="s">
        <v>749</v>
      </c>
      <c r="C121" s="8" t="s">
        <v>360</v>
      </c>
      <c r="D121" s="8" t="s">
        <v>1261</v>
      </c>
      <c r="E121" s="10" t="s">
        <v>23</v>
      </c>
      <c r="F121" s="10" t="s">
        <v>24</v>
      </c>
      <c r="G121" s="29" t="s">
        <v>1560</v>
      </c>
      <c r="H121" s="10" t="s">
        <v>19</v>
      </c>
      <c r="I121" s="26">
        <v>45533</v>
      </c>
      <c r="J121" s="34">
        <f>SUM(Assumptions!M138:P138)</f>
        <v>217</v>
      </c>
    </row>
    <row r="122" spans="2:10" ht="14.25" customHeight="1" x14ac:dyDescent="0.25">
      <c r="B122" s="10" t="s">
        <v>750</v>
      </c>
      <c r="C122" s="8" t="s">
        <v>361</v>
      </c>
      <c r="D122" s="8" t="s">
        <v>1262</v>
      </c>
      <c r="E122" s="10" t="s">
        <v>17</v>
      </c>
      <c r="F122" s="10" t="s">
        <v>11</v>
      </c>
      <c r="G122" s="29" t="s">
        <v>1553</v>
      </c>
      <c r="H122" s="10" t="s">
        <v>43</v>
      </c>
      <c r="I122" s="26">
        <v>45540</v>
      </c>
      <c r="J122" s="34">
        <f>SUM(Assumptions!M139:P139)</f>
        <v>237</v>
      </c>
    </row>
    <row r="123" spans="2:10" ht="14.25" customHeight="1" x14ac:dyDescent="0.25">
      <c r="B123" s="10" t="s">
        <v>751</v>
      </c>
      <c r="C123" s="8" t="s">
        <v>1239</v>
      </c>
      <c r="D123" s="8" t="s">
        <v>1263</v>
      </c>
      <c r="E123" s="10" t="s">
        <v>10</v>
      </c>
      <c r="F123" s="10" t="s">
        <v>24</v>
      </c>
      <c r="G123" s="29" t="s">
        <v>1556</v>
      </c>
      <c r="H123" s="17" t="s">
        <v>339</v>
      </c>
      <c r="I123" s="26">
        <v>45554</v>
      </c>
      <c r="J123" s="34">
        <f>SUM(Assumptions!M140:P140)</f>
        <v>194</v>
      </c>
    </row>
    <row r="124" spans="2:10" ht="14.25" customHeight="1" x14ac:dyDescent="0.25">
      <c r="B124" s="10" t="s">
        <v>752</v>
      </c>
      <c r="C124" s="8" t="s">
        <v>362</v>
      </c>
      <c r="D124" s="8" t="s">
        <v>1264</v>
      </c>
      <c r="E124" s="23" t="s">
        <v>344</v>
      </c>
      <c r="F124" s="10" t="s">
        <v>11</v>
      </c>
      <c r="G124" s="29" t="s">
        <v>1558</v>
      </c>
      <c r="H124" s="24" t="s">
        <v>345</v>
      </c>
      <c r="I124" s="26">
        <v>45575</v>
      </c>
      <c r="J124" s="34">
        <f>SUM(Assumptions!M141:P141)</f>
        <v>213</v>
      </c>
    </row>
    <row r="125" spans="2:10" ht="14.25" customHeight="1" x14ac:dyDescent="0.25">
      <c r="B125" s="10" t="s">
        <v>753</v>
      </c>
      <c r="C125" s="8" t="s">
        <v>363</v>
      </c>
      <c r="D125" s="8" t="s">
        <v>1138</v>
      </c>
      <c r="E125" s="23" t="s">
        <v>344</v>
      </c>
      <c r="F125" s="10" t="s">
        <v>24</v>
      </c>
      <c r="G125" s="29" t="s">
        <v>1561</v>
      </c>
      <c r="H125" s="10" t="s">
        <v>33</v>
      </c>
      <c r="I125" s="26">
        <v>45589</v>
      </c>
      <c r="J125" s="34">
        <f>SUM(Assumptions!M142:P142)</f>
        <v>221</v>
      </c>
    </row>
    <row r="126" spans="2:10" ht="14.25" customHeight="1" x14ac:dyDescent="0.25">
      <c r="B126" s="10" t="s">
        <v>754</v>
      </c>
      <c r="C126" s="8" t="s">
        <v>364</v>
      </c>
      <c r="D126" s="8" t="s">
        <v>1139</v>
      </c>
      <c r="E126" s="10" t="s">
        <v>10</v>
      </c>
      <c r="F126" s="10" t="s">
        <v>11</v>
      </c>
      <c r="G126" s="29" t="s">
        <v>1554</v>
      </c>
      <c r="H126" s="10" t="s">
        <v>13</v>
      </c>
      <c r="I126" s="26">
        <v>45603</v>
      </c>
      <c r="J126" s="34">
        <f>SUM(Assumptions!M143:P143)</f>
        <v>234</v>
      </c>
    </row>
    <row r="127" spans="2:10" ht="14.25" customHeight="1" x14ac:dyDescent="0.25">
      <c r="B127" s="10" t="s">
        <v>755</v>
      </c>
      <c r="C127" s="8" t="s">
        <v>365</v>
      </c>
      <c r="D127" s="8" t="s">
        <v>1265</v>
      </c>
      <c r="E127" s="24" t="s">
        <v>17</v>
      </c>
      <c r="F127" s="10" t="s">
        <v>24</v>
      </c>
      <c r="G127" s="29" t="s">
        <v>1559</v>
      </c>
      <c r="H127" s="10" t="s">
        <v>19</v>
      </c>
      <c r="I127" s="26">
        <v>45617</v>
      </c>
      <c r="J127" s="34">
        <f>SUM(Assumptions!M144:P144)</f>
        <v>216</v>
      </c>
    </row>
    <row r="128" spans="2:10" ht="14.25" customHeight="1" x14ac:dyDescent="0.25">
      <c r="B128" s="10" t="s">
        <v>756</v>
      </c>
      <c r="C128" s="8" t="s">
        <v>366</v>
      </c>
      <c r="D128" s="8" t="s">
        <v>1266</v>
      </c>
      <c r="E128" s="10" t="s">
        <v>23</v>
      </c>
      <c r="F128" s="10" t="s">
        <v>11</v>
      </c>
      <c r="G128" s="29" t="s">
        <v>1554</v>
      </c>
      <c r="H128" s="10" t="s">
        <v>43</v>
      </c>
      <c r="I128" s="26">
        <v>45631</v>
      </c>
      <c r="J128" s="34">
        <f>SUM(Assumptions!M145:P145)</f>
        <v>231</v>
      </c>
    </row>
    <row r="129" spans="2:10" ht="14.25" customHeight="1" x14ac:dyDescent="0.25">
      <c r="B129" s="10" t="s">
        <v>757</v>
      </c>
      <c r="C129" s="8" t="s">
        <v>367</v>
      </c>
      <c r="D129" s="8" t="s">
        <v>1140</v>
      </c>
      <c r="E129" s="10" t="s">
        <v>342</v>
      </c>
      <c r="F129" s="10" t="s">
        <v>24</v>
      </c>
      <c r="G129" s="29" t="s">
        <v>1559</v>
      </c>
      <c r="H129" s="17" t="s">
        <v>339</v>
      </c>
      <c r="I129" s="26">
        <v>45645</v>
      </c>
      <c r="J129" s="34">
        <f>SUM(Assumptions!M146:P146)</f>
        <v>186</v>
      </c>
    </row>
    <row r="130" spans="2:10" ht="14.25" customHeight="1" x14ac:dyDescent="0.25">
      <c r="B130" s="10" t="s">
        <v>758</v>
      </c>
      <c r="C130" s="8" t="s">
        <v>368</v>
      </c>
      <c r="D130" s="8" t="s">
        <v>1141</v>
      </c>
      <c r="E130" s="24" t="s">
        <v>340</v>
      </c>
      <c r="F130" s="10" t="s">
        <v>11</v>
      </c>
      <c r="G130" s="29" t="s">
        <v>1553</v>
      </c>
      <c r="H130" s="24" t="s">
        <v>345</v>
      </c>
      <c r="I130" s="26">
        <v>45666</v>
      </c>
      <c r="J130" s="34">
        <f>SUM(Assumptions!M147:P147)</f>
        <v>202</v>
      </c>
    </row>
    <row r="131" spans="2:10" ht="14.25" customHeight="1" x14ac:dyDescent="0.25">
      <c r="B131" s="10" t="s">
        <v>759</v>
      </c>
      <c r="C131" s="8" t="s">
        <v>369</v>
      </c>
      <c r="D131" s="8" t="s">
        <v>1267</v>
      </c>
      <c r="E131" s="10" t="s">
        <v>343</v>
      </c>
      <c r="F131" s="10" t="s">
        <v>24</v>
      </c>
      <c r="G131" s="29" t="s">
        <v>1556</v>
      </c>
      <c r="H131" s="10" t="s">
        <v>33</v>
      </c>
      <c r="I131" s="26">
        <v>45680</v>
      </c>
      <c r="J131" s="34">
        <f>SUM(Assumptions!M148:P148)</f>
        <v>213</v>
      </c>
    </row>
    <row r="132" spans="2:10" ht="14.25" customHeight="1" x14ac:dyDescent="0.25">
      <c r="B132" s="10" t="s">
        <v>760</v>
      </c>
      <c r="C132" s="8" t="s">
        <v>370</v>
      </c>
      <c r="D132" s="8" t="s">
        <v>1268</v>
      </c>
      <c r="E132" s="10" t="s">
        <v>335</v>
      </c>
      <c r="F132" s="10" t="s">
        <v>11</v>
      </c>
      <c r="G132" s="29" t="s">
        <v>1558</v>
      </c>
      <c r="H132" s="10" t="s">
        <v>13</v>
      </c>
      <c r="I132" s="26">
        <v>45694</v>
      </c>
      <c r="J132" s="34">
        <f>SUM(Assumptions!M149:P149)</f>
        <v>240</v>
      </c>
    </row>
    <row r="133" spans="2:10" ht="14.25" customHeight="1" x14ac:dyDescent="0.25">
      <c r="B133" s="10" t="s">
        <v>761</v>
      </c>
      <c r="C133" s="8" t="s">
        <v>371</v>
      </c>
      <c r="D133" s="8" t="s">
        <v>1142</v>
      </c>
      <c r="E133" s="10" t="s">
        <v>338</v>
      </c>
      <c r="F133" s="10" t="s">
        <v>24</v>
      </c>
      <c r="G133" s="29" t="s">
        <v>1561</v>
      </c>
      <c r="H133" s="10" t="s">
        <v>19</v>
      </c>
      <c r="I133" s="26">
        <v>45708</v>
      </c>
      <c r="J133" s="34">
        <f>SUM(Assumptions!M150:P150)</f>
        <v>218</v>
      </c>
    </row>
    <row r="134" spans="2:10" ht="14.25" customHeight="1" x14ac:dyDescent="0.25">
      <c r="B134" s="10" t="s">
        <v>762</v>
      </c>
      <c r="C134" s="8" t="s">
        <v>372</v>
      </c>
      <c r="D134" s="8" t="s">
        <v>1143</v>
      </c>
      <c r="E134" s="23" t="s">
        <v>337</v>
      </c>
      <c r="F134" s="10" t="s">
        <v>11</v>
      </c>
      <c r="G134" s="29" t="s">
        <v>1552</v>
      </c>
      <c r="H134" s="10" t="s">
        <v>43</v>
      </c>
      <c r="I134" s="26">
        <v>45722</v>
      </c>
      <c r="J134" s="34">
        <f>SUM(Assumptions!M151:P151)</f>
        <v>231</v>
      </c>
    </row>
    <row r="135" spans="2:10" ht="14.25" customHeight="1" x14ac:dyDescent="0.25">
      <c r="B135" s="10" t="s">
        <v>763</v>
      </c>
      <c r="C135" s="8" t="s">
        <v>1240</v>
      </c>
      <c r="D135" s="8" t="s">
        <v>1269</v>
      </c>
      <c r="E135" s="23" t="s">
        <v>343</v>
      </c>
      <c r="F135" s="10" t="s">
        <v>11</v>
      </c>
      <c r="G135" s="29" t="s">
        <v>1555</v>
      </c>
      <c r="H135" s="17" t="s">
        <v>339</v>
      </c>
      <c r="I135" s="26">
        <v>45736</v>
      </c>
      <c r="J135" s="34">
        <f>SUM(Assumptions!M152:P152)</f>
        <v>205</v>
      </c>
    </row>
    <row r="136" spans="2:10" ht="14.25" customHeight="1" x14ac:dyDescent="0.25">
      <c r="B136" s="10" t="s">
        <v>764</v>
      </c>
      <c r="C136" s="8" t="s">
        <v>373</v>
      </c>
      <c r="D136" s="8" t="s">
        <v>1270</v>
      </c>
      <c r="E136" s="24" t="s">
        <v>340</v>
      </c>
      <c r="F136" s="10" t="s">
        <v>11</v>
      </c>
      <c r="G136" s="29" t="s">
        <v>1557</v>
      </c>
      <c r="H136" s="24" t="s">
        <v>345</v>
      </c>
      <c r="I136" s="26">
        <v>45750</v>
      </c>
      <c r="J136" s="34">
        <f>SUM(Assumptions!M153:P153)</f>
        <v>210</v>
      </c>
    </row>
    <row r="137" spans="2:10" ht="14.25" customHeight="1" x14ac:dyDescent="0.25">
      <c r="B137" s="10" t="s">
        <v>765</v>
      </c>
      <c r="C137" s="8" t="s">
        <v>374</v>
      </c>
      <c r="D137" s="8" t="s">
        <v>1271</v>
      </c>
      <c r="E137" s="10" t="s">
        <v>10</v>
      </c>
      <c r="F137" s="10" t="s">
        <v>11</v>
      </c>
      <c r="G137" s="29" t="s">
        <v>1560</v>
      </c>
      <c r="H137" s="10" t="s">
        <v>33</v>
      </c>
      <c r="I137" s="26">
        <v>45764</v>
      </c>
      <c r="J137" s="34">
        <f>SUM(Assumptions!M154:P154)</f>
        <v>254</v>
      </c>
    </row>
    <row r="138" spans="2:10" ht="14.25" customHeight="1" x14ac:dyDescent="0.25">
      <c r="B138" s="10" t="s">
        <v>766</v>
      </c>
      <c r="C138" s="8" t="s">
        <v>375</v>
      </c>
      <c r="D138" s="8" t="s">
        <v>1272</v>
      </c>
      <c r="E138" s="23" t="s">
        <v>344</v>
      </c>
      <c r="F138" s="10" t="s">
        <v>11</v>
      </c>
      <c r="G138" s="30" t="s">
        <v>12</v>
      </c>
      <c r="H138" s="10" t="s">
        <v>13</v>
      </c>
      <c r="I138" s="26">
        <v>45785</v>
      </c>
      <c r="J138" s="34">
        <f>SUM(Assumptions!M155:P155)</f>
        <v>184</v>
      </c>
    </row>
    <row r="139" spans="2:10" ht="14.25" customHeight="1" x14ac:dyDescent="0.25">
      <c r="B139" s="10" t="s">
        <v>767</v>
      </c>
      <c r="C139" s="8" t="s">
        <v>376</v>
      </c>
      <c r="D139" s="8" t="s">
        <v>1273</v>
      </c>
      <c r="E139" s="24" t="s">
        <v>338</v>
      </c>
      <c r="F139" s="10" t="s">
        <v>11</v>
      </c>
      <c r="G139" s="30" t="s">
        <v>12</v>
      </c>
      <c r="H139" s="10" t="s">
        <v>19</v>
      </c>
      <c r="I139" s="26">
        <v>45799</v>
      </c>
      <c r="J139" s="34">
        <f>SUM(Assumptions!M156:P156)</f>
        <v>190</v>
      </c>
    </row>
    <row r="140" spans="2:10" ht="14.25" customHeight="1" x14ac:dyDescent="0.25">
      <c r="B140" s="10" t="s">
        <v>768</v>
      </c>
      <c r="C140" s="8" t="s">
        <v>377</v>
      </c>
      <c r="D140" s="8" t="s">
        <v>1274</v>
      </c>
      <c r="E140" s="23" t="s">
        <v>23</v>
      </c>
      <c r="F140" s="10" t="s">
        <v>11</v>
      </c>
      <c r="G140" s="29" t="s">
        <v>1552</v>
      </c>
      <c r="H140" s="10" t="s">
        <v>43</v>
      </c>
      <c r="I140" s="26">
        <v>45820</v>
      </c>
      <c r="J140" s="34">
        <f>SUM(Assumptions!M157:P157)</f>
        <v>230</v>
      </c>
    </row>
    <row r="141" spans="2:10" ht="14.25" customHeight="1" x14ac:dyDescent="0.25">
      <c r="B141" s="10" t="s">
        <v>769</v>
      </c>
      <c r="C141" s="8" t="s">
        <v>378</v>
      </c>
      <c r="D141" s="8" t="s">
        <v>1275</v>
      </c>
      <c r="E141" s="10" t="s">
        <v>17</v>
      </c>
      <c r="F141" s="10" t="s">
        <v>11</v>
      </c>
      <c r="G141" s="29" t="s">
        <v>1553</v>
      </c>
      <c r="H141" s="17" t="s">
        <v>339</v>
      </c>
      <c r="I141" s="26">
        <v>45834</v>
      </c>
      <c r="J141" s="34">
        <f>SUM(Assumptions!M158:P158)</f>
        <v>212</v>
      </c>
    </row>
    <row r="142" spans="2:10" ht="14.25" customHeight="1" x14ac:dyDescent="0.25">
      <c r="B142" s="10" t="s">
        <v>770</v>
      </c>
      <c r="C142" s="8" t="s">
        <v>379</v>
      </c>
      <c r="D142" s="8" t="s">
        <v>1276</v>
      </c>
      <c r="E142" s="10" t="s">
        <v>10</v>
      </c>
      <c r="F142" s="10" t="s">
        <v>11</v>
      </c>
      <c r="G142" s="29" t="s">
        <v>1554</v>
      </c>
      <c r="H142" s="24" t="s">
        <v>345</v>
      </c>
      <c r="I142" s="26">
        <v>45848</v>
      </c>
      <c r="J142" s="34">
        <f>SUM(Assumptions!M159:P159)</f>
        <v>215</v>
      </c>
    </row>
    <row r="143" spans="2:10" ht="14.25" customHeight="1" x14ac:dyDescent="0.25">
      <c r="B143" s="10" t="s">
        <v>771</v>
      </c>
      <c r="C143" s="8" t="s">
        <v>380</v>
      </c>
      <c r="D143" s="8" t="s">
        <v>1277</v>
      </c>
      <c r="E143" s="10" t="s">
        <v>337</v>
      </c>
      <c r="F143" s="10" t="s">
        <v>11</v>
      </c>
      <c r="G143" s="29" t="s">
        <v>1555</v>
      </c>
      <c r="H143" s="10" t="s">
        <v>33</v>
      </c>
      <c r="I143" s="26">
        <v>45862</v>
      </c>
      <c r="J143" s="34">
        <f>SUM(Assumptions!M160:P160)</f>
        <v>240</v>
      </c>
    </row>
    <row r="144" spans="2:10" ht="14.25" customHeight="1" x14ac:dyDescent="0.25">
      <c r="B144" s="10" t="s">
        <v>772</v>
      </c>
      <c r="C144" s="8" t="s">
        <v>381</v>
      </c>
      <c r="D144" s="8" t="s">
        <v>1144</v>
      </c>
      <c r="E144" s="23" t="s">
        <v>338</v>
      </c>
      <c r="F144" s="10" t="s">
        <v>11</v>
      </c>
      <c r="G144" s="29" t="s">
        <v>1556</v>
      </c>
      <c r="H144" s="10" t="s">
        <v>13</v>
      </c>
      <c r="I144" s="26">
        <v>45876</v>
      </c>
      <c r="J144" s="34">
        <f>SUM(Assumptions!M161:P161)</f>
        <v>230</v>
      </c>
    </row>
    <row r="145" spans="2:10" ht="14.25" customHeight="1" x14ac:dyDescent="0.25">
      <c r="B145" s="10" t="s">
        <v>773</v>
      </c>
      <c r="C145" s="8" t="s">
        <v>382</v>
      </c>
      <c r="D145" s="8" t="s">
        <v>1278</v>
      </c>
      <c r="E145" s="23" t="s">
        <v>338</v>
      </c>
      <c r="F145" s="10" t="s">
        <v>11</v>
      </c>
      <c r="G145" s="29" t="s">
        <v>1559</v>
      </c>
      <c r="H145" s="10" t="s">
        <v>19</v>
      </c>
      <c r="I145" s="26">
        <v>45890</v>
      </c>
      <c r="J145" s="34">
        <f>SUM(Assumptions!M162:P162)</f>
        <v>233</v>
      </c>
    </row>
    <row r="146" spans="2:10" ht="14.25" customHeight="1" x14ac:dyDescent="0.25">
      <c r="B146" s="10" t="s">
        <v>774</v>
      </c>
      <c r="C146" s="8" t="s">
        <v>383</v>
      </c>
      <c r="D146" s="8" t="s">
        <v>1279</v>
      </c>
      <c r="E146" s="24" t="s">
        <v>335</v>
      </c>
      <c r="F146" s="10" t="s">
        <v>11</v>
      </c>
      <c r="G146" s="29" t="s">
        <v>1557</v>
      </c>
      <c r="H146" s="10" t="s">
        <v>43</v>
      </c>
      <c r="I146" s="26">
        <v>45904</v>
      </c>
      <c r="J146" s="34">
        <f>SUM(Assumptions!M163:P163)</f>
        <v>243</v>
      </c>
    </row>
    <row r="147" spans="2:10" ht="14.25" customHeight="1" x14ac:dyDescent="0.25">
      <c r="B147" s="10" t="s">
        <v>775</v>
      </c>
      <c r="C147" s="8" t="s">
        <v>384</v>
      </c>
      <c r="D147" s="8" t="s">
        <v>1280</v>
      </c>
      <c r="E147" s="10" t="s">
        <v>335</v>
      </c>
      <c r="F147" s="10" t="s">
        <v>11</v>
      </c>
      <c r="G147" s="29" t="s">
        <v>1558</v>
      </c>
      <c r="H147" s="17" t="s">
        <v>339</v>
      </c>
      <c r="I147" s="26">
        <v>45918</v>
      </c>
      <c r="J147" s="34">
        <f>SUM(Assumptions!M164:P164)</f>
        <v>219</v>
      </c>
    </row>
    <row r="148" spans="2:10" ht="14.25" customHeight="1" x14ac:dyDescent="0.25">
      <c r="B148" s="10" t="s">
        <v>776</v>
      </c>
      <c r="C148" s="8" t="s">
        <v>385</v>
      </c>
      <c r="D148" s="8" t="s">
        <v>1145</v>
      </c>
      <c r="E148" s="23" t="s">
        <v>342</v>
      </c>
      <c r="F148" s="10" t="s">
        <v>11</v>
      </c>
      <c r="G148" s="29" t="s">
        <v>1560</v>
      </c>
      <c r="H148" s="24" t="s">
        <v>345</v>
      </c>
      <c r="I148" s="26">
        <v>45932</v>
      </c>
      <c r="J148" s="34">
        <f>SUM(Assumptions!M165:P165)</f>
        <v>217</v>
      </c>
    </row>
    <row r="149" spans="2:10" ht="14.25" customHeight="1" x14ac:dyDescent="0.25">
      <c r="B149" s="10" t="s">
        <v>777</v>
      </c>
      <c r="C149" s="8" t="s">
        <v>386</v>
      </c>
      <c r="D149" s="8" t="s">
        <v>1146</v>
      </c>
      <c r="E149" s="24" t="s">
        <v>342</v>
      </c>
      <c r="F149" s="10" t="s">
        <v>11</v>
      </c>
      <c r="G149" s="29" t="s">
        <v>1561</v>
      </c>
      <c r="H149" s="10" t="s">
        <v>33</v>
      </c>
      <c r="I149" s="26">
        <v>45946</v>
      </c>
      <c r="J149" s="34">
        <f>SUM(Assumptions!M166:P166)</f>
        <v>247</v>
      </c>
    </row>
    <row r="150" spans="2:10" ht="14.25" customHeight="1" x14ac:dyDescent="0.25">
      <c r="B150" s="10" t="s">
        <v>778</v>
      </c>
      <c r="C150" s="8" t="s">
        <v>387</v>
      </c>
      <c r="D150" s="8" t="s">
        <v>1281</v>
      </c>
      <c r="E150" s="23" t="s">
        <v>10</v>
      </c>
      <c r="F150" s="10" t="s">
        <v>11</v>
      </c>
      <c r="G150" s="29" t="s">
        <v>1561</v>
      </c>
      <c r="H150" s="10" t="s">
        <v>13</v>
      </c>
      <c r="I150" s="26">
        <v>45960</v>
      </c>
      <c r="J150" s="34">
        <f>SUM(Assumptions!M167:P167)</f>
        <v>247</v>
      </c>
    </row>
    <row r="151" spans="2:10" ht="14.25" customHeight="1" x14ac:dyDescent="0.25">
      <c r="B151" s="10" t="s">
        <v>779</v>
      </c>
      <c r="C151" s="8" t="s">
        <v>388</v>
      </c>
      <c r="D151" s="8" t="s">
        <v>1147</v>
      </c>
      <c r="E151" s="10" t="s">
        <v>17</v>
      </c>
      <c r="F151" s="10" t="s">
        <v>11</v>
      </c>
      <c r="G151" s="29" t="s">
        <v>1560</v>
      </c>
      <c r="H151" s="10" t="s">
        <v>19</v>
      </c>
      <c r="I151" s="26">
        <v>45967</v>
      </c>
      <c r="J151" s="34">
        <f>SUM(Assumptions!M168:P168)</f>
        <v>245</v>
      </c>
    </row>
    <row r="152" spans="2:10" ht="14.25" customHeight="1" x14ac:dyDescent="0.25">
      <c r="B152" s="10" t="s">
        <v>780</v>
      </c>
      <c r="C152" s="8" t="s">
        <v>389</v>
      </c>
      <c r="D152" s="8" t="s">
        <v>1282</v>
      </c>
      <c r="E152" s="10" t="s">
        <v>10</v>
      </c>
      <c r="F152" s="10" t="s">
        <v>11</v>
      </c>
      <c r="G152" s="29" t="s">
        <v>1558</v>
      </c>
      <c r="H152" s="10" t="s">
        <v>43</v>
      </c>
      <c r="I152" s="26">
        <v>45981</v>
      </c>
      <c r="J152" s="34">
        <f>SUM(Assumptions!M169:P169)</f>
        <v>248</v>
      </c>
    </row>
    <row r="153" spans="2:10" ht="14.25" customHeight="1" x14ac:dyDescent="0.25">
      <c r="B153" s="10" t="s">
        <v>781</v>
      </c>
      <c r="C153" s="8" t="s">
        <v>390</v>
      </c>
      <c r="D153" s="8" t="s">
        <v>1148</v>
      </c>
      <c r="E153" s="10" t="s">
        <v>23</v>
      </c>
      <c r="F153" s="10" t="s">
        <v>24</v>
      </c>
      <c r="G153" s="29" t="s">
        <v>1557</v>
      </c>
      <c r="H153" s="17" t="s">
        <v>339</v>
      </c>
      <c r="I153" s="26">
        <v>44945</v>
      </c>
      <c r="J153" s="34">
        <f>SUM(Assumptions!M170:P170)</f>
        <v>192</v>
      </c>
    </row>
    <row r="154" spans="2:10" ht="14.25" customHeight="1" x14ac:dyDescent="0.25">
      <c r="B154" s="10" t="s">
        <v>782</v>
      </c>
      <c r="C154" s="8" t="s">
        <v>391</v>
      </c>
      <c r="D154" s="8" t="s">
        <v>1283</v>
      </c>
      <c r="E154" s="23" t="s">
        <v>17</v>
      </c>
      <c r="F154" s="10" t="s">
        <v>24</v>
      </c>
      <c r="G154" s="29" t="s">
        <v>1559</v>
      </c>
      <c r="H154" s="24" t="s">
        <v>345</v>
      </c>
      <c r="I154" s="26">
        <v>44966</v>
      </c>
      <c r="J154" s="34">
        <f>SUM(Assumptions!M171:P171)</f>
        <v>195</v>
      </c>
    </row>
    <row r="155" spans="2:10" ht="14.25" customHeight="1" x14ac:dyDescent="0.25">
      <c r="B155" s="10" t="s">
        <v>783</v>
      </c>
      <c r="C155" s="8" t="s">
        <v>392</v>
      </c>
      <c r="D155" s="8" t="s">
        <v>1284</v>
      </c>
      <c r="E155" s="23" t="s">
        <v>337</v>
      </c>
      <c r="F155" s="10" t="s">
        <v>24</v>
      </c>
      <c r="G155" s="29" t="s">
        <v>1556</v>
      </c>
      <c r="H155" s="10" t="s">
        <v>33</v>
      </c>
      <c r="I155" s="26">
        <v>44980</v>
      </c>
      <c r="J155" s="34">
        <f>SUM(Assumptions!M172:P172)</f>
        <v>218</v>
      </c>
    </row>
    <row r="156" spans="2:10" ht="14.25" customHeight="1" x14ac:dyDescent="0.25">
      <c r="B156" s="10" t="s">
        <v>784</v>
      </c>
      <c r="C156" s="8" t="s">
        <v>393</v>
      </c>
      <c r="D156" s="8" t="s">
        <v>1285</v>
      </c>
      <c r="E156" s="24" t="s">
        <v>338</v>
      </c>
      <c r="F156" s="10" t="s">
        <v>24</v>
      </c>
      <c r="G156" s="29" t="s">
        <v>1555</v>
      </c>
      <c r="H156" s="10" t="s">
        <v>13</v>
      </c>
      <c r="I156" s="26">
        <v>44987</v>
      </c>
      <c r="J156" s="34">
        <f>SUM(Assumptions!M173:P173)</f>
        <v>206</v>
      </c>
    </row>
    <row r="157" spans="2:10" ht="14.25" customHeight="1" x14ac:dyDescent="0.25">
      <c r="B157" s="10" t="s">
        <v>785</v>
      </c>
      <c r="C157" s="8" t="s">
        <v>394</v>
      </c>
      <c r="D157" s="8" t="s">
        <v>1286</v>
      </c>
      <c r="E157" s="10" t="s">
        <v>335</v>
      </c>
      <c r="F157" s="10" t="s">
        <v>24</v>
      </c>
      <c r="G157" s="29" t="s">
        <v>1554</v>
      </c>
      <c r="H157" s="10" t="s">
        <v>19</v>
      </c>
      <c r="I157" s="26">
        <v>45001</v>
      </c>
      <c r="J157" s="34">
        <f>SUM(Assumptions!M174:P174)</f>
        <v>209</v>
      </c>
    </row>
    <row r="158" spans="2:10" ht="14.25" customHeight="1" x14ac:dyDescent="0.25">
      <c r="B158" s="10" t="s">
        <v>786</v>
      </c>
      <c r="C158" s="8" t="s">
        <v>395</v>
      </c>
      <c r="D158" s="8" t="s">
        <v>1287</v>
      </c>
      <c r="E158" s="23" t="s">
        <v>342</v>
      </c>
      <c r="F158" s="10" t="s">
        <v>24</v>
      </c>
      <c r="G158" s="29" t="s">
        <v>1553</v>
      </c>
      <c r="H158" s="10" t="s">
        <v>43</v>
      </c>
      <c r="I158" s="26">
        <v>45015</v>
      </c>
      <c r="J158" s="34">
        <f>SUM(Assumptions!M175:P175)</f>
        <v>207</v>
      </c>
    </row>
    <row r="159" spans="2:10" ht="14.25" customHeight="1" x14ac:dyDescent="0.25">
      <c r="B159" s="10" t="s">
        <v>787</v>
      </c>
      <c r="C159" s="8" t="s">
        <v>396</v>
      </c>
      <c r="D159" s="8" t="s">
        <v>1288</v>
      </c>
      <c r="E159" s="24" t="s">
        <v>23</v>
      </c>
      <c r="F159" s="10" t="s">
        <v>24</v>
      </c>
      <c r="G159" s="29" t="s">
        <v>1552</v>
      </c>
      <c r="H159" s="17" t="s">
        <v>339</v>
      </c>
      <c r="I159" s="26">
        <v>45022</v>
      </c>
      <c r="J159" s="34">
        <f>SUM(Assumptions!M176:P176)</f>
        <v>182</v>
      </c>
    </row>
    <row r="160" spans="2:10" ht="14.25" customHeight="1" x14ac:dyDescent="0.25">
      <c r="B160" s="10" t="s">
        <v>788</v>
      </c>
      <c r="C160" s="8" t="s">
        <v>397</v>
      </c>
      <c r="D160" s="8" t="s">
        <v>1289</v>
      </c>
      <c r="E160" s="23" t="s">
        <v>17</v>
      </c>
      <c r="F160" s="10" t="s">
        <v>24</v>
      </c>
      <c r="G160" s="30" t="s">
        <v>12</v>
      </c>
      <c r="H160" s="24" t="s">
        <v>345</v>
      </c>
      <c r="I160" s="26">
        <v>45036</v>
      </c>
      <c r="J160" s="34">
        <f>SUM(Assumptions!M177:P177)</f>
        <v>152</v>
      </c>
    </row>
    <row r="161" spans="2:10" ht="14.25" customHeight="1" x14ac:dyDescent="0.25">
      <c r="B161" s="10" t="s">
        <v>789</v>
      </c>
      <c r="C161" s="8" t="s">
        <v>398</v>
      </c>
      <c r="D161" s="8" t="s">
        <v>1290</v>
      </c>
      <c r="E161" s="10" t="s">
        <v>10</v>
      </c>
      <c r="F161" s="10" t="s">
        <v>24</v>
      </c>
      <c r="G161" s="30" t="s">
        <v>12</v>
      </c>
      <c r="H161" s="10" t="s">
        <v>33</v>
      </c>
      <c r="I161" s="26">
        <v>45057</v>
      </c>
      <c r="J161" s="34">
        <f>SUM(Assumptions!M178:P178)</f>
        <v>182</v>
      </c>
    </row>
    <row r="162" spans="2:10" ht="14.25" customHeight="1" x14ac:dyDescent="0.25">
      <c r="B162" s="10" t="s">
        <v>790</v>
      </c>
      <c r="C162" s="8" t="s">
        <v>399</v>
      </c>
      <c r="D162" s="8" t="s">
        <v>1291</v>
      </c>
      <c r="E162" s="10" t="s">
        <v>343</v>
      </c>
      <c r="F162" s="10" t="s">
        <v>24</v>
      </c>
      <c r="G162" s="29" t="s">
        <v>1552</v>
      </c>
      <c r="H162" s="10" t="s">
        <v>13</v>
      </c>
      <c r="I162" s="26">
        <v>45071</v>
      </c>
      <c r="J162" s="34">
        <f>SUM(Assumptions!M179:P179)</f>
        <v>199</v>
      </c>
    </row>
    <row r="163" spans="2:10" ht="14.25" customHeight="1" x14ac:dyDescent="0.25">
      <c r="B163" s="10" t="s">
        <v>791</v>
      </c>
      <c r="C163" s="8" t="s">
        <v>400</v>
      </c>
      <c r="D163" s="8" t="s">
        <v>1292</v>
      </c>
      <c r="E163" s="10" t="s">
        <v>340</v>
      </c>
      <c r="F163" s="10" t="s">
        <v>24</v>
      </c>
      <c r="G163" s="29" t="s">
        <v>1555</v>
      </c>
      <c r="H163" s="10" t="s">
        <v>19</v>
      </c>
      <c r="I163" s="26">
        <v>45085</v>
      </c>
      <c r="J163" s="34">
        <f>SUM(Assumptions!M180:P180)</f>
        <v>202</v>
      </c>
    </row>
    <row r="164" spans="2:10" ht="14.25" customHeight="1" x14ac:dyDescent="0.25">
      <c r="B164" s="10" t="s">
        <v>792</v>
      </c>
      <c r="C164" s="8" t="s">
        <v>401</v>
      </c>
      <c r="D164" s="8" t="s">
        <v>1293</v>
      </c>
      <c r="E164" s="23" t="s">
        <v>344</v>
      </c>
      <c r="F164" s="10" t="s">
        <v>24</v>
      </c>
      <c r="G164" s="29" t="s">
        <v>1557</v>
      </c>
      <c r="H164" s="10" t="s">
        <v>43</v>
      </c>
      <c r="I164" s="26">
        <v>45099</v>
      </c>
      <c r="J164" s="34">
        <f>SUM(Assumptions!M181:P181)</f>
        <v>212</v>
      </c>
    </row>
    <row r="165" spans="2:10" ht="14.25" customHeight="1" x14ac:dyDescent="0.25">
      <c r="B165" s="10" t="s">
        <v>793</v>
      </c>
      <c r="C165" s="8" t="s">
        <v>402</v>
      </c>
      <c r="D165" s="8" t="s">
        <v>1294</v>
      </c>
      <c r="E165" s="23" t="s">
        <v>335</v>
      </c>
      <c r="F165" s="10" t="s">
        <v>24</v>
      </c>
      <c r="G165" s="29" t="s">
        <v>1560</v>
      </c>
      <c r="H165" s="17" t="s">
        <v>339</v>
      </c>
      <c r="I165" s="26">
        <v>45113</v>
      </c>
      <c r="J165" s="34">
        <f>SUM(Assumptions!M182:P182)</f>
        <v>197</v>
      </c>
    </row>
    <row r="166" spans="2:10" ht="14.25" customHeight="1" x14ac:dyDescent="0.25">
      <c r="B166" s="10" t="s">
        <v>794</v>
      </c>
      <c r="C166" s="8" t="s">
        <v>403</v>
      </c>
      <c r="D166" s="8" t="s">
        <v>1295</v>
      </c>
      <c r="E166" s="24" t="s">
        <v>343</v>
      </c>
      <c r="F166" s="10" t="s">
        <v>24</v>
      </c>
      <c r="G166" s="29" t="s">
        <v>1553</v>
      </c>
      <c r="H166" s="24" t="s">
        <v>345</v>
      </c>
      <c r="I166" s="26">
        <v>45127</v>
      </c>
      <c r="J166" s="34">
        <f>SUM(Assumptions!M183:P183)</f>
        <v>182</v>
      </c>
    </row>
    <row r="167" spans="2:10" ht="14.25" customHeight="1" x14ac:dyDescent="0.25">
      <c r="B167" s="10" t="s">
        <v>795</v>
      </c>
      <c r="C167" s="8" t="s">
        <v>404</v>
      </c>
      <c r="D167" s="8" t="s">
        <v>1149</v>
      </c>
      <c r="E167" s="10" t="s">
        <v>340</v>
      </c>
      <c r="F167" s="10" t="s">
        <v>24</v>
      </c>
      <c r="G167" s="29" t="s">
        <v>1556</v>
      </c>
      <c r="H167" s="10" t="s">
        <v>33</v>
      </c>
      <c r="I167" s="26">
        <v>45148</v>
      </c>
      <c r="J167" s="34">
        <f>SUM(Assumptions!M184:P184)</f>
        <v>210</v>
      </c>
    </row>
    <row r="168" spans="2:10" ht="14.25" customHeight="1" x14ac:dyDescent="0.25">
      <c r="B168" s="10" t="s">
        <v>796</v>
      </c>
      <c r="C168" s="8" t="s">
        <v>405</v>
      </c>
      <c r="D168" s="8" t="s">
        <v>1296</v>
      </c>
      <c r="E168" s="23" t="s">
        <v>344</v>
      </c>
      <c r="F168" s="10" t="s">
        <v>24</v>
      </c>
      <c r="G168" s="29" t="s">
        <v>1558</v>
      </c>
      <c r="H168" s="10" t="s">
        <v>13</v>
      </c>
      <c r="I168" s="26">
        <v>45162</v>
      </c>
      <c r="J168" s="34">
        <f>SUM(Assumptions!M185:P185)</f>
        <v>209</v>
      </c>
    </row>
    <row r="169" spans="2:10" ht="14.25" customHeight="1" x14ac:dyDescent="0.25">
      <c r="B169" s="10" t="s">
        <v>797</v>
      </c>
      <c r="C169" s="8" t="s">
        <v>406</v>
      </c>
      <c r="D169" s="8" t="s">
        <v>1297</v>
      </c>
      <c r="E169" s="23" t="s">
        <v>337</v>
      </c>
      <c r="F169" s="10" t="s">
        <v>24</v>
      </c>
      <c r="G169" s="29" t="s">
        <v>1561</v>
      </c>
      <c r="H169" s="10" t="s">
        <v>19</v>
      </c>
      <c r="I169" s="26">
        <v>45176</v>
      </c>
      <c r="J169" s="34">
        <f>SUM(Assumptions!M186:P186)</f>
        <v>220</v>
      </c>
    </row>
    <row r="170" spans="2:10" ht="14.25" customHeight="1" x14ac:dyDescent="0.25">
      <c r="B170" s="10" t="s">
        <v>798</v>
      </c>
      <c r="C170" s="8" t="s">
        <v>407</v>
      </c>
      <c r="D170" s="8" t="s">
        <v>1298</v>
      </c>
      <c r="E170" s="24" t="s">
        <v>338</v>
      </c>
      <c r="F170" s="10" t="s">
        <v>24</v>
      </c>
      <c r="G170" s="29" t="s">
        <v>1554</v>
      </c>
      <c r="H170" s="10" t="s">
        <v>43</v>
      </c>
      <c r="I170" s="26">
        <v>45190</v>
      </c>
      <c r="J170" s="34">
        <f>SUM(Assumptions!M187:P187)</f>
        <v>207</v>
      </c>
    </row>
    <row r="171" spans="2:10" ht="14.25" customHeight="1" x14ac:dyDescent="0.25">
      <c r="B171" s="10" t="s">
        <v>799</v>
      </c>
      <c r="C171" s="8" t="s">
        <v>408</v>
      </c>
      <c r="D171" s="8" t="s">
        <v>1299</v>
      </c>
      <c r="E171" s="10" t="s">
        <v>335</v>
      </c>
      <c r="F171" s="10" t="s">
        <v>24</v>
      </c>
      <c r="G171" s="29" t="s">
        <v>1559</v>
      </c>
      <c r="H171" s="17" t="s">
        <v>339</v>
      </c>
      <c r="I171" s="26">
        <v>45204</v>
      </c>
      <c r="J171" s="34">
        <f>SUM(Assumptions!M188:P188)</f>
        <v>191</v>
      </c>
    </row>
    <row r="172" spans="2:10" ht="14.25" customHeight="1" x14ac:dyDescent="0.25">
      <c r="B172" s="10" t="s">
        <v>800</v>
      </c>
      <c r="C172" s="8" t="s">
        <v>409</v>
      </c>
      <c r="D172" s="8" t="s">
        <v>1300</v>
      </c>
      <c r="E172" s="23" t="s">
        <v>343</v>
      </c>
      <c r="F172" s="10" t="s">
        <v>24</v>
      </c>
      <c r="G172" s="29" t="s">
        <v>1554</v>
      </c>
      <c r="H172" s="24" t="s">
        <v>345</v>
      </c>
      <c r="I172" s="26">
        <v>45218</v>
      </c>
      <c r="J172" s="34">
        <f>SUM(Assumptions!M189:P189)</f>
        <v>181</v>
      </c>
    </row>
    <row r="173" spans="2:10" ht="14.25" customHeight="1" x14ac:dyDescent="0.25">
      <c r="B173" s="10" t="s">
        <v>801</v>
      </c>
      <c r="C173" s="8" t="s">
        <v>410</v>
      </c>
      <c r="D173" s="8" t="s">
        <v>1301</v>
      </c>
      <c r="E173" s="24" t="s">
        <v>340</v>
      </c>
      <c r="F173" s="10" t="s">
        <v>24</v>
      </c>
      <c r="G173" s="29" t="s">
        <v>1559</v>
      </c>
      <c r="H173" s="10" t="s">
        <v>33</v>
      </c>
      <c r="I173" s="26">
        <v>45239</v>
      </c>
      <c r="J173" s="34">
        <f>SUM(Assumptions!M190:P190)</f>
        <v>211</v>
      </c>
    </row>
    <row r="174" spans="2:10" ht="14.25" customHeight="1" x14ac:dyDescent="0.25">
      <c r="B174" s="10" t="s">
        <v>802</v>
      </c>
      <c r="C174" s="8" t="s">
        <v>411</v>
      </c>
      <c r="D174" s="8" t="s">
        <v>1302</v>
      </c>
      <c r="E174" s="23" t="s">
        <v>342</v>
      </c>
      <c r="F174" s="10" t="s">
        <v>24</v>
      </c>
      <c r="G174" s="29" t="s">
        <v>1553</v>
      </c>
      <c r="H174" s="10" t="s">
        <v>13</v>
      </c>
      <c r="I174" s="26">
        <v>45253</v>
      </c>
      <c r="J174" s="34">
        <f>SUM(Assumptions!M191:P191)</f>
        <v>203</v>
      </c>
    </row>
    <row r="175" spans="2:10" ht="14.25" customHeight="1" x14ac:dyDescent="0.25">
      <c r="B175" s="10" t="s">
        <v>803</v>
      </c>
      <c r="C175" s="8" t="s">
        <v>412</v>
      </c>
      <c r="D175" s="8" t="s">
        <v>1303</v>
      </c>
      <c r="E175" s="10" t="s">
        <v>23</v>
      </c>
      <c r="F175" s="10" t="s">
        <v>24</v>
      </c>
      <c r="G175" s="29" t="s">
        <v>1556</v>
      </c>
      <c r="H175" s="10" t="s">
        <v>19</v>
      </c>
      <c r="I175" s="26">
        <v>45267</v>
      </c>
      <c r="J175" s="34">
        <f>SUM(Assumptions!M192:P192)</f>
        <v>210</v>
      </c>
    </row>
    <row r="176" spans="2:10" ht="14.25" customHeight="1" x14ac:dyDescent="0.25">
      <c r="B176" s="10" t="s">
        <v>804</v>
      </c>
      <c r="C176" s="8" t="s">
        <v>413</v>
      </c>
      <c r="D176" s="8" t="s">
        <v>1150</v>
      </c>
      <c r="E176" s="10" t="s">
        <v>17</v>
      </c>
      <c r="F176" s="10" t="s">
        <v>24</v>
      </c>
      <c r="G176" s="29" t="s">
        <v>1558</v>
      </c>
      <c r="H176" s="10" t="s">
        <v>43</v>
      </c>
      <c r="I176" s="26">
        <v>45281</v>
      </c>
      <c r="J176" s="34">
        <f>SUM(Assumptions!M193:P193)</f>
        <v>223</v>
      </c>
    </row>
    <row r="177" spans="2:10" ht="14.25" customHeight="1" x14ac:dyDescent="0.25">
      <c r="B177" s="10" t="s">
        <v>805</v>
      </c>
      <c r="C177" s="8" t="s">
        <v>414</v>
      </c>
      <c r="D177" s="8" t="s">
        <v>1151</v>
      </c>
      <c r="E177" s="10" t="s">
        <v>10</v>
      </c>
      <c r="F177" s="10" t="s">
        <v>24</v>
      </c>
      <c r="G177" s="29" t="s">
        <v>1561</v>
      </c>
      <c r="H177" s="17" t="s">
        <v>339</v>
      </c>
      <c r="I177" s="26">
        <v>45302</v>
      </c>
      <c r="J177" s="34">
        <f>SUM(Assumptions!M194:P194)</f>
        <v>203</v>
      </c>
    </row>
    <row r="178" spans="2:10" ht="14.25" customHeight="1" x14ac:dyDescent="0.25">
      <c r="B178" s="10" t="s">
        <v>806</v>
      </c>
      <c r="C178" s="8" t="s">
        <v>415</v>
      </c>
      <c r="D178" s="8" t="s">
        <v>1304</v>
      </c>
      <c r="E178" s="23" t="s">
        <v>344</v>
      </c>
      <c r="F178" s="10" t="s">
        <v>24</v>
      </c>
      <c r="G178" s="29" t="s">
        <v>1552</v>
      </c>
      <c r="H178" s="24" t="s">
        <v>345</v>
      </c>
      <c r="I178" s="26">
        <v>45316</v>
      </c>
      <c r="J178" s="34">
        <f>SUM(Assumptions!M195:P195)</f>
        <v>179</v>
      </c>
    </row>
    <row r="179" spans="2:10" ht="14.25" customHeight="1" x14ac:dyDescent="0.25">
      <c r="B179" s="10" t="s">
        <v>807</v>
      </c>
      <c r="C179" s="8" t="s">
        <v>416</v>
      </c>
      <c r="D179" s="8" t="s">
        <v>1305</v>
      </c>
      <c r="E179" s="23" t="s">
        <v>344</v>
      </c>
      <c r="F179" s="10" t="s">
        <v>24</v>
      </c>
      <c r="G179" s="29" t="s">
        <v>1555</v>
      </c>
      <c r="H179" s="10" t="s">
        <v>33</v>
      </c>
      <c r="I179" s="26">
        <v>45330</v>
      </c>
      <c r="J179" s="34">
        <f>SUM(Assumptions!M196:P196)</f>
        <v>211</v>
      </c>
    </row>
    <row r="180" spans="2:10" ht="14.25" customHeight="1" x14ac:dyDescent="0.25">
      <c r="B180" s="10" t="s">
        <v>808</v>
      </c>
      <c r="C180" s="8" t="s">
        <v>417</v>
      </c>
      <c r="D180" s="8" t="s">
        <v>1152</v>
      </c>
      <c r="E180" s="10" t="s">
        <v>10</v>
      </c>
      <c r="F180" s="10" t="s">
        <v>24</v>
      </c>
      <c r="G180" s="29" t="s">
        <v>1557</v>
      </c>
      <c r="H180" s="10" t="s">
        <v>13</v>
      </c>
      <c r="I180" s="26">
        <v>45344</v>
      </c>
      <c r="J180" s="34">
        <f>SUM(Assumptions!M197:P197)</f>
        <v>220</v>
      </c>
    </row>
    <row r="181" spans="2:10" ht="14.25" customHeight="1" x14ac:dyDescent="0.25">
      <c r="B181" s="10" t="s">
        <v>809</v>
      </c>
      <c r="C181" s="8" t="s">
        <v>418</v>
      </c>
      <c r="D181" s="8" t="s">
        <v>1306</v>
      </c>
      <c r="E181" s="24" t="s">
        <v>17</v>
      </c>
      <c r="F181" s="10" t="s">
        <v>24</v>
      </c>
      <c r="G181" s="29" t="s">
        <v>1560</v>
      </c>
      <c r="H181" s="10" t="s">
        <v>19</v>
      </c>
      <c r="I181" s="26">
        <v>45358</v>
      </c>
      <c r="J181" s="34">
        <f>SUM(Assumptions!M198:P198)</f>
        <v>222</v>
      </c>
    </row>
    <row r="182" spans="2:10" ht="14.25" customHeight="1" x14ac:dyDescent="0.25">
      <c r="B182" s="10" t="s">
        <v>810</v>
      </c>
      <c r="C182" s="8" t="s">
        <v>419</v>
      </c>
      <c r="D182" s="8" t="s">
        <v>1307</v>
      </c>
      <c r="E182" s="10" t="s">
        <v>23</v>
      </c>
      <c r="F182" s="10" t="s">
        <v>24</v>
      </c>
      <c r="G182" s="30" t="s">
        <v>12</v>
      </c>
      <c r="H182" s="10" t="s">
        <v>43</v>
      </c>
      <c r="I182" s="26">
        <v>45372</v>
      </c>
      <c r="J182" s="34">
        <f>SUM(Assumptions!M199:P199)</f>
        <v>170</v>
      </c>
    </row>
    <row r="183" spans="2:10" ht="14.25" customHeight="1" x14ac:dyDescent="0.25">
      <c r="B183" s="10" t="s">
        <v>811</v>
      </c>
      <c r="C183" s="8" t="s">
        <v>420</v>
      </c>
      <c r="D183" s="8" t="s">
        <v>1153</v>
      </c>
      <c r="E183" s="10" t="s">
        <v>342</v>
      </c>
      <c r="F183" s="10" t="s">
        <v>24</v>
      </c>
      <c r="G183" s="30" t="s">
        <v>12</v>
      </c>
      <c r="H183" s="17" t="s">
        <v>339</v>
      </c>
      <c r="I183" s="26">
        <v>45386</v>
      </c>
      <c r="J183" s="34">
        <f>SUM(Assumptions!M200:P200)</f>
        <v>143</v>
      </c>
    </row>
    <row r="184" spans="2:10" ht="14.25" customHeight="1" x14ac:dyDescent="0.25">
      <c r="B184" s="10" t="s">
        <v>812</v>
      </c>
      <c r="C184" s="8" t="s">
        <v>421</v>
      </c>
      <c r="D184" s="8" t="s">
        <v>1154</v>
      </c>
      <c r="E184" s="24" t="s">
        <v>340</v>
      </c>
      <c r="F184" s="10" t="s">
        <v>24</v>
      </c>
      <c r="G184" s="29" t="s">
        <v>1552</v>
      </c>
      <c r="H184" s="24" t="s">
        <v>345</v>
      </c>
      <c r="I184" s="26">
        <v>45400</v>
      </c>
      <c r="J184" s="34">
        <f>SUM(Assumptions!M201:P201)</f>
        <v>177</v>
      </c>
    </row>
    <row r="185" spans="2:10" ht="14.25" customHeight="1" x14ac:dyDescent="0.25">
      <c r="B185" s="10" t="s">
        <v>813</v>
      </c>
      <c r="C185" s="8" t="s">
        <v>422</v>
      </c>
      <c r="D185" s="8" t="s">
        <v>1308</v>
      </c>
      <c r="E185" s="10" t="s">
        <v>343</v>
      </c>
      <c r="F185" s="10" t="s">
        <v>11</v>
      </c>
      <c r="G185" s="29" t="s">
        <v>1553</v>
      </c>
      <c r="H185" s="10" t="s">
        <v>33</v>
      </c>
      <c r="I185" s="26">
        <v>45414</v>
      </c>
      <c r="J185" s="34">
        <f>SUM(Assumptions!M202:P202)</f>
        <v>233</v>
      </c>
    </row>
    <row r="186" spans="2:10" ht="14.25" customHeight="1" x14ac:dyDescent="0.25">
      <c r="B186" s="10" t="s">
        <v>814</v>
      </c>
      <c r="C186" s="8" t="s">
        <v>423</v>
      </c>
      <c r="D186" s="8" t="s">
        <v>1309</v>
      </c>
      <c r="E186" s="10" t="s">
        <v>335</v>
      </c>
      <c r="F186" s="10" t="s">
        <v>11</v>
      </c>
      <c r="G186" s="29" t="s">
        <v>1554</v>
      </c>
      <c r="H186" s="10" t="s">
        <v>13</v>
      </c>
      <c r="I186" s="26">
        <v>45428</v>
      </c>
      <c r="J186" s="34">
        <f>SUM(Assumptions!M203:P203)</f>
        <v>230</v>
      </c>
    </row>
    <row r="187" spans="2:10" ht="14.25" customHeight="1" x14ac:dyDescent="0.25">
      <c r="B187" s="10" t="s">
        <v>815</v>
      </c>
      <c r="C187" s="8" t="s">
        <v>424</v>
      </c>
      <c r="D187" s="8" t="s">
        <v>1310</v>
      </c>
      <c r="E187" s="10" t="s">
        <v>338</v>
      </c>
      <c r="F187" s="10" t="s">
        <v>24</v>
      </c>
      <c r="G187" s="29" t="s">
        <v>1555</v>
      </c>
      <c r="H187" s="10" t="s">
        <v>19</v>
      </c>
      <c r="I187" s="26">
        <v>45442</v>
      </c>
      <c r="J187" s="34">
        <f>SUM(Assumptions!M204:P204)</f>
        <v>208</v>
      </c>
    </row>
    <row r="188" spans="2:10" ht="14.25" customHeight="1" x14ac:dyDescent="0.25">
      <c r="B188" s="10" t="s">
        <v>816</v>
      </c>
      <c r="C188" s="8" t="s">
        <v>425</v>
      </c>
      <c r="D188" s="8" t="s">
        <v>1311</v>
      </c>
      <c r="E188" s="23" t="s">
        <v>337</v>
      </c>
      <c r="F188" s="10" t="s">
        <v>24</v>
      </c>
      <c r="G188" s="29" t="s">
        <v>1556</v>
      </c>
      <c r="H188" s="10" t="s">
        <v>43</v>
      </c>
      <c r="I188" s="26">
        <v>45449</v>
      </c>
      <c r="J188" s="34">
        <f>SUM(Assumptions!M205:P205)</f>
        <v>213</v>
      </c>
    </row>
    <row r="189" spans="2:10" ht="14.25" customHeight="1" x14ac:dyDescent="0.25">
      <c r="B189" s="10" t="s">
        <v>817</v>
      </c>
      <c r="C189" s="8" t="s">
        <v>1241</v>
      </c>
      <c r="D189" s="8" t="s">
        <v>1312</v>
      </c>
      <c r="E189" s="23" t="s">
        <v>343</v>
      </c>
      <c r="F189" s="10" t="s">
        <v>24</v>
      </c>
      <c r="G189" s="29" t="s">
        <v>1559</v>
      </c>
      <c r="H189" s="17" t="s">
        <v>339</v>
      </c>
      <c r="I189" s="26">
        <v>45463</v>
      </c>
      <c r="J189" s="34">
        <f>SUM(Assumptions!M206:P206)</f>
        <v>184</v>
      </c>
    </row>
    <row r="190" spans="2:10" ht="14.25" customHeight="1" x14ac:dyDescent="0.25">
      <c r="B190" s="10" t="s">
        <v>818</v>
      </c>
      <c r="C190" s="8" t="s">
        <v>426</v>
      </c>
      <c r="D190" s="8" t="s">
        <v>1313</v>
      </c>
      <c r="E190" s="24" t="s">
        <v>340</v>
      </c>
      <c r="F190" s="10" t="s">
        <v>11</v>
      </c>
      <c r="G190" s="29" t="s">
        <v>1557</v>
      </c>
      <c r="H190" s="24" t="s">
        <v>345</v>
      </c>
      <c r="I190" s="26">
        <v>45477</v>
      </c>
      <c r="J190" s="34">
        <f>SUM(Assumptions!M207:P207)</f>
        <v>210</v>
      </c>
    </row>
    <row r="191" spans="2:10" ht="14.25" customHeight="1" x14ac:dyDescent="0.25">
      <c r="B191" s="10" t="s">
        <v>819</v>
      </c>
      <c r="C191" s="8" t="s">
        <v>427</v>
      </c>
      <c r="D191" s="8" t="s">
        <v>1314</v>
      </c>
      <c r="E191" s="10" t="s">
        <v>10</v>
      </c>
      <c r="F191" s="10" t="s">
        <v>24</v>
      </c>
      <c r="G191" s="29" t="s">
        <v>1558</v>
      </c>
      <c r="H191" s="10" t="s">
        <v>33</v>
      </c>
      <c r="I191" s="26">
        <v>45491</v>
      </c>
      <c r="J191" s="34">
        <f>SUM(Assumptions!M208:P208)</f>
        <v>230</v>
      </c>
    </row>
    <row r="192" spans="2:10" ht="14.25" customHeight="1" x14ac:dyDescent="0.25">
      <c r="B192" s="10" t="s">
        <v>820</v>
      </c>
      <c r="C192" s="8" t="s">
        <v>428</v>
      </c>
      <c r="D192" s="8" t="s">
        <v>1315</v>
      </c>
      <c r="E192" s="23" t="s">
        <v>344</v>
      </c>
      <c r="F192" s="10" t="s">
        <v>11</v>
      </c>
      <c r="G192" s="29" t="s">
        <v>1560</v>
      </c>
      <c r="H192" s="10" t="s">
        <v>13</v>
      </c>
      <c r="I192" s="26">
        <v>45505</v>
      </c>
      <c r="J192" s="34">
        <f>SUM(Assumptions!M209:P209)</f>
        <v>233</v>
      </c>
    </row>
    <row r="193" spans="2:10" ht="14.25" customHeight="1" x14ac:dyDescent="0.25">
      <c r="B193" s="10" t="s">
        <v>821</v>
      </c>
      <c r="C193" s="8" t="s">
        <v>429</v>
      </c>
      <c r="D193" s="8" t="s">
        <v>1316</v>
      </c>
      <c r="E193" s="24" t="s">
        <v>338</v>
      </c>
      <c r="F193" s="10" t="s">
        <v>11</v>
      </c>
      <c r="G193" s="29" t="s">
        <v>1561</v>
      </c>
      <c r="H193" s="10" t="s">
        <v>19</v>
      </c>
      <c r="I193" s="26">
        <v>45519</v>
      </c>
      <c r="J193" s="34">
        <f>SUM(Assumptions!M210:P210)</f>
        <v>241</v>
      </c>
    </row>
    <row r="194" spans="2:10" ht="14.25" customHeight="1" x14ac:dyDescent="0.25">
      <c r="B194" s="10" t="s">
        <v>822</v>
      </c>
      <c r="C194" s="8" t="s">
        <v>430</v>
      </c>
      <c r="D194" s="8" t="s">
        <v>1317</v>
      </c>
      <c r="E194" s="23" t="s">
        <v>23</v>
      </c>
      <c r="F194" s="10" t="s">
        <v>11</v>
      </c>
      <c r="G194" s="29" t="s">
        <v>1561</v>
      </c>
      <c r="H194" s="10" t="s">
        <v>43</v>
      </c>
      <c r="I194" s="26">
        <v>45533</v>
      </c>
      <c r="J194" s="34">
        <f>SUM(Assumptions!M211:P211)</f>
        <v>244</v>
      </c>
    </row>
    <row r="195" spans="2:10" ht="14.25" customHeight="1" x14ac:dyDescent="0.25">
      <c r="B195" s="10" t="s">
        <v>823</v>
      </c>
      <c r="C195" s="8" t="s">
        <v>431</v>
      </c>
      <c r="D195" s="8" t="s">
        <v>1155</v>
      </c>
      <c r="E195" s="10" t="s">
        <v>17</v>
      </c>
      <c r="F195" s="10" t="s">
        <v>24</v>
      </c>
      <c r="G195" s="29" t="s">
        <v>1560</v>
      </c>
      <c r="H195" s="17" t="s">
        <v>339</v>
      </c>
      <c r="I195" s="26">
        <v>45540</v>
      </c>
      <c r="J195" s="34">
        <f>SUM(Assumptions!M212:P212)</f>
        <v>199</v>
      </c>
    </row>
    <row r="196" spans="2:10" ht="14.25" customHeight="1" x14ac:dyDescent="0.25">
      <c r="B196" s="10" t="s">
        <v>824</v>
      </c>
      <c r="C196" s="8" t="s">
        <v>432</v>
      </c>
      <c r="D196" s="8" t="s">
        <v>1318</v>
      </c>
      <c r="E196" s="10" t="s">
        <v>10</v>
      </c>
      <c r="F196" s="10" t="s">
        <v>24</v>
      </c>
      <c r="G196" s="29" t="s">
        <v>1558</v>
      </c>
      <c r="H196" s="24" t="s">
        <v>345</v>
      </c>
      <c r="I196" s="26">
        <v>45554</v>
      </c>
      <c r="J196" s="34">
        <f>SUM(Assumptions!M213:P213)</f>
        <v>202</v>
      </c>
    </row>
    <row r="197" spans="2:10" ht="14.25" customHeight="1" x14ac:dyDescent="0.25">
      <c r="B197" s="10" t="s">
        <v>825</v>
      </c>
      <c r="C197" s="8" t="s">
        <v>433</v>
      </c>
      <c r="D197" s="8" t="s">
        <v>1156</v>
      </c>
      <c r="E197" s="10" t="s">
        <v>337</v>
      </c>
      <c r="F197" s="10" t="s">
        <v>24</v>
      </c>
      <c r="G197" s="29" t="s">
        <v>1557</v>
      </c>
      <c r="H197" s="10" t="s">
        <v>33</v>
      </c>
      <c r="I197" s="26">
        <v>45575</v>
      </c>
      <c r="J197" s="34">
        <f>SUM(Assumptions!M214:P214)</f>
        <v>223</v>
      </c>
    </row>
    <row r="198" spans="2:10" ht="14.25" customHeight="1" x14ac:dyDescent="0.25">
      <c r="B198" s="10" t="s">
        <v>826</v>
      </c>
      <c r="C198" s="8" t="s">
        <v>434</v>
      </c>
      <c r="D198" s="8" t="s">
        <v>1157</v>
      </c>
      <c r="E198" s="23" t="s">
        <v>338</v>
      </c>
      <c r="F198" s="10" t="s">
        <v>24</v>
      </c>
      <c r="G198" s="29" t="s">
        <v>1559</v>
      </c>
      <c r="H198" s="10" t="s">
        <v>13</v>
      </c>
      <c r="I198" s="26">
        <v>45589</v>
      </c>
      <c r="J198" s="34">
        <f>SUM(Assumptions!M215:P215)</f>
        <v>208</v>
      </c>
    </row>
    <row r="199" spans="2:10" ht="14.25" customHeight="1" x14ac:dyDescent="0.25">
      <c r="B199" s="10" t="s">
        <v>827</v>
      </c>
      <c r="C199" s="8" t="s">
        <v>435</v>
      </c>
      <c r="D199" s="8" t="s">
        <v>1319</v>
      </c>
      <c r="E199" s="23" t="s">
        <v>338</v>
      </c>
      <c r="F199" s="10" t="s">
        <v>24</v>
      </c>
      <c r="G199" s="29" t="s">
        <v>1556</v>
      </c>
      <c r="H199" s="10" t="s">
        <v>19</v>
      </c>
      <c r="I199" s="26">
        <v>45603</v>
      </c>
      <c r="J199" s="34">
        <f>SUM(Assumptions!M216:P216)</f>
        <v>209</v>
      </c>
    </row>
    <row r="200" spans="2:10" ht="14.25" customHeight="1" x14ac:dyDescent="0.25">
      <c r="B200" s="10" t="s">
        <v>828</v>
      </c>
      <c r="C200" s="8" t="s">
        <v>436</v>
      </c>
      <c r="D200" s="8" t="s">
        <v>1320</v>
      </c>
      <c r="E200" s="24" t="s">
        <v>335</v>
      </c>
      <c r="F200" s="10" t="s">
        <v>24</v>
      </c>
      <c r="G200" s="29" t="s">
        <v>1555</v>
      </c>
      <c r="H200" s="10" t="s">
        <v>43</v>
      </c>
      <c r="I200" s="26">
        <v>45617</v>
      </c>
      <c r="J200" s="34">
        <f>SUM(Assumptions!M217:P217)</f>
        <v>214</v>
      </c>
    </row>
    <row r="201" spans="2:10" ht="14.25" customHeight="1" x14ac:dyDescent="0.25">
      <c r="B201" s="10" t="s">
        <v>829</v>
      </c>
      <c r="C201" s="8" t="s">
        <v>437</v>
      </c>
      <c r="D201" s="8" t="s">
        <v>1158</v>
      </c>
      <c r="E201" s="10" t="s">
        <v>335</v>
      </c>
      <c r="F201" s="10" t="s">
        <v>11</v>
      </c>
      <c r="G201" s="29" t="s">
        <v>1554</v>
      </c>
      <c r="H201" s="17" t="s">
        <v>339</v>
      </c>
      <c r="I201" s="26">
        <v>45631</v>
      </c>
      <c r="J201" s="34">
        <f>SUM(Assumptions!M218:P218)</f>
        <v>209</v>
      </c>
    </row>
    <row r="202" spans="2:10" ht="14.25" customHeight="1" x14ac:dyDescent="0.25">
      <c r="B202" s="10" t="s">
        <v>830</v>
      </c>
      <c r="C202" s="8" t="s">
        <v>438</v>
      </c>
      <c r="D202" s="8" t="s">
        <v>1159</v>
      </c>
      <c r="E202" s="23" t="s">
        <v>342</v>
      </c>
      <c r="F202" s="10" t="s">
        <v>11</v>
      </c>
      <c r="G202" s="29" t="s">
        <v>1553</v>
      </c>
      <c r="H202" s="24" t="s">
        <v>345</v>
      </c>
      <c r="I202" s="26">
        <v>45645</v>
      </c>
      <c r="J202" s="34">
        <f>SUM(Assumptions!M219:P219)</f>
        <v>207</v>
      </c>
    </row>
    <row r="203" spans="2:10" ht="14.25" customHeight="1" x14ac:dyDescent="0.25">
      <c r="B203" s="10" t="s">
        <v>831</v>
      </c>
      <c r="C203" s="8" t="s">
        <v>439</v>
      </c>
      <c r="D203" s="8" t="s">
        <v>1321</v>
      </c>
      <c r="E203" s="24" t="s">
        <v>342</v>
      </c>
      <c r="F203" s="10" t="s">
        <v>24</v>
      </c>
      <c r="G203" s="29" t="s">
        <v>1552</v>
      </c>
      <c r="H203" s="10" t="s">
        <v>33</v>
      </c>
      <c r="I203" s="26">
        <v>45666</v>
      </c>
      <c r="J203" s="34">
        <f>SUM(Assumptions!M220:P220)</f>
        <v>210</v>
      </c>
    </row>
    <row r="204" spans="2:10" ht="14.25" customHeight="1" x14ac:dyDescent="0.25">
      <c r="B204" s="10" t="s">
        <v>832</v>
      </c>
      <c r="C204" s="8" t="s">
        <v>440</v>
      </c>
      <c r="D204" s="8" t="s">
        <v>1322</v>
      </c>
      <c r="E204" s="23" t="s">
        <v>10</v>
      </c>
      <c r="F204" s="10" t="s">
        <v>24</v>
      </c>
      <c r="G204" s="30" t="s">
        <v>12</v>
      </c>
      <c r="H204" s="10" t="s">
        <v>13</v>
      </c>
      <c r="I204" s="26">
        <v>45680</v>
      </c>
      <c r="J204" s="34">
        <f>SUM(Assumptions!M221:P221)</f>
        <v>173</v>
      </c>
    </row>
    <row r="205" spans="2:10" ht="14.25" customHeight="1" x14ac:dyDescent="0.25">
      <c r="B205" s="10" t="s">
        <v>833</v>
      </c>
      <c r="C205" s="8" t="s">
        <v>441</v>
      </c>
      <c r="D205" s="8" t="s">
        <v>1323</v>
      </c>
      <c r="E205" s="10" t="s">
        <v>17</v>
      </c>
      <c r="F205" s="10" t="s">
        <v>11</v>
      </c>
      <c r="G205" s="30" t="s">
        <v>12</v>
      </c>
      <c r="H205" s="10" t="s">
        <v>19</v>
      </c>
      <c r="I205" s="26">
        <v>45694</v>
      </c>
      <c r="J205" s="34">
        <f>SUM(Assumptions!M222:P222)</f>
        <v>196</v>
      </c>
    </row>
    <row r="206" spans="2:10" ht="14.25" customHeight="1" x14ac:dyDescent="0.25">
      <c r="B206" s="10" t="s">
        <v>834</v>
      </c>
      <c r="C206" s="8" t="s">
        <v>442</v>
      </c>
      <c r="D206" s="8" t="s">
        <v>1324</v>
      </c>
      <c r="E206" s="10" t="s">
        <v>10</v>
      </c>
      <c r="F206" s="10" t="s">
        <v>11</v>
      </c>
      <c r="G206" s="29" t="s">
        <v>1552</v>
      </c>
      <c r="H206" s="10" t="s">
        <v>43</v>
      </c>
      <c r="I206" s="26">
        <v>45708</v>
      </c>
      <c r="J206" s="34">
        <f>SUM(Assumptions!M223:P223)</f>
        <v>237</v>
      </c>
    </row>
    <row r="207" spans="2:10" ht="14.25" customHeight="1" x14ac:dyDescent="0.25">
      <c r="B207" s="10" t="s">
        <v>835</v>
      </c>
      <c r="C207" s="8" t="s">
        <v>443</v>
      </c>
      <c r="D207" s="8" t="s">
        <v>1325</v>
      </c>
      <c r="E207" s="10" t="s">
        <v>23</v>
      </c>
      <c r="F207" s="10" t="s">
        <v>11</v>
      </c>
      <c r="G207" s="29" t="s">
        <v>1555</v>
      </c>
      <c r="H207" s="17" t="s">
        <v>339</v>
      </c>
      <c r="I207" s="26">
        <v>45722</v>
      </c>
      <c r="J207" s="34">
        <f>SUM(Assumptions!M224:P224)</f>
        <v>209</v>
      </c>
    </row>
    <row r="208" spans="2:10" ht="14.25" customHeight="1" x14ac:dyDescent="0.25">
      <c r="B208" s="10" t="s">
        <v>836</v>
      </c>
      <c r="C208" s="8" t="s">
        <v>444</v>
      </c>
      <c r="D208" s="8" t="s">
        <v>1160</v>
      </c>
      <c r="E208" s="23" t="s">
        <v>17</v>
      </c>
      <c r="F208" s="10" t="s">
        <v>24</v>
      </c>
      <c r="G208" s="29" t="s">
        <v>1557</v>
      </c>
      <c r="H208" s="24" t="s">
        <v>345</v>
      </c>
      <c r="I208" s="26">
        <v>45736</v>
      </c>
      <c r="J208" s="34">
        <f>SUM(Assumptions!M225:P225)</f>
        <v>199</v>
      </c>
    </row>
    <row r="209" spans="2:10" ht="14.25" customHeight="1" x14ac:dyDescent="0.25">
      <c r="B209" s="10" t="s">
        <v>837</v>
      </c>
      <c r="C209" s="8" t="s">
        <v>445</v>
      </c>
      <c r="D209" s="8" t="s">
        <v>1326</v>
      </c>
      <c r="E209" s="23" t="s">
        <v>337</v>
      </c>
      <c r="F209" s="10" t="s">
        <v>11</v>
      </c>
      <c r="G209" s="29" t="s">
        <v>1560</v>
      </c>
      <c r="H209" s="10" t="s">
        <v>33</v>
      </c>
      <c r="I209" s="26">
        <v>45750</v>
      </c>
      <c r="J209" s="34">
        <f>SUM(Assumptions!M226:P226)</f>
        <v>248</v>
      </c>
    </row>
    <row r="210" spans="2:10" ht="14.25" customHeight="1" x14ac:dyDescent="0.25">
      <c r="B210" s="10" t="s">
        <v>838</v>
      </c>
      <c r="C210" s="8" t="s">
        <v>446</v>
      </c>
      <c r="D210" s="8" t="s">
        <v>1327</v>
      </c>
      <c r="E210" s="24" t="s">
        <v>338</v>
      </c>
      <c r="F210" s="10" t="s">
        <v>11</v>
      </c>
      <c r="G210" s="29" t="s">
        <v>1553</v>
      </c>
      <c r="H210" s="10" t="s">
        <v>13</v>
      </c>
      <c r="I210" s="26">
        <v>45764</v>
      </c>
      <c r="J210" s="34">
        <f>SUM(Assumptions!M227:P227)</f>
        <v>227</v>
      </c>
    </row>
    <row r="211" spans="2:10" ht="14.25" customHeight="1" x14ac:dyDescent="0.25">
      <c r="B211" s="10" t="s">
        <v>839</v>
      </c>
      <c r="C211" s="8" t="s">
        <v>447</v>
      </c>
      <c r="D211" s="8" t="s">
        <v>1328</v>
      </c>
      <c r="E211" s="10" t="s">
        <v>335</v>
      </c>
      <c r="F211" s="10" t="s">
        <v>24</v>
      </c>
      <c r="G211" s="29" t="s">
        <v>1556</v>
      </c>
      <c r="H211" s="10" t="s">
        <v>19</v>
      </c>
      <c r="I211" s="26">
        <v>45785</v>
      </c>
      <c r="J211" s="34">
        <f>SUM(Assumptions!M228:P228)</f>
        <v>213</v>
      </c>
    </row>
    <row r="212" spans="2:10" ht="14.25" customHeight="1" x14ac:dyDescent="0.25">
      <c r="B212" s="10" t="s">
        <v>840</v>
      </c>
      <c r="C212" s="8" t="s">
        <v>448</v>
      </c>
      <c r="D212" s="8" t="s">
        <v>1161</v>
      </c>
      <c r="E212" s="23" t="s">
        <v>342</v>
      </c>
      <c r="F212" s="10" t="s">
        <v>11</v>
      </c>
      <c r="G212" s="29" t="s">
        <v>1558</v>
      </c>
      <c r="H212" s="10" t="s">
        <v>43</v>
      </c>
      <c r="I212" s="26">
        <v>45799</v>
      </c>
      <c r="J212" s="34">
        <f>SUM(Assumptions!M229:P229)</f>
        <v>239</v>
      </c>
    </row>
    <row r="213" spans="2:10" ht="14.25" customHeight="1" x14ac:dyDescent="0.25">
      <c r="B213" s="10" t="s">
        <v>841</v>
      </c>
      <c r="C213" s="8" t="s">
        <v>449</v>
      </c>
      <c r="D213" s="8" t="s">
        <v>1162</v>
      </c>
      <c r="E213" s="24" t="s">
        <v>23</v>
      </c>
      <c r="F213" s="10" t="s">
        <v>24</v>
      </c>
      <c r="G213" s="29" t="s">
        <v>1561</v>
      </c>
      <c r="H213" s="17" t="s">
        <v>339</v>
      </c>
      <c r="I213" s="26">
        <v>45820</v>
      </c>
      <c r="J213" s="34">
        <f>SUM(Assumptions!M230:P230)</f>
        <v>196</v>
      </c>
    </row>
    <row r="214" spans="2:10" ht="14.25" customHeight="1" x14ac:dyDescent="0.25">
      <c r="B214" s="10" t="s">
        <v>842</v>
      </c>
      <c r="C214" s="8" t="s">
        <v>450</v>
      </c>
      <c r="D214" s="8" t="s">
        <v>1163</v>
      </c>
      <c r="E214" s="23" t="s">
        <v>17</v>
      </c>
      <c r="F214" s="10" t="s">
        <v>11</v>
      </c>
      <c r="G214" s="29" t="s">
        <v>1554</v>
      </c>
      <c r="H214" s="24" t="s">
        <v>345</v>
      </c>
      <c r="I214" s="26">
        <v>45834</v>
      </c>
      <c r="J214" s="34">
        <f>SUM(Assumptions!M231:P231)</f>
        <v>213</v>
      </c>
    </row>
    <row r="215" spans="2:10" ht="14.25" customHeight="1" x14ac:dyDescent="0.25">
      <c r="B215" s="10" t="s">
        <v>843</v>
      </c>
      <c r="C215" s="8" t="s">
        <v>451</v>
      </c>
      <c r="D215" s="8" t="s">
        <v>1164</v>
      </c>
      <c r="E215" s="10" t="s">
        <v>10</v>
      </c>
      <c r="F215" s="10" t="s">
        <v>24</v>
      </c>
      <c r="G215" s="29" t="s">
        <v>1559</v>
      </c>
      <c r="H215" s="10" t="s">
        <v>33</v>
      </c>
      <c r="I215" s="26">
        <v>45848</v>
      </c>
      <c r="J215" s="34">
        <f>SUM(Assumptions!M232:P232)</f>
        <v>225</v>
      </c>
    </row>
    <row r="216" spans="2:10" ht="14.25" customHeight="1" x14ac:dyDescent="0.25">
      <c r="B216" s="10" t="s">
        <v>844</v>
      </c>
      <c r="C216" s="8" t="s">
        <v>452</v>
      </c>
      <c r="D216" s="8" t="s">
        <v>1329</v>
      </c>
      <c r="E216" s="10" t="s">
        <v>343</v>
      </c>
      <c r="F216" s="10" t="s">
        <v>11</v>
      </c>
      <c r="G216" s="29" t="s">
        <v>1554</v>
      </c>
      <c r="H216" s="10" t="s">
        <v>13</v>
      </c>
      <c r="I216" s="26">
        <v>45862</v>
      </c>
      <c r="J216" s="34">
        <f>SUM(Assumptions!M233:P233)</f>
        <v>223</v>
      </c>
    </row>
    <row r="217" spans="2:10" ht="14.25" customHeight="1" x14ac:dyDescent="0.25">
      <c r="B217" s="10" t="s">
        <v>845</v>
      </c>
      <c r="C217" s="8" t="s">
        <v>453</v>
      </c>
      <c r="D217" s="8" t="s">
        <v>1330</v>
      </c>
      <c r="E217" s="10" t="s">
        <v>340</v>
      </c>
      <c r="F217" s="10" t="s">
        <v>24</v>
      </c>
      <c r="G217" s="29" t="s">
        <v>1559</v>
      </c>
      <c r="H217" s="10" t="s">
        <v>19</v>
      </c>
      <c r="I217" s="26">
        <v>45876</v>
      </c>
      <c r="J217" s="34">
        <f>SUM(Assumptions!M234:P234)</f>
        <v>204</v>
      </c>
    </row>
    <row r="218" spans="2:10" ht="14.25" customHeight="1" x14ac:dyDescent="0.25">
      <c r="B218" s="10" t="s">
        <v>846</v>
      </c>
      <c r="C218" s="8" t="s">
        <v>454</v>
      </c>
      <c r="D218" s="8" t="s">
        <v>1331</v>
      </c>
      <c r="E218" s="23" t="s">
        <v>344</v>
      </c>
      <c r="F218" s="10" t="s">
        <v>24</v>
      </c>
      <c r="G218" s="29" t="s">
        <v>1553</v>
      </c>
      <c r="H218" s="10" t="s">
        <v>43</v>
      </c>
      <c r="I218" s="26">
        <v>45890</v>
      </c>
      <c r="J218" s="34">
        <f>SUM(Assumptions!M235:P235)</f>
        <v>204</v>
      </c>
    </row>
    <row r="219" spans="2:10" ht="14.25" customHeight="1" x14ac:dyDescent="0.25">
      <c r="B219" s="10" t="s">
        <v>847</v>
      </c>
      <c r="C219" s="8" t="s">
        <v>455</v>
      </c>
      <c r="D219" s="8" t="s">
        <v>1165</v>
      </c>
      <c r="E219" s="23" t="s">
        <v>335</v>
      </c>
      <c r="F219" s="10" t="s">
        <v>24</v>
      </c>
      <c r="G219" s="29" t="s">
        <v>1556</v>
      </c>
      <c r="H219" s="17" t="s">
        <v>339</v>
      </c>
      <c r="I219" s="26">
        <v>45904</v>
      </c>
      <c r="J219" s="34">
        <f>SUM(Assumptions!M236:P236)</f>
        <v>190</v>
      </c>
    </row>
    <row r="220" spans="2:10" ht="14.25" customHeight="1" x14ac:dyDescent="0.25">
      <c r="B220" s="10" t="s">
        <v>848</v>
      </c>
      <c r="C220" s="8" t="s">
        <v>456</v>
      </c>
      <c r="D220" s="8" t="s">
        <v>1332</v>
      </c>
      <c r="E220" s="24" t="s">
        <v>343</v>
      </c>
      <c r="F220" s="10" t="s">
        <v>11</v>
      </c>
      <c r="G220" s="29" t="s">
        <v>1558</v>
      </c>
      <c r="H220" s="24" t="s">
        <v>345</v>
      </c>
      <c r="I220" s="26">
        <v>45918</v>
      </c>
      <c r="J220" s="34">
        <f>SUM(Assumptions!M237:P237)</f>
        <v>214</v>
      </c>
    </row>
    <row r="221" spans="2:10" ht="14.25" customHeight="1" x14ac:dyDescent="0.25">
      <c r="B221" s="10" t="s">
        <v>849</v>
      </c>
      <c r="C221" s="8" t="s">
        <v>457</v>
      </c>
      <c r="D221" s="8" t="s">
        <v>1333</v>
      </c>
      <c r="E221" s="10" t="s">
        <v>340</v>
      </c>
      <c r="F221" s="10" t="s">
        <v>24</v>
      </c>
      <c r="G221" s="29" t="s">
        <v>1561</v>
      </c>
      <c r="H221" s="10" t="s">
        <v>33</v>
      </c>
      <c r="I221" s="26">
        <v>45932</v>
      </c>
      <c r="J221" s="34">
        <f>SUM(Assumptions!M238:P238)</f>
        <v>219</v>
      </c>
    </row>
    <row r="222" spans="2:10" ht="14.25" customHeight="1" x14ac:dyDescent="0.25">
      <c r="B222" s="10" t="s">
        <v>850</v>
      </c>
      <c r="C222" s="8" t="s">
        <v>458</v>
      </c>
      <c r="D222" s="8" t="s">
        <v>1334</v>
      </c>
      <c r="E222" s="23" t="s">
        <v>344</v>
      </c>
      <c r="F222" s="10" t="s">
        <v>11</v>
      </c>
      <c r="G222" s="29" t="s">
        <v>1552</v>
      </c>
      <c r="H222" s="10" t="s">
        <v>13</v>
      </c>
      <c r="I222" s="26">
        <v>45946</v>
      </c>
      <c r="J222" s="34">
        <f>SUM(Assumptions!M239:P239)</f>
        <v>221</v>
      </c>
    </row>
    <row r="223" spans="2:10" ht="14.25" customHeight="1" x14ac:dyDescent="0.25">
      <c r="B223" s="10" t="s">
        <v>851</v>
      </c>
      <c r="C223" s="8" t="s">
        <v>459</v>
      </c>
      <c r="D223" s="8" t="s">
        <v>1335</v>
      </c>
      <c r="E223" s="23" t="s">
        <v>337</v>
      </c>
      <c r="F223" s="10" t="s">
        <v>24</v>
      </c>
      <c r="G223" s="29" t="s">
        <v>1555</v>
      </c>
      <c r="H223" s="10" t="s">
        <v>19</v>
      </c>
      <c r="I223" s="26">
        <v>45960</v>
      </c>
      <c r="J223" s="34">
        <f>SUM(Assumptions!M240:P240)</f>
        <v>210</v>
      </c>
    </row>
    <row r="224" spans="2:10" ht="14.25" customHeight="1" x14ac:dyDescent="0.25">
      <c r="B224" s="10" t="s">
        <v>852</v>
      </c>
      <c r="C224" s="8" t="s">
        <v>460</v>
      </c>
      <c r="D224" s="8" t="s">
        <v>1166</v>
      </c>
      <c r="E224" s="24" t="s">
        <v>338</v>
      </c>
      <c r="F224" s="10" t="s">
        <v>11</v>
      </c>
      <c r="G224" s="29" t="s">
        <v>1557</v>
      </c>
      <c r="H224" s="10" t="s">
        <v>43</v>
      </c>
      <c r="I224" s="26">
        <v>45967</v>
      </c>
      <c r="J224" s="34">
        <f>SUM(Assumptions!M241:P241)</f>
        <v>239</v>
      </c>
    </row>
    <row r="225" spans="2:10" ht="14.25" customHeight="1" x14ac:dyDescent="0.25">
      <c r="B225" s="10" t="s">
        <v>853</v>
      </c>
      <c r="C225" s="8" t="s">
        <v>461</v>
      </c>
      <c r="D225" s="8" t="s">
        <v>1336</v>
      </c>
      <c r="E225" s="10" t="s">
        <v>335</v>
      </c>
      <c r="F225" s="10" t="s">
        <v>24</v>
      </c>
      <c r="G225" s="29" t="s">
        <v>1560</v>
      </c>
      <c r="H225" s="17" t="s">
        <v>339</v>
      </c>
      <c r="I225" s="26">
        <v>45981</v>
      </c>
      <c r="J225" s="34">
        <f>SUM(Assumptions!M242:P242)</f>
        <v>197</v>
      </c>
    </row>
    <row r="226" spans="2:10" ht="14.25" customHeight="1" x14ac:dyDescent="0.25">
      <c r="B226" s="10" t="s">
        <v>854</v>
      </c>
      <c r="C226" s="8" t="s">
        <v>462</v>
      </c>
      <c r="D226" s="8" t="s">
        <v>1337</v>
      </c>
      <c r="E226" s="23" t="s">
        <v>343</v>
      </c>
      <c r="F226" s="10" t="s">
        <v>11</v>
      </c>
      <c r="G226" s="30" t="s">
        <v>12</v>
      </c>
      <c r="H226" s="24" t="s">
        <v>345</v>
      </c>
      <c r="I226" s="26">
        <v>44945</v>
      </c>
      <c r="J226" s="34">
        <f>SUM(Assumptions!M243:P243)</f>
        <v>166</v>
      </c>
    </row>
    <row r="227" spans="2:10" ht="14.25" customHeight="1" x14ac:dyDescent="0.25">
      <c r="B227" s="10" t="s">
        <v>855</v>
      </c>
      <c r="C227" s="8" t="s">
        <v>463</v>
      </c>
      <c r="D227" s="8" t="s">
        <v>1167</v>
      </c>
      <c r="E227" s="24" t="s">
        <v>340</v>
      </c>
      <c r="F227" s="10" t="s">
        <v>11</v>
      </c>
      <c r="G227" s="30" t="s">
        <v>12</v>
      </c>
      <c r="H227" s="10" t="s">
        <v>33</v>
      </c>
      <c r="I227" s="26">
        <v>44966</v>
      </c>
      <c r="J227" s="34">
        <f>SUM(Assumptions!M244:P244)</f>
        <v>191</v>
      </c>
    </row>
    <row r="228" spans="2:10" ht="14.25" customHeight="1" x14ac:dyDescent="0.25">
      <c r="B228" s="10" t="s">
        <v>856</v>
      </c>
      <c r="C228" s="8" t="s">
        <v>464</v>
      </c>
      <c r="D228" s="8" t="s">
        <v>1338</v>
      </c>
      <c r="E228" s="23" t="s">
        <v>342</v>
      </c>
      <c r="F228" s="10" t="s">
        <v>24</v>
      </c>
      <c r="G228" s="29" t="s">
        <v>1552</v>
      </c>
      <c r="H228" s="10" t="s">
        <v>13</v>
      </c>
      <c r="I228" s="26">
        <v>44980</v>
      </c>
      <c r="J228" s="34">
        <f>SUM(Assumptions!M245:P245)</f>
        <v>201</v>
      </c>
    </row>
    <row r="229" spans="2:10" ht="14.25" customHeight="1" x14ac:dyDescent="0.25">
      <c r="B229" s="10" t="s">
        <v>857</v>
      </c>
      <c r="C229" s="8" t="s">
        <v>465</v>
      </c>
      <c r="D229" s="8" t="s">
        <v>1168</v>
      </c>
      <c r="E229" s="10" t="s">
        <v>23</v>
      </c>
      <c r="F229" s="10" t="s">
        <v>11</v>
      </c>
      <c r="G229" s="29" t="s">
        <v>1553</v>
      </c>
      <c r="H229" s="10" t="s">
        <v>19</v>
      </c>
      <c r="I229" s="26">
        <v>44987</v>
      </c>
      <c r="J229" s="34">
        <f>SUM(Assumptions!M246:P246)</f>
        <v>230</v>
      </c>
    </row>
    <row r="230" spans="2:10" ht="14.25" customHeight="1" x14ac:dyDescent="0.25">
      <c r="B230" s="10" t="s">
        <v>858</v>
      </c>
      <c r="C230" s="8" t="s">
        <v>466</v>
      </c>
      <c r="D230" s="8" t="s">
        <v>1339</v>
      </c>
      <c r="E230" s="10" t="s">
        <v>17</v>
      </c>
      <c r="F230" s="10" t="s">
        <v>24</v>
      </c>
      <c r="G230" s="29" t="s">
        <v>1554</v>
      </c>
      <c r="H230" s="10" t="s">
        <v>43</v>
      </c>
      <c r="I230" s="26">
        <v>45001</v>
      </c>
      <c r="J230" s="34">
        <f>SUM(Assumptions!M247:P247)</f>
        <v>213</v>
      </c>
    </row>
    <row r="231" spans="2:10" ht="14.25" customHeight="1" x14ac:dyDescent="0.25">
      <c r="B231" s="10" t="s">
        <v>859</v>
      </c>
      <c r="C231" s="8" t="s">
        <v>467</v>
      </c>
      <c r="D231" s="8" t="s">
        <v>1340</v>
      </c>
      <c r="E231" s="10" t="s">
        <v>10</v>
      </c>
      <c r="F231" s="10" t="s">
        <v>24</v>
      </c>
      <c r="G231" s="29" t="s">
        <v>1555</v>
      </c>
      <c r="H231" s="17" t="s">
        <v>339</v>
      </c>
      <c r="I231" s="26">
        <v>45015</v>
      </c>
      <c r="J231" s="34">
        <f>SUM(Assumptions!M248:P248)</f>
        <v>193</v>
      </c>
    </row>
    <row r="232" spans="2:10" ht="14.25" customHeight="1" x14ac:dyDescent="0.25">
      <c r="B232" s="10" t="s">
        <v>860</v>
      </c>
      <c r="C232" s="8" t="s">
        <v>468</v>
      </c>
      <c r="D232" s="8" t="s">
        <v>1341</v>
      </c>
      <c r="E232" s="23" t="s">
        <v>344</v>
      </c>
      <c r="F232" s="10" t="s">
        <v>11</v>
      </c>
      <c r="G232" s="29" t="s">
        <v>1556</v>
      </c>
      <c r="H232" s="24" t="s">
        <v>345</v>
      </c>
      <c r="I232" s="26">
        <v>45022</v>
      </c>
      <c r="J232" s="34">
        <f>SUM(Assumptions!M249:P249)</f>
        <v>207</v>
      </c>
    </row>
    <row r="233" spans="2:10" ht="14.25" customHeight="1" x14ac:dyDescent="0.25">
      <c r="B233" s="10" t="s">
        <v>861</v>
      </c>
      <c r="C233" s="8" t="s">
        <v>469</v>
      </c>
      <c r="D233" s="8" t="s">
        <v>1342</v>
      </c>
      <c r="E233" s="23" t="s">
        <v>344</v>
      </c>
      <c r="F233" s="10" t="s">
        <v>11</v>
      </c>
      <c r="G233" s="29" t="s">
        <v>1559</v>
      </c>
      <c r="H233" s="10" t="s">
        <v>33</v>
      </c>
      <c r="I233" s="26">
        <v>45036</v>
      </c>
      <c r="J233" s="34">
        <f>SUM(Assumptions!M250:P250)</f>
        <v>236</v>
      </c>
    </row>
    <row r="234" spans="2:10" ht="14.25" customHeight="1" x14ac:dyDescent="0.25">
      <c r="B234" s="10" t="s">
        <v>862</v>
      </c>
      <c r="C234" s="8" t="s">
        <v>470</v>
      </c>
      <c r="D234" s="8" t="s">
        <v>1343</v>
      </c>
      <c r="E234" s="10" t="s">
        <v>10</v>
      </c>
      <c r="F234" s="10" t="s">
        <v>11</v>
      </c>
      <c r="G234" s="29" t="s">
        <v>1557</v>
      </c>
      <c r="H234" s="10" t="s">
        <v>13</v>
      </c>
      <c r="I234" s="26">
        <v>45057</v>
      </c>
      <c r="J234" s="34">
        <f>SUM(Assumptions!M251:P251)</f>
        <v>243</v>
      </c>
    </row>
    <row r="235" spans="2:10" ht="14.25" customHeight="1" x14ac:dyDescent="0.25">
      <c r="B235" s="10" t="s">
        <v>863</v>
      </c>
      <c r="C235" s="8" t="s">
        <v>471</v>
      </c>
      <c r="D235" s="8" t="s">
        <v>1169</v>
      </c>
      <c r="E235" s="24" t="s">
        <v>17</v>
      </c>
      <c r="F235" s="10" t="s">
        <v>11</v>
      </c>
      <c r="G235" s="29" t="s">
        <v>1558</v>
      </c>
      <c r="H235" s="10" t="s">
        <v>19</v>
      </c>
      <c r="I235" s="26">
        <v>45071</v>
      </c>
      <c r="J235" s="34">
        <f>SUM(Assumptions!M252:P252)</f>
        <v>244</v>
      </c>
    </row>
    <row r="236" spans="2:10" ht="14.25" customHeight="1" x14ac:dyDescent="0.25">
      <c r="B236" s="10" t="s">
        <v>864</v>
      </c>
      <c r="C236" s="8" t="s">
        <v>472</v>
      </c>
      <c r="D236" s="8" t="s">
        <v>1344</v>
      </c>
      <c r="E236" s="10" t="s">
        <v>23</v>
      </c>
      <c r="F236" s="10" t="s">
        <v>11</v>
      </c>
      <c r="G236" s="29" t="s">
        <v>1560</v>
      </c>
      <c r="H236" s="10" t="s">
        <v>43</v>
      </c>
      <c r="I236" s="26">
        <v>45085</v>
      </c>
      <c r="J236" s="34">
        <f>SUM(Assumptions!M253:P253)</f>
        <v>242</v>
      </c>
    </row>
    <row r="237" spans="2:10" ht="14.25" customHeight="1" x14ac:dyDescent="0.25">
      <c r="B237" s="10" t="s">
        <v>865</v>
      </c>
      <c r="C237" s="8" t="s">
        <v>473</v>
      </c>
      <c r="D237" s="8" t="s">
        <v>1345</v>
      </c>
      <c r="E237" s="10" t="s">
        <v>342</v>
      </c>
      <c r="F237" s="10" t="s">
        <v>11</v>
      </c>
      <c r="G237" s="29" t="s">
        <v>1561</v>
      </c>
      <c r="H237" s="17" t="s">
        <v>339</v>
      </c>
      <c r="I237" s="26">
        <v>45099</v>
      </c>
      <c r="J237" s="34">
        <f>SUM(Assumptions!M254:P254)</f>
        <v>217</v>
      </c>
    </row>
    <row r="238" spans="2:10" ht="14.25" customHeight="1" x14ac:dyDescent="0.25">
      <c r="B238" s="10" t="s">
        <v>866</v>
      </c>
      <c r="C238" s="8" t="s">
        <v>474</v>
      </c>
      <c r="D238" s="8" t="s">
        <v>1346</v>
      </c>
      <c r="E238" s="24" t="s">
        <v>340</v>
      </c>
      <c r="F238" s="10" t="s">
        <v>24</v>
      </c>
      <c r="G238" s="29" t="s">
        <v>1561</v>
      </c>
      <c r="H238" s="24" t="s">
        <v>345</v>
      </c>
      <c r="I238" s="26">
        <v>45113</v>
      </c>
      <c r="J238" s="34">
        <f>SUM(Assumptions!M255:P255)</f>
        <v>191</v>
      </c>
    </row>
    <row r="239" spans="2:10" ht="14.25" customHeight="1" x14ac:dyDescent="0.25">
      <c r="B239" s="10" t="s">
        <v>867</v>
      </c>
      <c r="C239" s="8" t="s">
        <v>475</v>
      </c>
      <c r="D239" s="8" t="s">
        <v>1347</v>
      </c>
      <c r="E239" s="10" t="s">
        <v>343</v>
      </c>
      <c r="F239" s="10" t="s">
        <v>11</v>
      </c>
      <c r="G239" s="29" t="s">
        <v>1560</v>
      </c>
      <c r="H239" s="10" t="s">
        <v>33</v>
      </c>
      <c r="I239" s="26">
        <v>45127</v>
      </c>
      <c r="J239" s="34">
        <f>SUM(Assumptions!M256:P256)</f>
        <v>243</v>
      </c>
    </row>
    <row r="240" spans="2:10" ht="14.25" customHeight="1" x14ac:dyDescent="0.25">
      <c r="B240" s="10" t="s">
        <v>868</v>
      </c>
      <c r="C240" s="8" t="s">
        <v>476</v>
      </c>
      <c r="D240" s="8" t="s">
        <v>1348</v>
      </c>
      <c r="E240" s="10" t="s">
        <v>335</v>
      </c>
      <c r="F240" s="10" t="s">
        <v>11</v>
      </c>
      <c r="G240" s="29" t="s">
        <v>1558</v>
      </c>
      <c r="H240" s="10" t="s">
        <v>13</v>
      </c>
      <c r="I240" s="26">
        <v>45148</v>
      </c>
      <c r="J240" s="34">
        <f>SUM(Assumptions!M257:P257)</f>
        <v>240</v>
      </c>
    </row>
    <row r="241" spans="2:10" ht="14.25" customHeight="1" x14ac:dyDescent="0.25">
      <c r="B241" s="10" t="s">
        <v>869</v>
      </c>
      <c r="C241" s="8" t="s">
        <v>477</v>
      </c>
      <c r="D241" s="8" t="s">
        <v>1349</v>
      </c>
      <c r="E241" s="10" t="s">
        <v>338</v>
      </c>
      <c r="F241" s="10" t="s">
        <v>11</v>
      </c>
      <c r="G241" s="29" t="s">
        <v>1557</v>
      </c>
      <c r="H241" s="10" t="s">
        <v>19</v>
      </c>
      <c r="I241" s="26">
        <v>45162</v>
      </c>
      <c r="J241" s="34">
        <f>SUM(Assumptions!M258:P258)</f>
        <v>237</v>
      </c>
    </row>
    <row r="242" spans="2:10" ht="14.25" customHeight="1" x14ac:dyDescent="0.25">
      <c r="B242" s="10" t="s">
        <v>870</v>
      </c>
      <c r="C242" s="8" t="s">
        <v>1242</v>
      </c>
      <c r="D242" s="8" t="s">
        <v>1350</v>
      </c>
      <c r="E242" s="23" t="s">
        <v>337</v>
      </c>
      <c r="F242" s="10" t="s">
        <v>11</v>
      </c>
      <c r="G242" s="29" t="s">
        <v>1559</v>
      </c>
      <c r="H242" s="10" t="s">
        <v>43</v>
      </c>
      <c r="I242" s="26">
        <v>45176</v>
      </c>
      <c r="J242" s="34">
        <f>SUM(Assumptions!M259:P259)</f>
        <v>237</v>
      </c>
    </row>
    <row r="243" spans="2:10" ht="14.25" customHeight="1" x14ac:dyDescent="0.25">
      <c r="B243" s="10" t="s">
        <v>871</v>
      </c>
      <c r="C243" s="8" t="s">
        <v>478</v>
      </c>
      <c r="D243" s="8" t="s">
        <v>1351</v>
      </c>
      <c r="E243" s="23" t="s">
        <v>343</v>
      </c>
      <c r="F243" s="10" t="s">
        <v>24</v>
      </c>
      <c r="G243" s="29" t="s">
        <v>1556</v>
      </c>
      <c r="H243" s="17" t="s">
        <v>339</v>
      </c>
      <c r="I243" s="26">
        <v>45190</v>
      </c>
      <c r="J243" s="34">
        <f>SUM(Assumptions!M260:P260)</f>
        <v>183</v>
      </c>
    </row>
    <row r="244" spans="2:10" ht="14.25" customHeight="1" x14ac:dyDescent="0.25">
      <c r="B244" s="10" t="s">
        <v>872</v>
      </c>
      <c r="C244" s="8" t="s">
        <v>479</v>
      </c>
      <c r="D244" s="8" t="s">
        <v>1352</v>
      </c>
      <c r="E244" s="24" t="s">
        <v>340</v>
      </c>
      <c r="F244" s="10" t="s">
        <v>11</v>
      </c>
      <c r="G244" s="29" t="s">
        <v>1555</v>
      </c>
      <c r="H244" s="24" t="s">
        <v>345</v>
      </c>
      <c r="I244" s="26">
        <v>45204</v>
      </c>
      <c r="J244" s="34">
        <f>SUM(Assumptions!M261:P261)</f>
        <v>204</v>
      </c>
    </row>
    <row r="245" spans="2:10" ht="14.25" customHeight="1" x14ac:dyDescent="0.25">
      <c r="B245" s="10" t="s">
        <v>873</v>
      </c>
      <c r="C245" s="8" t="s">
        <v>480</v>
      </c>
      <c r="D245" s="8" t="s">
        <v>1353</v>
      </c>
      <c r="E245" s="10" t="s">
        <v>10</v>
      </c>
      <c r="F245" s="10" t="s">
        <v>24</v>
      </c>
      <c r="G245" s="29" t="s">
        <v>1554</v>
      </c>
      <c r="H245" s="10" t="s">
        <v>33</v>
      </c>
      <c r="I245" s="26">
        <v>45218</v>
      </c>
      <c r="J245" s="34">
        <f>SUM(Assumptions!M262:P262)</f>
        <v>220</v>
      </c>
    </row>
    <row r="246" spans="2:10" ht="14.25" customHeight="1" x14ac:dyDescent="0.25">
      <c r="B246" s="10" t="s">
        <v>874</v>
      </c>
      <c r="C246" s="8" t="s">
        <v>481</v>
      </c>
      <c r="D246" s="8" t="s">
        <v>1354</v>
      </c>
      <c r="E246" s="23" t="s">
        <v>344</v>
      </c>
      <c r="F246" s="10" t="s">
        <v>11</v>
      </c>
      <c r="G246" s="29" t="s">
        <v>1553</v>
      </c>
      <c r="H246" s="10" t="s">
        <v>13</v>
      </c>
      <c r="I246" s="26">
        <v>45239</v>
      </c>
      <c r="J246" s="34">
        <f>SUM(Assumptions!M263:P263)</f>
        <v>223</v>
      </c>
    </row>
    <row r="247" spans="2:10" ht="14.25" customHeight="1" x14ac:dyDescent="0.25">
      <c r="B247" s="10" t="s">
        <v>875</v>
      </c>
      <c r="C247" s="8" t="s">
        <v>482</v>
      </c>
      <c r="D247" s="8" t="s">
        <v>1355</v>
      </c>
      <c r="E247" s="24" t="s">
        <v>338</v>
      </c>
      <c r="F247" s="10" t="s">
        <v>24</v>
      </c>
      <c r="G247" s="29" t="s">
        <v>1552</v>
      </c>
      <c r="H247" s="10" t="s">
        <v>19</v>
      </c>
      <c r="I247" s="26">
        <v>45253</v>
      </c>
      <c r="J247" s="34">
        <f>SUM(Assumptions!M264:P264)</f>
        <v>204</v>
      </c>
    </row>
    <row r="248" spans="2:10" ht="14.25" customHeight="1" x14ac:dyDescent="0.25">
      <c r="B248" s="10" t="s">
        <v>876</v>
      </c>
      <c r="C248" s="8" t="s">
        <v>483</v>
      </c>
      <c r="D248" s="8" t="s">
        <v>1356</v>
      </c>
      <c r="E248" s="23" t="s">
        <v>23</v>
      </c>
      <c r="F248" s="10" t="s">
        <v>11</v>
      </c>
      <c r="G248" s="30" t="s">
        <v>12</v>
      </c>
      <c r="H248" s="10" t="s">
        <v>43</v>
      </c>
      <c r="I248" s="26">
        <v>45267</v>
      </c>
      <c r="J248" s="34">
        <f>SUM(Assumptions!M265:P265)</f>
        <v>193</v>
      </c>
    </row>
    <row r="249" spans="2:10" ht="14.25" customHeight="1" x14ac:dyDescent="0.25">
      <c r="B249" s="10" t="s">
        <v>877</v>
      </c>
      <c r="C249" s="8" t="s">
        <v>484</v>
      </c>
      <c r="D249" s="8" t="s">
        <v>1357</v>
      </c>
      <c r="E249" s="10" t="s">
        <v>17</v>
      </c>
      <c r="F249" s="10" t="s">
        <v>24</v>
      </c>
      <c r="G249" s="30" t="s">
        <v>12</v>
      </c>
      <c r="H249" s="17" t="s">
        <v>339</v>
      </c>
      <c r="I249" s="26">
        <v>45281</v>
      </c>
      <c r="J249" s="34">
        <f>SUM(Assumptions!M266:P266)</f>
        <v>150</v>
      </c>
    </row>
    <row r="250" spans="2:10" ht="14.25" customHeight="1" x14ac:dyDescent="0.25">
      <c r="B250" s="10" t="s">
        <v>878</v>
      </c>
      <c r="C250" s="8" t="s">
        <v>485</v>
      </c>
      <c r="D250" s="8" t="s">
        <v>1170</v>
      </c>
      <c r="E250" s="10" t="s">
        <v>10</v>
      </c>
      <c r="F250" s="10" t="s">
        <v>24</v>
      </c>
      <c r="G250" s="29" t="s">
        <v>1552</v>
      </c>
      <c r="H250" s="24" t="s">
        <v>345</v>
      </c>
      <c r="I250" s="26">
        <v>45302</v>
      </c>
      <c r="J250" s="34">
        <f>SUM(Assumptions!M267:P267)</f>
        <v>191</v>
      </c>
    </row>
    <row r="251" spans="2:10" ht="14.25" customHeight="1" x14ac:dyDescent="0.25">
      <c r="B251" s="10" t="s">
        <v>879</v>
      </c>
      <c r="C251" s="8" t="s">
        <v>486</v>
      </c>
      <c r="D251" s="8" t="s">
        <v>1171</v>
      </c>
      <c r="E251" s="10" t="s">
        <v>337</v>
      </c>
      <c r="F251" s="10" t="s">
        <v>24</v>
      </c>
      <c r="G251" s="29" t="s">
        <v>1555</v>
      </c>
      <c r="H251" s="10" t="s">
        <v>33</v>
      </c>
      <c r="I251" s="26">
        <v>45316</v>
      </c>
      <c r="J251" s="34">
        <f>SUM(Assumptions!M268:P268)</f>
        <v>217</v>
      </c>
    </row>
    <row r="252" spans="2:10" ht="14.25" customHeight="1" x14ac:dyDescent="0.25">
      <c r="B252" s="10" t="s">
        <v>880</v>
      </c>
      <c r="C252" s="8" t="s">
        <v>487</v>
      </c>
      <c r="D252" s="8" t="s">
        <v>1358</v>
      </c>
      <c r="E252" s="23" t="s">
        <v>338</v>
      </c>
      <c r="F252" s="10" t="s">
        <v>11</v>
      </c>
      <c r="G252" s="29" t="s">
        <v>1557</v>
      </c>
      <c r="H252" s="10" t="s">
        <v>13</v>
      </c>
      <c r="I252" s="26">
        <v>45330</v>
      </c>
      <c r="J252" s="34">
        <f>SUM(Assumptions!M269:P269)</f>
        <v>235</v>
      </c>
    </row>
    <row r="253" spans="2:10" ht="14.25" customHeight="1" x14ac:dyDescent="0.25">
      <c r="B253" s="10" t="s">
        <v>881</v>
      </c>
      <c r="C253" s="8" t="s">
        <v>488</v>
      </c>
      <c r="D253" s="8" t="s">
        <v>1172</v>
      </c>
      <c r="E253" s="23" t="s">
        <v>338</v>
      </c>
      <c r="F253" s="10" t="s">
        <v>11</v>
      </c>
      <c r="G253" s="29" t="s">
        <v>1560</v>
      </c>
      <c r="H253" s="10" t="s">
        <v>19</v>
      </c>
      <c r="I253" s="26">
        <v>45344</v>
      </c>
      <c r="J253" s="34">
        <f>SUM(Assumptions!M270:P270)</f>
        <v>239</v>
      </c>
    </row>
    <row r="254" spans="2:10" ht="14.25" customHeight="1" x14ac:dyDescent="0.25">
      <c r="B254" s="10" t="s">
        <v>882</v>
      </c>
      <c r="C254" s="8" t="s">
        <v>489</v>
      </c>
      <c r="D254" s="8" t="s">
        <v>1359</v>
      </c>
      <c r="E254" s="24" t="s">
        <v>335</v>
      </c>
      <c r="F254" s="10" t="s">
        <v>11</v>
      </c>
      <c r="G254" s="29" t="s">
        <v>1553</v>
      </c>
      <c r="H254" s="10" t="s">
        <v>43</v>
      </c>
      <c r="I254" s="26">
        <v>45358</v>
      </c>
      <c r="J254" s="34">
        <f>SUM(Assumptions!M271:P271)</f>
        <v>235</v>
      </c>
    </row>
    <row r="255" spans="2:10" ht="14.25" customHeight="1" x14ac:dyDescent="0.25">
      <c r="B255" s="10" t="s">
        <v>883</v>
      </c>
      <c r="C255" s="8" t="s">
        <v>490</v>
      </c>
      <c r="D255" s="8" t="s">
        <v>1173</v>
      </c>
      <c r="E255" s="10" t="s">
        <v>335</v>
      </c>
      <c r="F255" s="10" t="s">
        <v>11</v>
      </c>
      <c r="G255" s="29" t="s">
        <v>1556</v>
      </c>
      <c r="H255" s="17" t="s">
        <v>339</v>
      </c>
      <c r="I255" s="26">
        <v>45372</v>
      </c>
      <c r="J255" s="34">
        <f>SUM(Assumptions!M272:P272)</f>
        <v>213</v>
      </c>
    </row>
    <row r="256" spans="2:10" ht="14.25" customHeight="1" x14ac:dyDescent="0.25">
      <c r="B256" s="10" t="s">
        <v>884</v>
      </c>
      <c r="C256" s="8" t="s">
        <v>491</v>
      </c>
      <c r="D256" s="8" t="s">
        <v>1360</v>
      </c>
      <c r="E256" s="23" t="s">
        <v>342</v>
      </c>
      <c r="F256" s="10" t="s">
        <v>11</v>
      </c>
      <c r="G256" s="29" t="s">
        <v>1558</v>
      </c>
      <c r="H256" s="24" t="s">
        <v>345</v>
      </c>
      <c r="I256" s="26">
        <v>45386</v>
      </c>
      <c r="J256" s="34">
        <f>SUM(Assumptions!M273:P273)</f>
        <v>216</v>
      </c>
    </row>
    <row r="257" spans="2:10" ht="14.25" customHeight="1" x14ac:dyDescent="0.25">
      <c r="B257" s="10" t="s">
        <v>885</v>
      </c>
      <c r="C257" s="8" t="s">
        <v>492</v>
      </c>
      <c r="D257" s="8" t="s">
        <v>1361</v>
      </c>
      <c r="E257" s="24" t="s">
        <v>342</v>
      </c>
      <c r="F257" s="10" t="s">
        <v>11</v>
      </c>
      <c r="G257" s="29" t="s">
        <v>1561</v>
      </c>
      <c r="H257" s="10" t="s">
        <v>33</v>
      </c>
      <c r="I257" s="26">
        <v>45400</v>
      </c>
      <c r="J257" s="34">
        <f>SUM(Assumptions!M274:P274)</f>
        <v>247</v>
      </c>
    </row>
    <row r="258" spans="2:10" ht="14.25" customHeight="1" x14ac:dyDescent="0.25">
      <c r="B258" s="10" t="s">
        <v>886</v>
      </c>
      <c r="C258" s="8" t="s">
        <v>493</v>
      </c>
      <c r="D258" s="8" t="s">
        <v>1362</v>
      </c>
      <c r="E258" s="23" t="s">
        <v>10</v>
      </c>
      <c r="F258" s="10" t="s">
        <v>24</v>
      </c>
      <c r="G258" s="29" t="s">
        <v>1554</v>
      </c>
      <c r="H258" s="10" t="s">
        <v>13</v>
      </c>
      <c r="I258" s="26">
        <v>45414</v>
      </c>
      <c r="J258" s="34">
        <f>SUM(Assumptions!M275:P275)</f>
        <v>211</v>
      </c>
    </row>
    <row r="259" spans="2:10" ht="14.25" customHeight="1" x14ac:dyDescent="0.25">
      <c r="B259" s="10" t="s">
        <v>887</v>
      </c>
      <c r="C259" s="8" t="s">
        <v>494</v>
      </c>
      <c r="D259" s="8" t="s">
        <v>1363</v>
      </c>
      <c r="E259" s="10" t="s">
        <v>17</v>
      </c>
      <c r="F259" s="10" t="s">
        <v>11</v>
      </c>
      <c r="G259" s="29" t="s">
        <v>1559</v>
      </c>
      <c r="H259" s="10" t="s">
        <v>19</v>
      </c>
      <c r="I259" s="26">
        <v>45428</v>
      </c>
      <c r="J259" s="34">
        <f>SUM(Assumptions!M276:P276)</f>
        <v>239</v>
      </c>
    </row>
    <row r="260" spans="2:10" ht="14.25" customHeight="1" x14ac:dyDescent="0.25">
      <c r="B260" s="10" t="s">
        <v>888</v>
      </c>
      <c r="C260" s="8" t="s">
        <v>495</v>
      </c>
      <c r="D260" s="8" t="s">
        <v>1364</v>
      </c>
      <c r="E260" s="10" t="s">
        <v>10</v>
      </c>
      <c r="F260" s="10" t="s">
        <v>24</v>
      </c>
      <c r="G260" s="29" t="s">
        <v>1554</v>
      </c>
      <c r="H260" s="10" t="s">
        <v>43</v>
      </c>
      <c r="I260" s="26">
        <v>45442</v>
      </c>
      <c r="J260" s="34">
        <f>SUM(Assumptions!M277:P277)</f>
        <v>215</v>
      </c>
    </row>
    <row r="261" spans="2:10" ht="14.25" customHeight="1" x14ac:dyDescent="0.25">
      <c r="B261" s="10" t="s">
        <v>889</v>
      </c>
      <c r="C261" s="8" t="s">
        <v>496</v>
      </c>
      <c r="D261" s="8" t="s">
        <v>1365</v>
      </c>
      <c r="E261" s="10" t="s">
        <v>23</v>
      </c>
      <c r="F261" s="10" t="s">
        <v>24</v>
      </c>
      <c r="G261" s="29" t="s">
        <v>1559</v>
      </c>
      <c r="H261" s="17" t="s">
        <v>339</v>
      </c>
      <c r="I261" s="26">
        <v>45449</v>
      </c>
      <c r="J261" s="34">
        <f>SUM(Assumptions!M278:P278)</f>
        <v>188</v>
      </c>
    </row>
    <row r="262" spans="2:10" ht="14.25" customHeight="1" x14ac:dyDescent="0.25">
      <c r="B262" s="10" t="s">
        <v>890</v>
      </c>
      <c r="C262" s="8" t="s">
        <v>497</v>
      </c>
      <c r="D262" s="8" t="s">
        <v>1366</v>
      </c>
      <c r="E262" s="23" t="s">
        <v>17</v>
      </c>
      <c r="F262" s="10" t="s">
        <v>11</v>
      </c>
      <c r="G262" s="29" t="s">
        <v>1553</v>
      </c>
      <c r="H262" s="24" t="s">
        <v>345</v>
      </c>
      <c r="I262" s="26">
        <v>45463</v>
      </c>
      <c r="J262" s="34">
        <f>SUM(Assumptions!M279:P279)</f>
        <v>214</v>
      </c>
    </row>
    <row r="263" spans="2:10" ht="14.25" customHeight="1" x14ac:dyDescent="0.25">
      <c r="B263" s="10" t="s">
        <v>891</v>
      </c>
      <c r="C263" s="8" t="s">
        <v>498</v>
      </c>
      <c r="D263" s="8" t="s">
        <v>1367</v>
      </c>
      <c r="E263" s="23" t="s">
        <v>337</v>
      </c>
      <c r="F263" s="10" t="s">
        <v>24</v>
      </c>
      <c r="G263" s="29" t="s">
        <v>1556</v>
      </c>
      <c r="H263" s="10" t="s">
        <v>33</v>
      </c>
      <c r="I263" s="26">
        <v>45477</v>
      </c>
      <c r="J263" s="34">
        <f>SUM(Assumptions!M280:P280)</f>
        <v>218</v>
      </c>
    </row>
    <row r="264" spans="2:10" ht="14.25" customHeight="1" x14ac:dyDescent="0.25">
      <c r="B264" s="10" t="s">
        <v>892</v>
      </c>
      <c r="C264" s="8" t="s">
        <v>499</v>
      </c>
      <c r="D264" s="8" t="s">
        <v>1174</v>
      </c>
      <c r="E264" s="24" t="s">
        <v>338</v>
      </c>
      <c r="F264" s="10" t="s">
        <v>11</v>
      </c>
      <c r="G264" s="29" t="s">
        <v>1558</v>
      </c>
      <c r="H264" s="10" t="s">
        <v>13</v>
      </c>
      <c r="I264" s="26">
        <v>45491</v>
      </c>
      <c r="J264" s="34">
        <f>SUM(Assumptions!M281:P281)</f>
        <v>236</v>
      </c>
    </row>
    <row r="265" spans="2:10" ht="14.25" customHeight="1" x14ac:dyDescent="0.25">
      <c r="B265" s="10" t="s">
        <v>893</v>
      </c>
      <c r="C265" s="8" t="s">
        <v>500</v>
      </c>
      <c r="D265" s="8" t="s">
        <v>1175</v>
      </c>
      <c r="E265" s="10" t="s">
        <v>335</v>
      </c>
      <c r="F265" s="10" t="s">
        <v>11</v>
      </c>
      <c r="G265" s="29" t="s">
        <v>1561</v>
      </c>
      <c r="H265" s="10" t="s">
        <v>19</v>
      </c>
      <c r="I265" s="26">
        <v>45505</v>
      </c>
      <c r="J265" s="34">
        <f>SUM(Assumptions!M282:P282)</f>
        <v>245</v>
      </c>
    </row>
    <row r="266" spans="2:10" ht="14.25" customHeight="1" x14ac:dyDescent="0.25">
      <c r="B266" s="10" t="s">
        <v>894</v>
      </c>
      <c r="C266" s="8" t="s">
        <v>501</v>
      </c>
      <c r="D266" s="8" t="s">
        <v>1176</v>
      </c>
      <c r="E266" s="23" t="s">
        <v>342</v>
      </c>
      <c r="F266" s="10" t="s">
        <v>11</v>
      </c>
      <c r="G266" s="29" t="s">
        <v>1552</v>
      </c>
      <c r="H266" s="10" t="s">
        <v>43</v>
      </c>
      <c r="I266" s="26">
        <v>45519</v>
      </c>
      <c r="J266" s="34">
        <f>SUM(Assumptions!M283:P283)</f>
        <v>228</v>
      </c>
    </row>
    <row r="267" spans="2:10" ht="14.25" customHeight="1" x14ac:dyDescent="0.25">
      <c r="B267" s="10" t="s">
        <v>895</v>
      </c>
      <c r="C267" s="8" t="s">
        <v>502</v>
      </c>
      <c r="D267" s="8" t="s">
        <v>1368</v>
      </c>
      <c r="E267" s="24" t="s">
        <v>23</v>
      </c>
      <c r="F267" s="10" t="s">
        <v>11</v>
      </c>
      <c r="G267" s="29" t="s">
        <v>1555</v>
      </c>
      <c r="H267" s="17" t="s">
        <v>339</v>
      </c>
      <c r="I267" s="26">
        <v>45533</v>
      </c>
      <c r="J267" s="34">
        <f>SUM(Assumptions!M284:P284)</f>
        <v>209</v>
      </c>
    </row>
    <row r="268" spans="2:10" ht="14.25" customHeight="1" x14ac:dyDescent="0.25">
      <c r="B268" s="10" t="s">
        <v>896</v>
      </c>
      <c r="C268" s="8" t="s">
        <v>503</v>
      </c>
      <c r="D268" s="8" t="s">
        <v>1177</v>
      </c>
      <c r="E268" s="23" t="s">
        <v>17</v>
      </c>
      <c r="F268" s="10" t="s">
        <v>24</v>
      </c>
      <c r="G268" s="29" t="s">
        <v>1557</v>
      </c>
      <c r="H268" s="24" t="s">
        <v>345</v>
      </c>
      <c r="I268" s="26">
        <v>45540</v>
      </c>
      <c r="J268" s="34">
        <f>SUM(Assumptions!M285:P285)</f>
        <v>199</v>
      </c>
    </row>
    <row r="269" spans="2:10" ht="14.25" customHeight="1" x14ac:dyDescent="0.25">
      <c r="B269" s="10" t="s">
        <v>897</v>
      </c>
      <c r="C269" s="8" t="s">
        <v>504</v>
      </c>
      <c r="D269" s="8" t="s">
        <v>1369</v>
      </c>
      <c r="E269" s="10" t="s">
        <v>10</v>
      </c>
      <c r="F269" s="10" t="s">
        <v>11</v>
      </c>
      <c r="G269" s="29" t="s">
        <v>1560</v>
      </c>
      <c r="H269" s="10" t="s">
        <v>33</v>
      </c>
      <c r="I269" s="26">
        <v>45554</v>
      </c>
      <c r="J269" s="34">
        <f>SUM(Assumptions!M286:P286)</f>
        <v>254</v>
      </c>
    </row>
    <row r="270" spans="2:10" ht="14.25" customHeight="1" x14ac:dyDescent="0.25">
      <c r="B270" s="10" t="s">
        <v>898</v>
      </c>
      <c r="C270" s="8" t="s">
        <v>505</v>
      </c>
      <c r="D270" s="8" t="s">
        <v>1370</v>
      </c>
      <c r="E270" s="10" t="s">
        <v>343</v>
      </c>
      <c r="F270" s="10" t="s">
        <v>24</v>
      </c>
      <c r="G270" s="30" t="s">
        <v>12</v>
      </c>
      <c r="H270" s="10" t="s">
        <v>13</v>
      </c>
      <c r="I270" s="26">
        <v>45575</v>
      </c>
      <c r="J270" s="34">
        <f>SUM(Assumptions!M287:P287)</f>
        <v>162</v>
      </c>
    </row>
    <row r="271" spans="2:10" ht="14.25" customHeight="1" x14ac:dyDescent="0.25">
      <c r="B271" s="10" t="s">
        <v>899</v>
      </c>
      <c r="C271" s="8" t="s">
        <v>506</v>
      </c>
      <c r="D271" s="8" t="s">
        <v>1371</v>
      </c>
      <c r="E271" s="10" t="s">
        <v>340</v>
      </c>
      <c r="F271" s="10" t="s">
        <v>11</v>
      </c>
      <c r="G271" s="30" t="s">
        <v>12</v>
      </c>
      <c r="H271" s="10" t="s">
        <v>19</v>
      </c>
      <c r="I271" s="26">
        <v>45589</v>
      </c>
      <c r="J271" s="34">
        <f>SUM(Assumptions!M288:P288)</f>
        <v>184</v>
      </c>
    </row>
    <row r="272" spans="2:10" ht="14.25" customHeight="1" x14ac:dyDescent="0.25">
      <c r="B272" s="10" t="s">
        <v>900</v>
      </c>
      <c r="C272" s="8" t="s">
        <v>507</v>
      </c>
      <c r="D272" s="8" t="s">
        <v>1372</v>
      </c>
      <c r="E272" s="23" t="s">
        <v>344</v>
      </c>
      <c r="F272" s="10" t="s">
        <v>11</v>
      </c>
      <c r="G272" s="29" t="s">
        <v>1552</v>
      </c>
      <c r="H272" s="10" t="s">
        <v>43</v>
      </c>
      <c r="I272" s="26">
        <v>45603</v>
      </c>
      <c r="J272" s="34">
        <f>SUM(Assumptions!M289:P289)</f>
        <v>225</v>
      </c>
    </row>
    <row r="273" spans="2:10" ht="14.25" customHeight="1" x14ac:dyDescent="0.25">
      <c r="B273" s="10" t="s">
        <v>901</v>
      </c>
      <c r="C273" s="8" t="s">
        <v>508</v>
      </c>
      <c r="D273" s="8" t="s">
        <v>1373</v>
      </c>
      <c r="E273" s="23" t="s">
        <v>335</v>
      </c>
      <c r="F273" s="10" t="s">
        <v>11</v>
      </c>
      <c r="G273" s="29" t="s">
        <v>1553</v>
      </c>
      <c r="H273" s="17" t="s">
        <v>339</v>
      </c>
      <c r="I273" s="26">
        <v>45617</v>
      </c>
      <c r="J273" s="34">
        <f>SUM(Assumptions!M290:P290)</f>
        <v>210</v>
      </c>
    </row>
    <row r="274" spans="2:10" ht="14.25" customHeight="1" x14ac:dyDescent="0.25">
      <c r="B274" s="10" t="s">
        <v>902</v>
      </c>
      <c r="C274" s="8" t="s">
        <v>509</v>
      </c>
      <c r="D274" s="8" t="s">
        <v>1374</v>
      </c>
      <c r="E274" s="24" t="s">
        <v>343</v>
      </c>
      <c r="F274" s="10" t="s">
        <v>24</v>
      </c>
      <c r="G274" s="29" t="s">
        <v>1554</v>
      </c>
      <c r="H274" s="24" t="s">
        <v>345</v>
      </c>
      <c r="I274" s="26">
        <v>45631</v>
      </c>
      <c r="J274" s="34">
        <f>SUM(Assumptions!M291:P291)</f>
        <v>181</v>
      </c>
    </row>
    <row r="275" spans="2:10" ht="14.25" customHeight="1" x14ac:dyDescent="0.25">
      <c r="B275" s="10" t="s">
        <v>903</v>
      </c>
      <c r="C275" s="8" t="s">
        <v>510</v>
      </c>
      <c r="D275" s="8" t="s">
        <v>1375</v>
      </c>
      <c r="E275" s="10" t="s">
        <v>340</v>
      </c>
      <c r="F275" s="10" t="s">
        <v>11</v>
      </c>
      <c r="G275" s="29" t="s">
        <v>1555</v>
      </c>
      <c r="H275" s="10" t="s">
        <v>33</v>
      </c>
      <c r="I275" s="26">
        <v>45645</v>
      </c>
      <c r="J275" s="34">
        <f>SUM(Assumptions!M292:P292)</f>
        <v>232</v>
      </c>
    </row>
    <row r="276" spans="2:10" ht="14.25" customHeight="1" x14ac:dyDescent="0.25">
      <c r="B276" s="10" t="s">
        <v>904</v>
      </c>
      <c r="C276" s="8" t="s">
        <v>511</v>
      </c>
      <c r="D276" s="8" t="s">
        <v>1376</v>
      </c>
      <c r="E276" s="23" t="s">
        <v>344</v>
      </c>
      <c r="F276" s="10" t="s">
        <v>11</v>
      </c>
      <c r="G276" s="29" t="s">
        <v>1556</v>
      </c>
      <c r="H276" s="10" t="s">
        <v>13</v>
      </c>
      <c r="I276" s="26">
        <v>45666</v>
      </c>
      <c r="J276" s="34">
        <f>SUM(Assumptions!M293:P293)</f>
        <v>226</v>
      </c>
    </row>
    <row r="277" spans="2:10" ht="14.25" customHeight="1" x14ac:dyDescent="0.25">
      <c r="B277" s="10" t="s">
        <v>905</v>
      </c>
      <c r="C277" s="8" t="s">
        <v>512</v>
      </c>
      <c r="D277" s="8" t="s">
        <v>1377</v>
      </c>
      <c r="E277" s="23" t="s">
        <v>337</v>
      </c>
      <c r="F277" s="10" t="s">
        <v>11</v>
      </c>
      <c r="G277" s="29" t="s">
        <v>1559</v>
      </c>
      <c r="H277" s="10" t="s">
        <v>19</v>
      </c>
      <c r="I277" s="26">
        <v>45680</v>
      </c>
      <c r="J277" s="34">
        <f>SUM(Assumptions!M294:P294)</f>
        <v>235</v>
      </c>
    </row>
    <row r="278" spans="2:10" ht="14.25" customHeight="1" x14ac:dyDescent="0.25">
      <c r="B278" s="10" t="s">
        <v>906</v>
      </c>
      <c r="C278" s="8" t="s">
        <v>513</v>
      </c>
      <c r="D278" s="8" t="s">
        <v>1378</v>
      </c>
      <c r="E278" s="24" t="s">
        <v>338</v>
      </c>
      <c r="F278" s="10" t="s">
        <v>11</v>
      </c>
      <c r="G278" s="29" t="s">
        <v>1557</v>
      </c>
      <c r="H278" s="10" t="s">
        <v>43</v>
      </c>
      <c r="I278" s="26">
        <v>45694</v>
      </c>
      <c r="J278" s="34">
        <f>SUM(Assumptions!M295:P295)</f>
        <v>239</v>
      </c>
    </row>
    <row r="279" spans="2:10" ht="14.25" customHeight="1" x14ac:dyDescent="0.25">
      <c r="B279" s="10" t="s">
        <v>907</v>
      </c>
      <c r="C279" s="8" t="s">
        <v>514</v>
      </c>
      <c r="D279" s="8" t="s">
        <v>1379</v>
      </c>
      <c r="E279" s="10" t="s">
        <v>335</v>
      </c>
      <c r="F279" s="10" t="s">
        <v>24</v>
      </c>
      <c r="G279" s="29" t="s">
        <v>1558</v>
      </c>
      <c r="H279" s="17" t="s">
        <v>339</v>
      </c>
      <c r="I279" s="26">
        <v>45708</v>
      </c>
      <c r="J279" s="34">
        <f>SUM(Assumptions!M296:P296)</f>
        <v>196</v>
      </c>
    </row>
    <row r="280" spans="2:10" ht="14.25" customHeight="1" x14ac:dyDescent="0.25">
      <c r="B280" s="10" t="s">
        <v>908</v>
      </c>
      <c r="C280" s="8" t="s">
        <v>515</v>
      </c>
      <c r="D280" s="8" t="s">
        <v>1380</v>
      </c>
      <c r="E280" s="23" t="s">
        <v>343</v>
      </c>
      <c r="F280" s="10" t="s">
        <v>11</v>
      </c>
      <c r="G280" s="29" t="s">
        <v>1560</v>
      </c>
      <c r="H280" s="24" t="s">
        <v>345</v>
      </c>
      <c r="I280" s="26">
        <v>45722</v>
      </c>
      <c r="J280" s="34">
        <f>SUM(Assumptions!M297:P297)</f>
        <v>215</v>
      </c>
    </row>
    <row r="281" spans="2:10" ht="14.25" customHeight="1" x14ac:dyDescent="0.25">
      <c r="B281" s="10" t="s">
        <v>909</v>
      </c>
      <c r="C281" s="8" t="s">
        <v>516</v>
      </c>
      <c r="D281" s="8" t="s">
        <v>1381</v>
      </c>
      <c r="E281" s="24" t="s">
        <v>340</v>
      </c>
      <c r="F281" s="10" t="s">
        <v>24</v>
      </c>
      <c r="G281" s="29" t="s">
        <v>1561</v>
      </c>
      <c r="H281" s="10" t="s">
        <v>33</v>
      </c>
      <c r="I281" s="26">
        <v>45736</v>
      </c>
      <c r="J281" s="34">
        <f>SUM(Assumptions!M298:P298)</f>
        <v>219</v>
      </c>
    </row>
    <row r="282" spans="2:10" ht="14.25" customHeight="1" x14ac:dyDescent="0.25">
      <c r="B282" s="10" t="s">
        <v>910</v>
      </c>
      <c r="C282" s="8" t="s">
        <v>517</v>
      </c>
      <c r="D282" s="8" t="s">
        <v>1382</v>
      </c>
      <c r="E282" s="23" t="s">
        <v>342</v>
      </c>
      <c r="F282" s="10" t="s">
        <v>11</v>
      </c>
      <c r="G282" s="29" t="s">
        <v>1561</v>
      </c>
      <c r="H282" s="10" t="s">
        <v>13</v>
      </c>
      <c r="I282" s="26">
        <v>45750</v>
      </c>
      <c r="J282" s="34">
        <f>SUM(Assumptions!M299:P299)</f>
        <v>238</v>
      </c>
    </row>
    <row r="283" spans="2:10" ht="14.25" customHeight="1" x14ac:dyDescent="0.25">
      <c r="B283" s="10" t="s">
        <v>911</v>
      </c>
      <c r="C283" s="8" t="s">
        <v>518</v>
      </c>
      <c r="D283" s="8" t="s">
        <v>1178</v>
      </c>
      <c r="E283" s="10" t="s">
        <v>23</v>
      </c>
      <c r="F283" s="10" t="s">
        <v>11</v>
      </c>
      <c r="G283" s="29" t="s">
        <v>1560</v>
      </c>
      <c r="H283" s="10" t="s">
        <v>19</v>
      </c>
      <c r="I283" s="26">
        <v>45764</v>
      </c>
      <c r="J283" s="34">
        <f>SUM(Assumptions!M300:P300)</f>
        <v>240</v>
      </c>
    </row>
    <row r="284" spans="2:10" ht="14.25" customHeight="1" x14ac:dyDescent="0.25">
      <c r="B284" s="10" t="s">
        <v>912</v>
      </c>
      <c r="C284" s="8" t="s">
        <v>519</v>
      </c>
      <c r="D284" s="8" t="s">
        <v>1383</v>
      </c>
      <c r="E284" s="10" t="s">
        <v>17</v>
      </c>
      <c r="F284" s="10" t="s">
        <v>11</v>
      </c>
      <c r="G284" s="29" t="s">
        <v>1558</v>
      </c>
      <c r="H284" s="10" t="s">
        <v>43</v>
      </c>
      <c r="I284" s="26">
        <v>45785</v>
      </c>
      <c r="J284" s="34">
        <f>SUM(Assumptions!M301:P301)</f>
        <v>246</v>
      </c>
    </row>
    <row r="285" spans="2:10" ht="14.25" customHeight="1" x14ac:dyDescent="0.25">
      <c r="B285" s="10" t="s">
        <v>913</v>
      </c>
      <c r="C285" s="8" t="s">
        <v>520</v>
      </c>
      <c r="D285" s="8" t="s">
        <v>1384</v>
      </c>
      <c r="E285" s="10" t="s">
        <v>10</v>
      </c>
      <c r="F285" s="10" t="s">
        <v>24</v>
      </c>
      <c r="G285" s="29" t="s">
        <v>1557</v>
      </c>
      <c r="H285" s="17" t="s">
        <v>339</v>
      </c>
      <c r="I285" s="26">
        <v>45799</v>
      </c>
      <c r="J285" s="34">
        <f>SUM(Assumptions!M302:P302)</f>
        <v>199</v>
      </c>
    </row>
    <row r="286" spans="2:10" ht="14.25" customHeight="1" x14ac:dyDescent="0.25">
      <c r="B286" s="10" t="s">
        <v>914</v>
      </c>
      <c r="C286" s="8" t="s">
        <v>521</v>
      </c>
      <c r="D286" s="8" t="s">
        <v>1385</v>
      </c>
      <c r="E286" s="23" t="s">
        <v>344</v>
      </c>
      <c r="F286" s="10" t="s">
        <v>11</v>
      </c>
      <c r="G286" s="29" t="s">
        <v>1559</v>
      </c>
      <c r="H286" s="24" t="s">
        <v>345</v>
      </c>
      <c r="I286" s="26">
        <v>45820</v>
      </c>
      <c r="J286" s="34">
        <f>SUM(Assumptions!M303:P303)</f>
        <v>208</v>
      </c>
    </row>
    <row r="287" spans="2:10" ht="14.25" customHeight="1" x14ac:dyDescent="0.25">
      <c r="B287" s="10" t="s">
        <v>915</v>
      </c>
      <c r="C287" s="8" t="s">
        <v>522</v>
      </c>
      <c r="D287" s="8" t="s">
        <v>1179</v>
      </c>
      <c r="E287" s="23" t="s">
        <v>344</v>
      </c>
      <c r="F287" s="10" t="s">
        <v>24</v>
      </c>
      <c r="G287" s="29" t="s">
        <v>1556</v>
      </c>
      <c r="H287" s="10" t="s">
        <v>33</v>
      </c>
      <c r="I287" s="26">
        <v>45834</v>
      </c>
      <c r="J287" s="34">
        <f>SUM(Assumptions!M304:P304)</f>
        <v>212</v>
      </c>
    </row>
    <row r="288" spans="2:10" ht="14.25" customHeight="1" x14ac:dyDescent="0.25">
      <c r="B288" s="10" t="s">
        <v>916</v>
      </c>
      <c r="C288" s="8" t="s">
        <v>523</v>
      </c>
      <c r="D288" s="8" t="s">
        <v>1386</v>
      </c>
      <c r="E288" s="10" t="s">
        <v>10</v>
      </c>
      <c r="F288" s="10" t="s">
        <v>11</v>
      </c>
      <c r="G288" s="29" t="s">
        <v>1555</v>
      </c>
      <c r="H288" s="10" t="s">
        <v>13</v>
      </c>
      <c r="I288" s="26">
        <v>45848</v>
      </c>
      <c r="J288" s="34">
        <f>SUM(Assumptions!M305:P305)</f>
        <v>237</v>
      </c>
    </row>
    <row r="289" spans="2:10" ht="14.25" customHeight="1" x14ac:dyDescent="0.25">
      <c r="B289" s="10" t="s">
        <v>917</v>
      </c>
      <c r="C289" s="8" t="s">
        <v>524</v>
      </c>
      <c r="D289" s="8" t="s">
        <v>1387</v>
      </c>
      <c r="E289" s="24" t="s">
        <v>17</v>
      </c>
      <c r="F289" s="10" t="s">
        <v>24</v>
      </c>
      <c r="G289" s="29" t="s">
        <v>1554</v>
      </c>
      <c r="H289" s="10" t="s">
        <v>19</v>
      </c>
      <c r="I289" s="26">
        <v>45862</v>
      </c>
      <c r="J289" s="34">
        <f>SUM(Assumptions!M306:P306)</f>
        <v>211</v>
      </c>
    </row>
    <row r="290" spans="2:10" ht="14.25" customHeight="1" x14ac:dyDescent="0.25">
      <c r="B290" s="10" t="s">
        <v>918</v>
      </c>
      <c r="C290" s="8" t="s">
        <v>525</v>
      </c>
      <c r="D290" s="8" t="s">
        <v>1388</v>
      </c>
      <c r="E290" s="10" t="s">
        <v>23</v>
      </c>
      <c r="F290" s="10" t="s">
        <v>11</v>
      </c>
      <c r="G290" s="29" t="s">
        <v>1553</v>
      </c>
      <c r="H290" s="10" t="s">
        <v>43</v>
      </c>
      <c r="I290" s="26">
        <v>45876</v>
      </c>
      <c r="J290" s="34">
        <f>SUM(Assumptions!M307:P307)</f>
        <v>232</v>
      </c>
    </row>
    <row r="291" spans="2:10" ht="14.25" customHeight="1" x14ac:dyDescent="0.25">
      <c r="B291" s="10" t="s">
        <v>919</v>
      </c>
      <c r="C291" s="8" t="s">
        <v>526</v>
      </c>
      <c r="D291" s="8" t="s">
        <v>1180</v>
      </c>
      <c r="E291" s="10" t="s">
        <v>342</v>
      </c>
      <c r="F291" s="10" t="s">
        <v>24</v>
      </c>
      <c r="G291" s="29" t="s">
        <v>1552</v>
      </c>
      <c r="H291" s="17" t="s">
        <v>339</v>
      </c>
      <c r="I291" s="26">
        <v>45890</v>
      </c>
      <c r="J291" s="34">
        <f>SUM(Assumptions!M308:P308)</f>
        <v>180</v>
      </c>
    </row>
    <row r="292" spans="2:10" ht="14.25" customHeight="1" x14ac:dyDescent="0.25">
      <c r="B292" s="10" t="s">
        <v>920</v>
      </c>
      <c r="C292" s="8" t="s">
        <v>527</v>
      </c>
      <c r="D292" s="8" t="s">
        <v>1389</v>
      </c>
      <c r="E292" s="24" t="s">
        <v>340</v>
      </c>
      <c r="F292" s="10" t="s">
        <v>11</v>
      </c>
      <c r="G292" s="30" t="s">
        <v>12</v>
      </c>
      <c r="H292" s="24" t="s">
        <v>345</v>
      </c>
      <c r="I292" s="26">
        <v>45904</v>
      </c>
      <c r="J292" s="34">
        <f>SUM(Assumptions!M309:P309)</f>
        <v>163</v>
      </c>
    </row>
    <row r="293" spans="2:10" ht="14.25" customHeight="1" x14ac:dyDescent="0.25">
      <c r="B293" s="10" t="s">
        <v>921</v>
      </c>
      <c r="C293" s="8" t="s">
        <v>528</v>
      </c>
      <c r="D293" s="8" t="s">
        <v>1390</v>
      </c>
      <c r="E293" s="10" t="s">
        <v>343</v>
      </c>
      <c r="F293" s="10" t="s">
        <v>24</v>
      </c>
      <c r="G293" s="30" t="s">
        <v>12</v>
      </c>
      <c r="H293" s="10" t="s">
        <v>33</v>
      </c>
      <c r="I293" s="26">
        <v>45918</v>
      </c>
      <c r="J293" s="34">
        <f>SUM(Assumptions!M310:P310)</f>
        <v>171</v>
      </c>
    </row>
    <row r="294" spans="2:10" ht="14.25" customHeight="1" x14ac:dyDescent="0.25">
      <c r="B294" s="10" t="s">
        <v>922</v>
      </c>
      <c r="C294" s="8" t="s">
        <v>529</v>
      </c>
      <c r="D294" s="8" t="s">
        <v>1391</v>
      </c>
      <c r="E294" s="10" t="s">
        <v>335</v>
      </c>
      <c r="F294" s="10" t="s">
        <v>11</v>
      </c>
      <c r="G294" s="29" t="s">
        <v>1552</v>
      </c>
      <c r="H294" s="10" t="s">
        <v>13</v>
      </c>
      <c r="I294" s="26">
        <v>45932</v>
      </c>
      <c r="J294" s="34">
        <f>SUM(Assumptions!M311:P311)</f>
        <v>229</v>
      </c>
    </row>
    <row r="295" spans="2:10" ht="14.25" customHeight="1" x14ac:dyDescent="0.25">
      <c r="B295" s="10" t="s">
        <v>923</v>
      </c>
      <c r="C295" s="8" t="s">
        <v>530</v>
      </c>
      <c r="D295" s="8" t="s">
        <v>1392</v>
      </c>
      <c r="E295" s="10" t="s">
        <v>338</v>
      </c>
      <c r="F295" s="10" t="s">
        <v>24</v>
      </c>
      <c r="G295" s="29" t="s">
        <v>1555</v>
      </c>
      <c r="H295" s="10" t="s">
        <v>19</v>
      </c>
      <c r="I295" s="26">
        <v>45946</v>
      </c>
      <c r="J295" s="34">
        <f>SUM(Assumptions!M312:P312)</f>
        <v>208</v>
      </c>
    </row>
    <row r="296" spans="2:10" ht="14.25" customHeight="1" x14ac:dyDescent="0.25">
      <c r="B296" s="10" t="s">
        <v>924</v>
      </c>
      <c r="C296" s="8" t="s">
        <v>531</v>
      </c>
      <c r="D296" s="8" t="s">
        <v>1393</v>
      </c>
      <c r="E296" s="23" t="s">
        <v>337</v>
      </c>
      <c r="F296" s="10" t="s">
        <v>11</v>
      </c>
      <c r="G296" s="29" t="s">
        <v>1557</v>
      </c>
      <c r="H296" s="10" t="s">
        <v>43</v>
      </c>
      <c r="I296" s="26">
        <v>45960</v>
      </c>
      <c r="J296" s="34">
        <f>SUM(Assumptions!M313:P313)</f>
        <v>241</v>
      </c>
    </row>
    <row r="297" spans="2:10" ht="14.25" customHeight="1" x14ac:dyDescent="0.25">
      <c r="B297" s="10" t="s">
        <v>925</v>
      </c>
      <c r="C297" s="8" t="s">
        <v>532</v>
      </c>
      <c r="D297" s="8" t="s">
        <v>1394</v>
      </c>
      <c r="E297" s="23" t="s">
        <v>343</v>
      </c>
      <c r="F297" s="10" t="s">
        <v>24</v>
      </c>
      <c r="G297" s="29" t="s">
        <v>1560</v>
      </c>
      <c r="H297" s="17" t="s">
        <v>339</v>
      </c>
      <c r="I297" s="26">
        <v>45967</v>
      </c>
      <c r="J297" s="34">
        <f>SUM(Assumptions!M314:P314)</f>
        <v>190</v>
      </c>
    </row>
    <row r="298" spans="2:10" ht="14.25" customHeight="1" x14ac:dyDescent="0.25">
      <c r="B298" s="10" t="s">
        <v>926</v>
      </c>
      <c r="C298" s="8" t="s">
        <v>533</v>
      </c>
      <c r="D298" s="8" t="s">
        <v>1395</v>
      </c>
      <c r="E298" s="24" t="s">
        <v>340</v>
      </c>
      <c r="F298" s="10" t="s">
        <v>11</v>
      </c>
      <c r="G298" s="29" t="s">
        <v>1553</v>
      </c>
      <c r="H298" s="24" t="s">
        <v>345</v>
      </c>
      <c r="I298" s="26">
        <v>45981</v>
      </c>
      <c r="J298" s="34">
        <f>SUM(Assumptions!M315:P315)</f>
        <v>202</v>
      </c>
    </row>
    <row r="299" spans="2:10" ht="14.25" customHeight="1" x14ac:dyDescent="0.25">
      <c r="B299" s="10" t="s">
        <v>927</v>
      </c>
      <c r="C299" s="8" t="s">
        <v>534</v>
      </c>
      <c r="D299" s="8" t="s">
        <v>1181</v>
      </c>
      <c r="E299" s="10" t="s">
        <v>10</v>
      </c>
      <c r="F299" s="10" t="s">
        <v>24</v>
      </c>
      <c r="G299" s="29" t="s">
        <v>1556</v>
      </c>
      <c r="H299" s="10" t="s">
        <v>33</v>
      </c>
      <c r="I299" s="26">
        <v>44945</v>
      </c>
      <c r="J299" s="34">
        <f>SUM(Assumptions!M316:P316)</f>
        <v>224</v>
      </c>
    </row>
    <row r="300" spans="2:10" ht="14.25" customHeight="1" x14ac:dyDescent="0.25">
      <c r="B300" s="10" t="s">
        <v>928</v>
      </c>
      <c r="C300" s="8" t="s">
        <v>535</v>
      </c>
      <c r="D300" s="8" t="s">
        <v>1396</v>
      </c>
      <c r="E300" s="23" t="s">
        <v>344</v>
      </c>
      <c r="F300" s="10" t="s">
        <v>11</v>
      </c>
      <c r="G300" s="29" t="s">
        <v>1558</v>
      </c>
      <c r="H300" s="10" t="s">
        <v>13</v>
      </c>
      <c r="I300" s="26">
        <v>44966</v>
      </c>
      <c r="J300" s="34">
        <f>SUM(Assumptions!M317:P317)</f>
        <v>232</v>
      </c>
    </row>
    <row r="301" spans="2:10" ht="14.25" customHeight="1" x14ac:dyDescent="0.25">
      <c r="B301" s="10" t="s">
        <v>929</v>
      </c>
      <c r="C301" s="8" t="s">
        <v>536</v>
      </c>
      <c r="D301" s="8" t="s">
        <v>1182</v>
      </c>
      <c r="E301" s="24" t="s">
        <v>338</v>
      </c>
      <c r="F301" s="10" t="s">
        <v>24</v>
      </c>
      <c r="G301" s="29" t="s">
        <v>1561</v>
      </c>
      <c r="H301" s="10" t="s">
        <v>19</v>
      </c>
      <c r="I301" s="26">
        <v>44980</v>
      </c>
      <c r="J301" s="34">
        <f>SUM(Assumptions!M318:P318)</f>
        <v>218</v>
      </c>
    </row>
    <row r="302" spans="2:10" ht="14.25" customHeight="1" x14ac:dyDescent="0.25">
      <c r="B302" s="10" t="s">
        <v>930</v>
      </c>
      <c r="C302" s="8" t="s">
        <v>537</v>
      </c>
      <c r="D302" s="8" t="s">
        <v>1397</v>
      </c>
      <c r="E302" s="23" t="s">
        <v>23</v>
      </c>
      <c r="F302" s="10" t="s">
        <v>11</v>
      </c>
      <c r="G302" s="29" t="s">
        <v>1554</v>
      </c>
      <c r="H302" s="10" t="s">
        <v>43</v>
      </c>
      <c r="I302" s="26">
        <v>44987</v>
      </c>
      <c r="J302" s="34">
        <f>SUM(Assumptions!M319:P319)</f>
        <v>231</v>
      </c>
    </row>
    <row r="303" spans="2:10" ht="14.25" customHeight="1" x14ac:dyDescent="0.25">
      <c r="B303" s="10" t="s">
        <v>931</v>
      </c>
      <c r="C303" s="8" t="s">
        <v>538</v>
      </c>
      <c r="D303" s="8" t="s">
        <v>1183</v>
      </c>
      <c r="E303" s="10" t="s">
        <v>17</v>
      </c>
      <c r="F303" s="10" t="s">
        <v>24</v>
      </c>
      <c r="G303" s="29" t="s">
        <v>1559</v>
      </c>
      <c r="H303" s="17" t="s">
        <v>339</v>
      </c>
      <c r="I303" s="26">
        <v>45001</v>
      </c>
      <c r="J303" s="34">
        <f>SUM(Assumptions!M320:P320)</f>
        <v>193</v>
      </c>
    </row>
    <row r="304" spans="2:10" ht="14.25" customHeight="1" x14ac:dyDescent="0.25">
      <c r="B304" s="10" t="s">
        <v>932</v>
      </c>
      <c r="C304" s="8" t="s">
        <v>539</v>
      </c>
      <c r="D304" s="8" t="s">
        <v>1398</v>
      </c>
      <c r="E304" s="10" t="s">
        <v>10</v>
      </c>
      <c r="F304" s="10" t="s">
        <v>11</v>
      </c>
      <c r="G304" s="29" t="s">
        <v>1554</v>
      </c>
      <c r="H304" s="24" t="s">
        <v>345</v>
      </c>
      <c r="I304" s="26">
        <v>45015</v>
      </c>
      <c r="J304" s="34">
        <f>SUM(Assumptions!M321:P321)</f>
        <v>215</v>
      </c>
    </row>
    <row r="305" spans="2:10" ht="14.25" customHeight="1" x14ac:dyDescent="0.25">
      <c r="B305" s="10" t="s">
        <v>933</v>
      </c>
      <c r="C305" s="8" t="s">
        <v>540</v>
      </c>
      <c r="D305" s="8" t="s">
        <v>1184</v>
      </c>
      <c r="E305" s="10" t="s">
        <v>337</v>
      </c>
      <c r="F305" s="10" t="s">
        <v>24</v>
      </c>
      <c r="G305" s="29" t="s">
        <v>1559</v>
      </c>
      <c r="H305" s="10" t="s">
        <v>33</v>
      </c>
      <c r="I305" s="26">
        <v>45022</v>
      </c>
      <c r="J305" s="34">
        <f>SUM(Assumptions!M322:P322)</f>
        <v>219</v>
      </c>
    </row>
    <row r="306" spans="2:10" ht="14.25" customHeight="1" x14ac:dyDescent="0.25">
      <c r="B306" s="10" t="s">
        <v>934</v>
      </c>
      <c r="C306" s="8" t="s">
        <v>541</v>
      </c>
      <c r="D306" s="8" t="s">
        <v>1399</v>
      </c>
      <c r="E306" s="23" t="s">
        <v>338</v>
      </c>
      <c r="F306" s="10" t="s">
        <v>11</v>
      </c>
      <c r="G306" s="29" t="s">
        <v>1553</v>
      </c>
      <c r="H306" s="10" t="s">
        <v>13</v>
      </c>
      <c r="I306" s="26">
        <v>45036</v>
      </c>
      <c r="J306" s="34">
        <f>SUM(Assumptions!M323:P323)</f>
        <v>227</v>
      </c>
    </row>
    <row r="307" spans="2:10" ht="14.25" customHeight="1" x14ac:dyDescent="0.25">
      <c r="B307" s="10" t="s">
        <v>935</v>
      </c>
      <c r="C307" s="8" t="s">
        <v>1243</v>
      </c>
      <c r="D307" s="8" t="s">
        <v>1400</v>
      </c>
      <c r="E307" s="23" t="s">
        <v>338</v>
      </c>
      <c r="F307" s="10" t="s">
        <v>24</v>
      </c>
      <c r="G307" s="29" t="s">
        <v>1556</v>
      </c>
      <c r="H307" s="10" t="s">
        <v>19</v>
      </c>
      <c r="I307" s="26">
        <v>45057</v>
      </c>
      <c r="J307" s="34">
        <f>SUM(Assumptions!M324:P324)</f>
        <v>209</v>
      </c>
    </row>
    <row r="308" spans="2:10" ht="14.25" customHeight="1" x14ac:dyDescent="0.25">
      <c r="B308" s="10" t="s">
        <v>936</v>
      </c>
      <c r="C308" s="8" t="s">
        <v>542</v>
      </c>
      <c r="D308" s="8" t="s">
        <v>1401</v>
      </c>
      <c r="E308" s="24" t="s">
        <v>335</v>
      </c>
      <c r="F308" s="10" t="s">
        <v>11</v>
      </c>
      <c r="G308" s="29" t="s">
        <v>1558</v>
      </c>
      <c r="H308" s="10" t="s">
        <v>43</v>
      </c>
      <c r="I308" s="26">
        <v>45071</v>
      </c>
      <c r="J308" s="34">
        <f>SUM(Assumptions!M325:P325)</f>
        <v>244</v>
      </c>
    </row>
    <row r="309" spans="2:10" ht="14.25" customHeight="1" x14ac:dyDescent="0.25">
      <c r="B309" s="10" t="s">
        <v>937</v>
      </c>
      <c r="C309" s="8" t="s">
        <v>543</v>
      </c>
      <c r="D309" s="8" t="s">
        <v>1402</v>
      </c>
      <c r="E309" s="10" t="s">
        <v>335</v>
      </c>
      <c r="F309" s="10" t="s">
        <v>24</v>
      </c>
      <c r="G309" s="29" t="s">
        <v>1561</v>
      </c>
      <c r="H309" s="17" t="s">
        <v>339</v>
      </c>
      <c r="I309" s="26">
        <v>45085</v>
      </c>
      <c r="J309" s="34">
        <f>SUM(Assumptions!M326:P326)</f>
        <v>199</v>
      </c>
    </row>
    <row r="310" spans="2:10" ht="14.25" customHeight="1" x14ac:dyDescent="0.25">
      <c r="B310" s="10" t="s">
        <v>938</v>
      </c>
      <c r="C310" s="8" t="s">
        <v>544</v>
      </c>
      <c r="D310" s="8" t="s">
        <v>1403</v>
      </c>
      <c r="E310" s="23" t="s">
        <v>342</v>
      </c>
      <c r="F310" s="10" t="s">
        <v>11</v>
      </c>
      <c r="G310" s="29" t="s">
        <v>1552</v>
      </c>
      <c r="H310" s="24" t="s">
        <v>345</v>
      </c>
      <c r="I310" s="26">
        <v>45099</v>
      </c>
      <c r="J310" s="34">
        <f>SUM(Assumptions!M327:P327)</f>
        <v>205</v>
      </c>
    </row>
    <row r="311" spans="2:10" ht="14.25" customHeight="1" x14ac:dyDescent="0.25">
      <c r="B311" s="10" t="s">
        <v>939</v>
      </c>
      <c r="C311" s="8" t="s">
        <v>545</v>
      </c>
      <c r="D311" s="8" t="s">
        <v>1185</v>
      </c>
      <c r="E311" s="24" t="s">
        <v>342</v>
      </c>
      <c r="F311" s="10" t="s">
        <v>24</v>
      </c>
      <c r="G311" s="29" t="s">
        <v>1555</v>
      </c>
      <c r="H311" s="10" t="s">
        <v>33</v>
      </c>
      <c r="I311" s="26">
        <v>45113</v>
      </c>
      <c r="J311" s="34">
        <f>SUM(Assumptions!M328:P328)</f>
        <v>214</v>
      </c>
    </row>
    <row r="312" spans="2:10" ht="14.25" customHeight="1" x14ac:dyDescent="0.25">
      <c r="B312" s="10" t="s">
        <v>940</v>
      </c>
      <c r="C312" s="8" t="s">
        <v>546</v>
      </c>
      <c r="D312" s="8" t="s">
        <v>1186</v>
      </c>
      <c r="E312" s="23" t="s">
        <v>10</v>
      </c>
      <c r="F312" s="10" t="s">
        <v>11</v>
      </c>
      <c r="G312" s="29" t="s">
        <v>1557</v>
      </c>
      <c r="H312" s="10" t="s">
        <v>13</v>
      </c>
      <c r="I312" s="26">
        <v>45127</v>
      </c>
      <c r="J312" s="34">
        <f>SUM(Assumptions!M329:P329)</f>
        <v>243</v>
      </c>
    </row>
    <row r="313" spans="2:10" ht="14.25" customHeight="1" x14ac:dyDescent="0.25">
      <c r="B313" s="10" t="s">
        <v>941</v>
      </c>
      <c r="C313" s="8" t="s">
        <v>547</v>
      </c>
      <c r="D313" s="8" t="s">
        <v>1404</v>
      </c>
      <c r="E313" s="10" t="s">
        <v>17</v>
      </c>
      <c r="F313" s="10" t="s">
        <v>11</v>
      </c>
      <c r="G313" s="29" t="s">
        <v>1560</v>
      </c>
      <c r="H313" s="10" t="s">
        <v>19</v>
      </c>
      <c r="I313" s="26">
        <v>45148</v>
      </c>
      <c r="J313" s="34">
        <f>SUM(Assumptions!M330:P330)</f>
        <v>245</v>
      </c>
    </row>
    <row r="314" spans="2:10" ht="14.25" customHeight="1" x14ac:dyDescent="0.25">
      <c r="B314" s="10" t="s">
        <v>942</v>
      </c>
      <c r="C314" s="8" t="s">
        <v>548</v>
      </c>
      <c r="D314" s="8" t="s">
        <v>1405</v>
      </c>
      <c r="E314" s="10" t="s">
        <v>10</v>
      </c>
      <c r="F314" s="10" t="s">
        <v>11</v>
      </c>
      <c r="G314" s="30" t="s">
        <v>12</v>
      </c>
      <c r="H314" s="10" t="s">
        <v>43</v>
      </c>
      <c r="I314" s="26">
        <v>45162</v>
      </c>
      <c r="J314" s="34">
        <f>SUM(Assumptions!M331:P331)</f>
        <v>200</v>
      </c>
    </row>
    <row r="315" spans="2:10" ht="14.25" customHeight="1" x14ac:dyDescent="0.25">
      <c r="B315" s="10" t="s">
        <v>943</v>
      </c>
      <c r="C315" s="8" t="s">
        <v>549</v>
      </c>
      <c r="D315" s="8" t="s">
        <v>1187</v>
      </c>
      <c r="E315" s="10" t="s">
        <v>23</v>
      </c>
      <c r="F315" s="10" t="s">
        <v>11</v>
      </c>
      <c r="G315" s="30" t="s">
        <v>12</v>
      </c>
      <c r="H315" s="17" t="s">
        <v>339</v>
      </c>
      <c r="I315" s="26">
        <v>45176</v>
      </c>
      <c r="J315" s="34">
        <f>SUM(Assumptions!M332:P332)</f>
        <v>168</v>
      </c>
    </row>
    <row r="316" spans="2:10" ht="14.25" customHeight="1" x14ac:dyDescent="0.25">
      <c r="B316" s="10" t="s">
        <v>944</v>
      </c>
      <c r="C316" s="8" t="s">
        <v>550</v>
      </c>
      <c r="D316" s="8" t="s">
        <v>1188</v>
      </c>
      <c r="E316" s="23" t="s">
        <v>17</v>
      </c>
      <c r="F316" s="10" t="s">
        <v>11</v>
      </c>
      <c r="G316" s="29" t="s">
        <v>1552</v>
      </c>
      <c r="H316" s="24" t="s">
        <v>345</v>
      </c>
      <c r="I316" s="26">
        <v>45190</v>
      </c>
      <c r="J316" s="34">
        <f>SUM(Assumptions!M333:P333)</f>
        <v>212</v>
      </c>
    </row>
    <row r="317" spans="2:10" ht="14.25" customHeight="1" x14ac:dyDescent="0.25">
      <c r="B317" s="10" t="s">
        <v>945</v>
      </c>
      <c r="C317" s="8" t="s">
        <v>551</v>
      </c>
      <c r="D317" s="8" t="s">
        <v>1189</v>
      </c>
      <c r="E317" s="23" t="s">
        <v>337</v>
      </c>
      <c r="F317" s="10" t="s">
        <v>11</v>
      </c>
      <c r="G317" s="29" t="s">
        <v>1553</v>
      </c>
      <c r="H317" s="10" t="s">
        <v>33</v>
      </c>
      <c r="I317" s="26">
        <v>45204</v>
      </c>
      <c r="J317" s="34">
        <f>SUM(Assumptions!M334:P334)</f>
        <v>238</v>
      </c>
    </row>
    <row r="318" spans="2:10" ht="14.25" customHeight="1" x14ac:dyDescent="0.25">
      <c r="B318" s="10" t="s">
        <v>946</v>
      </c>
      <c r="C318" s="8" t="s">
        <v>552</v>
      </c>
      <c r="D318" s="8" t="s">
        <v>1406</v>
      </c>
      <c r="E318" s="24" t="s">
        <v>338</v>
      </c>
      <c r="F318" s="10" t="s">
        <v>11</v>
      </c>
      <c r="G318" s="29" t="s">
        <v>1554</v>
      </c>
      <c r="H318" s="10" t="s">
        <v>13</v>
      </c>
      <c r="I318" s="26">
        <v>45218</v>
      </c>
      <c r="J318" s="34">
        <f>SUM(Assumptions!M335:P335)</f>
        <v>226</v>
      </c>
    </row>
    <row r="319" spans="2:10" ht="14.25" customHeight="1" x14ac:dyDescent="0.25">
      <c r="B319" s="10" t="s">
        <v>947</v>
      </c>
      <c r="C319" s="8" t="s">
        <v>553</v>
      </c>
      <c r="D319" s="8" t="s">
        <v>1407</v>
      </c>
      <c r="E319" s="10" t="s">
        <v>335</v>
      </c>
      <c r="F319" s="10" t="s">
        <v>11</v>
      </c>
      <c r="G319" s="29" t="s">
        <v>1555</v>
      </c>
      <c r="H319" s="10" t="s">
        <v>19</v>
      </c>
      <c r="I319" s="26">
        <v>45239</v>
      </c>
      <c r="J319" s="34">
        <f>SUM(Assumptions!M336:P336)</f>
        <v>235</v>
      </c>
    </row>
    <row r="320" spans="2:10" ht="14.25" customHeight="1" x14ac:dyDescent="0.25">
      <c r="B320" s="10" t="s">
        <v>948</v>
      </c>
      <c r="C320" s="8" t="s">
        <v>554</v>
      </c>
      <c r="D320" s="8" t="s">
        <v>1190</v>
      </c>
      <c r="E320" s="23" t="s">
        <v>342</v>
      </c>
      <c r="F320" s="10" t="s">
        <v>11</v>
      </c>
      <c r="G320" s="29" t="s">
        <v>1556</v>
      </c>
      <c r="H320" s="10" t="s">
        <v>43</v>
      </c>
      <c r="I320" s="26">
        <v>45253</v>
      </c>
      <c r="J320" s="34">
        <f>SUM(Assumptions!M337:P337)</f>
        <v>233</v>
      </c>
    </row>
    <row r="321" spans="2:10" ht="14.25" customHeight="1" x14ac:dyDescent="0.25">
      <c r="B321" s="10" t="s">
        <v>949</v>
      </c>
      <c r="C321" s="8" t="s">
        <v>555</v>
      </c>
      <c r="D321" s="8" t="s">
        <v>1408</v>
      </c>
      <c r="E321" s="24" t="s">
        <v>23</v>
      </c>
      <c r="F321" s="10" t="s">
        <v>11</v>
      </c>
      <c r="G321" s="29" t="s">
        <v>1559</v>
      </c>
      <c r="H321" s="17" t="s">
        <v>339</v>
      </c>
      <c r="I321" s="26">
        <v>45267</v>
      </c>
      <c r="J321" s="34">
        <f>SUM(Assumptions!M338:P338)</f>
        <v>211</v>
      </c>
    </row>
    <row r="322" spans="2:10" ht="14.25" customHeight="1" x14ac:dyDescent="0.25">
      <c r="B322" s="10" t="s">
        <v>950</v>
      </c>
      <c r="C322" s="8" t="s">
        <v>556</v>
      </c>
      <c r="D322" s="8" t="s">
        <v>1409</v>
      </c>
      <c r="E322" s="23" t="s">
        <v>17</v>
      </c>
      <c r="F322" s="10" t="s">
        <v>11</v>
      </c>
      <c r="G322" s="29" t="s">
        <v>1557</v>
      </c>
      <c r="H322" s="24" t="s">
        <v>345</v>
      </c>
      <c r="I322" s="26">
        <v>45281</v>
      </c>
      <c r="J322" s="34">
        <f>SUM(Assumptions!M339:P339)</f>
        <v>222</v>
      </c>
    </row>
    <row r="323" spans="2:10" ht="14.25" customHeight="1" x14ac:dyDescent="0.25">
      <c r="B323" s="10" t="s">
        <v>951</v>
      </c>
      <c r="C323" s="8" t="s">
        <v>557</v>
      </c>
      <c r="D323" s="8" t="s">
        <v>1410</v>
      </c>
      <c r="E323" s="10" t="s">
        <v>10</v>
      </c>
      <c r="F323" s="10" t="s">
        <v>11</v>
      </c>
      <c r="G323" s="29" t="s">
        <v>1558</v>
      </c>
      <c r="H323" s="10" t="s">
        <v>33</v>
      </c>
      <c r="I323" s="26">
        <v>45302</v>
      </c>
      <c r="J323" s="34">
        <f>SUM(Assumptions!M340:P340)</f>
        <v>253</v>
      </c>
    </row>
    <row r="324" spans="2:10" ht="14.25" customHeight="1" x14ac:dyDescent="0.25">
      <c r="B324" s="10" t="s">
        <v>952</v>
      </c>
      <c r="C324" s="8" t="s">
        <v>558</v>
      </c>
      <c r="D324" s="8" t="s">
        <v>1411</v>
      </c>
      <c r="E324" s="10" t="s">
        <v>343</v>
      </c>
      <c r="F324" s="10" t="s">
        <v>11</v>
      </c>
      <c r="G324" s="29" t="s">
        <v>1560</v>
      </c>
      <c r="H324" s="10" t="s">
        <v>13</v>
      </c>
      <c r="I324" s="26">
        <v>45316</v>
      </c>
      <c r="J324" s="34">
        <f>SUM(Assumptions!M341:P341)</f>
        <v>234</v>
      </c>
    </row>
    <row r="325" spans="2:10" ht="14.25" customHeight="1" x14ac:dyDescent="0.25">
      <c r="B325" s="10" t="s">
        <v>953</v>
      </c>
      <c r="C325" s="8" t="s">
        <v>559</v>
      </c>
      <c r="D325" s="8" t="s">
        <v>1191</v>
      </c>
      <c r="E325" s="10" t="s">
        <v>340</v>
      </c>
      <c r="F325" s="10" t="s">
        <v>11</v>
      </c>
      <c r="G325" s="29" t="s">
        <v>1561</v>
      </c>
      <c r="H325" s="10" t="s">
        <v>19</v>
      </c>
      <c r="I325" s="26">
        <v>45330</v>
      </c>
      <c r="J325" s="34">
        <f>SUM(Assumptions!M342:P342)</f>
        <v>235</v>
      </c>
    </row>
    <row r="326" spans="2:10" ht="14.25" customHeight="1" x14ac:dyDescent="0.25">
      <c r="B326" s="10" t="s">
        <v>954</v>
      </c>
      <c r="C326" s="8" t="s">
        <v>560</v>
      </c>
      <c r="D326" s="8" t="s">
        <v>1192</v>
      </c>
      <c r="E326" s="23" t="s">
        <v>344</v>
      </c>
      <c r="F326" s="10" t="s">
        <v>11</v>
      </c>
      <c r="G326" s="29" t="s">
        <v>1561</v>
      </c>
      <c r="H326" s="10" t="s">
        <v>43</v>
      </c>
      <c r="I326" s="26">
        <v>45344</v>
      </c>
      <c r="J326" s="34">
        <f>SUM(Assumptions!M343:P343)</f>
        <v>239</v>
      </c>
    </row>
    <row r="327" spans="2:10" ht="14.25" customHeight="1" x14ac:dyDescent="0.25">
      <c r="B327" s="10" t="s">
        <v>955</v>
      </c>
      <c r="C327" s="8" t="s">
        <v>561</v>
      </c>
      <c r="D327" s="8" t="s">
        <v>1412</v>
      </c>
      <c r="E327" s="23" t="s">
        <v>335</v>
      </c>
      <c r="F327" s="10" t="s">
        <v>11</v>
      </c>
      <c r="G327" s="29" t="s">
        <v>1560</v>
      </c>
      <c r="H327" s="17" t="s">
        <v>339</v>
      </c>
      <c r="I327" s="26">
        <v>45358</v>
      </c>
      <c r="J327" s="34">
        <f>SUM(Assumptions!M344:P344)</f>
        <v>220</v>
      </c>
    </row>
    <row r="328" spans="2:10" ht="14.25" customHeight="1" x14ac:dyDescent="0.25">
      <c r="B328" s="10" t="s">
        <v>956</v>
      </c>
      <c r="C328" s="8" t="s">
        <v>562</v>
      </c>
      <c r="D328" s="8" t="s">
        <v>1413</v>
      </c>
      <c r="E328" s="24" t="s">
        <v>343</v>
      </c>
      <c r="F328" s="10" t="s">
        <v>11</v>
      </c>
      <c r="G328" s="29" t="s">
        <v>1558</v>
      </c>
      <c r="H328" s="24" t="s">
        <v>345</v>
      </c>
      <c r="I328" s="26">
        <v>45372</v>
      </c>
      <c r="J328" s="34">
        <f>SUM(Assumptions!M345:P345)</f>
        <v>214</v>
      </c>
    </row>
    <row r="329" spans="2:10" ht="14.25" customHeight="1" x14ac:dyDescent="0.25">
      <c r="B329" s="10" t="s">
        <v>957</v>
      </c>
      <c r="C329" s="8" t="s">
        <v>563</v>
      </c>
      <c r="D329" s="8" t="s">
        <v>1414</v>
      </c>
      <c r="E329" s="10" t="s">
        <v>340</v>
      </c>
      <c r="F329" s="10" t="s">
        <v>11</v>
      </c>
      <c r="G329" s="29" t="s">
        <v>1557</v>
      </c>
      <c r="H329" s="10" t="s">
        <v>33</v>
      </c>
      <c r="I329" s="26">
        <v>45386</v>
      </c>
      <c r="J329" s="34">
        <f>SUM(Assumptions!M346:P346)</f>
        <v>238</v>
      </c>
    </row>
    <row r="330" spans="2:10" ht="14.25" customHeight="1" x14ac:dyDescent="0.25">
      <c r="B330" s="10" t="s">
        <v>958</v>
      </c>
      <c r="C330" s="8" t="s">
        <v>564</v>
      </c>
      <c r="D330" s="8" t="s">
        <v>1193</v>
      </c>
      <c r="E330" s="23" t="s">
        <v>344</v>
      </c>
      <c r="F330" s="10" t="s">
        <v>11</v>
      </c>
      <c r="G330" s="29" t="s">
        <v>1559</v>
      </c>
      <c r="H330" s="10" t="s">
        <v>13</v>
      </c>
      <c r="I330" s="26">
        <v>45400</v>
      </c>
      <c r="J330" s="34">
        <f>SUM(Assumptions!M347:P347)</f>
        <v>227</v>
      </c>
    </row>
    <row r="331" spans="2:10" ht="14.25" customHeight="1" x14ac:dyDescent="0.25">
      <c r="B331" s="10" t="s">
        <v>959</v>
      </c>
      <c r="C331" s="8" t="s">
        <v>1244</v>
      </c>
      <c r="D331" s="8" t="s">
        <v>1194</v>
      </c>
      <c r="E331" s="23" t="s">
        <v>337</v>
      </c>
      <c r="F331" s="10" t="s">
        <v>24</v>
      </c>
      <c r="G331" s="29" t="s">
        <v>1556</v>
      </c>
      <c r="H331" s="10" t="s">
        <v>19</v>
      </c>
      <c r="I331" s="26">
        <v>45414</v>
      </c>
      <c r="J331" s="34">
        <f>SUM(Assumptions!M348:P348)</f>
        <v>211</v>
      </c>
    </row>
    <row r="332" spans="2:10" ht="14.25" customHeight="1" x14ac:dyDescent="0.25">
      <c r="B332" s="10" t="s">
        <v>960</v>
      </c>
      <c r="C332" s="8" t="s">
        <v>565</v>
      </c>
      <c r="D332" s="8" t="s">
        <v>1415</v>
      </c>
      <c r="E332" s="24" t="s">
        <v>338</v>
      </c>
      <c r="F332" s="10" t="s">
        <v>24</v>
      </c>
      <c r="G332" s="29" t="s">
        <v>1555</v>
      </c>
      <c r="H332" s="10" t="s">
        <v>43</v>
      </c>
      <c r="I332" s="26">
        <v>45428</v>
      </c>
      <c r="J332" s="34">
        <f>SUM(Assumptions!M349:P349)</f>
        <v>210</v>
      </c>
    </row>
    <row r="333" spans="2:10" ht="14.25" customHeight="1" x14ac:dyDescent="0.25">
      <c r="B333" s="10" t="s">
        <v>961</v>
      </c>
      <c r="C333" s="8" t="s">
        <v>566</v>
      </c>
      <c r="D333" s="8" t="s">
        <v>1416</v>
      </c>
      <c r="E333" s="10" t="s">
        <v>335</v>
      </c>
      <c r="F333" s="10" t="s">
        <v>24</v>
      </c>
      <c r="G333" s="29" t="s">
        <v>1554</v>
      </c>
      <c r="H333" s="17" t="s">
        <v>339</v>
      </c>
      <c r="I333" s="26">
        <v>45442</v>
      </c>
      <c r="J333" s="34">
        <f>SUM(Assumptions!M350:P350)</f>
        <v>186</v>
      </c>
    </row>
    <row r="334" spans="2:10" ht="14.25" customHeight="1" x14ac:dyDescent="0.25">
      <c r="B334" s="10" t="s">
        <v>962</v>
      </c>
      <c r="C334" s="8" t="s">
        <v>567</v>
      </c>
      <c r="D334" s="8" t="s">
        <v>1195</v>
      </c>
      <c r="E334" s="23" t="s">
        <v>343</v>
      </c>
      <c r="F334" s="10" t="s">
        <v>24</v>
      </c>
      <c r="G334" s="29" t="s">
        <v>1553</v>
      </c>
      <c r="H334" s="24" t="s">
        <v>345</v>
      </c>
      <c r="I334" s="26">
        <v>45449</v>
      </c>
      <c r="J334" s="34">
        <f>SUM(Assumptions!M351:P351)</f>
        <v>182</v>
      </c>
    </row>
    <row r="335" spans="2:10" ht="14.25" customHeight="1" x14ac:dyDescent="0.25">
      <c r="B335" s="10" t="s">
        <v>963</v>
      </c>
      <c r="C335" s="8" t="s">
        <v>568</v>
      </c>
      <c r="D335" s="8" t="s">
        <v>1196</v>
      </c>
      <c r="E335" s="24" t="s">
        <v>340</v>
      </c>
      <c r="F335" s="10" t="s">
        <v>24</v>
      </c>
      <c r="G335" s="29" t="s">
        <v>1552</v>
      </c>
      <c r="H335" s="10" t="s">
        <v>33</v>
      </c>
      <c r="I335" s="26">
        <v>45463</v>
      </c>
      <c r="J335" s="34">
        <f>SUM(Assumptions!M352:P352)</f>
        <v>205</v>
      </c>
    </row>
    <row r="336" spans="2:10" ht="14.25" customHeight="1" x14ac:dyDescent="0.25">
      <c r="B336" s="10" t="s">
        <v>964</v>
      </c>
      <c r="C336" s="8" t="s">
        <v>569</v>
      </c>
      <c r="D336" s="8" t="s">
        <v>1417</v>
      </c>
      <c r="E336" s="23" t="s">
        <v>342</v>
      </c>
      <c r="F336" s="10" t="s">
        <v>24</v>
      </c>
      <c r="G336" s="30" t="s">
        <v>12</v>
      </c>
      <c r="H336" s="10" t="s">
        <v>13</v>
      </c>
      <c r="I336" s="26">
        <v>45477</v>
      </c>
      <c r="J336" s="34">
        <f>SUM(Assumptions!M353:P353)</f>
        <v>164</v>
      </c>
    </row>
    <row r="337" spans="2:10" ht="14.25" customHeight="1" x14ac:dyDescent="0.25">
      <c r="B337" s="10" t="s">
        <v>965</v>
      </c>
      <c r="C337" s="8" t="s">
        <v>570</v>
      </c>
      <c r="D337" s="8" t="s">
        <v>1418</v>
      </c>
      <c r="E337" s="10" t="s">
        <v>23</v>
      </c>
      <c r="F337" s="10" t="s">
        <v>24</v>
      </c>
      <c r="G337" s="30" t="s">
        <v>12</v>
      </c>
      <c r="H337" s="10" t="s">
        <v>19</v>
      </c>
      <c r="I337" s="26">
        <v>45491</v>
      </c>
      <c r="J337" s="34">
        <f>SUM(Assumptions!M354:P354)</f>
        <v>168</v>
      </c>
    </row>
    <row r="338" spans="2:10" ht="14.25" customHeight="1" x14ac:dyDescent="0.25">
      <c r="B338" s="10" t="s">
        <v>966</v>
      </c>
      <c r="C338" s="8" t="s">
        <v>571</v>
      </c>
      <c r="D338" s="8" t="s">
        <v>1419</v>
      </c>
      <c r="E338" s="10" t="s">
        <v>17</v>
      </c>
      <c r="F338" s="10" t="s">
        <v>24</v>
      </c>
      <c r="G338" s="29" t="s">
        <v>1552</v>
      </c>
      <c r="H338" s="10" t="s">
        <v>43</v>
      </c>
      <c r="I338" s="26">
        <v>45505</v>
      </c>
      <c r="J338" s="34">
        <f>SUM(Assumptions!M355:P355)</f>
        <v>212</v>
      </c>
    </row>
    <row r="339" spans="2:10" ht="14.25" customHeight="1" x14ac:dyDescent="0.25">
      <c r="B339" s="10" t="s">
        <v>967</v>
      </c>
      <c r="C339" s="8" t="s">
        <v>572</v>
      </c>
      <c r="D339" s="8" t="s">
        <v>1420</v>
      </c>
      <c r="E339" s="10" t="s">
        <v>10</v>
      </c>
      <c r="F339" s="10" t="s">
        <v>24</v>
      </c>
      <c r="G339" s="29" t="s">
        <v>1555</v>
      </c>
      <c r="H339" s="17" t="s">
        <v>339</v>
      </c>
      <c r="I339" s="26">
        <v>45519</v>
      </c>
      <c r="J339" s="34">
        <f>SUM(Assumptions!M356:P356)</f>
        <v>193</v>
      </c>
    </row>
    <row r="340" spans="2:10" ht="14.25" customHeight="1" x14ac:dyDescent="0.25">
      <c r="B340" s="10" t="s">
        <v>968</v>
      </c>
      <c r="C340" s="8" t="s">
        <v>573</v>
      </c>
      <c r="D340" s="8" t="s">
        <v>1197</v>
      </c>
      <c r="E340" s="23" t="s">
        <v>344</v>
      </c>
      <c r="F340" s="10" t="s">
        <v>24</v>
      </c>
      <c r="G340" s="29" t="s">
        <v>1557</v>
      </c>
      <c r="H340" s="24" t="s">
        <v>345</v>
      </c>
      <c r="I340" s="26">
        <v>45533</v>
      </c>
      <c r="J340" s="34">
        <f>SUM(Assumptions!M357:P357)</f>
        <v>189</v>
      </c>
    </row>
    <row r="341" spans="2:10" ht="14.25" customHeight="1" x14ac:dyDescent="0.25">
      <c r="B341" s="10" t="s">
        <v>969</v>
      </c>
      <c r="C341" s="8" t="s">
        <v>574</v>
      </c>
      <c r="D341" s="8" t="s">
        <v>1198</v>
      </c>
      <c r="E341" s="23" t="s">
        <v>344</v>
      </c>
      <c r="F341" s="10" t="s">
        <v>24</v>
      </c>
      <c r="G341" s="29" t="s">
        <v>1560</v>
      </c>
      <c r="H341" s="10" t="s">
        <v>33</v>
      </c>
      <c r="I341" s="26">
        <v>45540</v>
      </c>
      <c r="J341" s="34">
        <f>SUM(Assumptions!M358:P358)</f>
        <v>219</v>
      </c>
    </row>
    <row r="342" spans="2:10" ht="14.25" customHeight="1" x14ac:dyDescent="0.25">
      <c r="B342" s="10" t="s">
        <v>970</v>
      </c>
      <c r="C342" s="8" t="s">
        <v>575</v>
      </c>
      <c r="D342" s="8" t="s">
        <v>1421</v>
      </c>
      <c r="E342" s="10" t="s">
        <v>10</v>
      </c>
      <c r="F342" s="10" t="s">
        <v>24</v>
      </c>
      <c r="G342" s="29" t="s">
        <v>1553</v>
      </c>
      <c r="H342" s="10" t="s">
        <v>13</v>
      </c>
      <c r="I342" s="26">
        <v>45554</v>
      </c>
      <c r="J342" s="34">
        <f>SUM(Assumptions!M359:P359)</f>
        <v>212</v>
      </c>
    </row>
    <row r="343" spans="2:10" ht="14.25" customHeight="1" x14ac:dyDescent="0.25">
      <c r="B343" s="10" t="s">
        <v>971</v>
      </c>
      <c r="C343" s="8" t="s">
        <v>576</v>
      </c>
      <c r="D343" s="8" t="s">
        <v>1199</v>
      </c>
      <c r="E343" s="24" t="s">
        <v>17</v>
      </c>
      <c r="F343" s="10" t="s">
        <v>24</v>
      </c>
      <c r="G343" s="29" t="s">
        <v>1556</v>
      </c>
      <c r="H343" s="10" t="s">
        <v>19</v>
      </c>
      <c r="I343" s="26">
        <v>45575</v>
      </c>
      <c r="J343" s="34">
        <f>SUM(Assumptions!M360:P360)</f>
        <v>215</v>
      </c>
    </row>
    <row r="344" spans="2:10" ht="14.25" customHeight="1" x14ac:dyDescent="0.25">
      <c r="B344" s="10" t="s">
        <v>972</v>
      </c>
      <c r="C344" s="8" t="s">
        <v>577</v>
      </c>
      <c r="D344" s="8" t="s">
        <v>1422</v>
      </c>
      <c r="E344" s="10" t="s">
        <v>23</v>
      </c>
      <c r="F344" s="10" t="s">
        <v>24</v>
      </c>
      <c r="G344" s="29" t="s">
        <v>1558</v>
      </c>
      <c r="H344" s="10" t="s">
        <v>43</v>
      </c>
      <c r="I344" s="26">
        <v>45589</v>
      </c>
      <c r="J344" s="34">
        <f>SUM(Assumptions!M361:P361)</f>
        <v>218</v>
      </c>
    </row>
    <row r="345" spans="2:10" ht="14.25" customHeight="1" x14ac:dyDescent="0.25">
      <c r="B345" s="10" t="s">
        <v>973</v>
      </c>
      <c r="C345" s="8" t="s">
        <v>578</v>
      </c>
      <c r="D345" s="8" t="s">
        <v>1423</v>
      </c>
      <c r="E345" s="10" t="s">
        <v>342</v>
      </c>
      <c r="F345" s="10" t="s">
        <v>24</v>
      </c>
      <c r="G345" s="29" t="s">
        <v>1561</v>
      </c>
      <c r="H345" s="17" t="s">
        <v>339</v>
      </c>
      <c r="I345" s="26">
        <v>45603</v>
      </c>
      <c r="J345" s="34">
        <f>SUM(Assumptions!M362:P362)</f>
        <v>194</v>
      </c>
    </row>
    <row r="346" spans="2:10" ht="14.25" customHeight="1" x14ac:dyDescent="0.25">
      <c r="B346" s="10" t="s">
        <v>974</v>
      </c>
      <c r="C346" s="8" t="s">
        <v>579</v>
      </c>
      <c r="D346" s="8" t="s">
        <v>1424</v>
      </c>
      <c r="E346" s="24" t="s">
        <v>340</v>
      </c>
      <c r="F346" s="10" t="s">
        <v>24</v>
      </c>
      <c r="G346" s="29" t="s">
        <v>1554</v>
      </c>
      <c r="H346" s="24" t="s">
        <v>345</v>
      </c>
      <c r="I346" s="26">
        <v>45617</v>
      </c>
      <c r="J346" s="34">
        <f>SUM(Assumptions!M363:P363)</f>
        <v>178</v>
      </c>
    </row>
    <row r="347" spans="2:10" ht="14.25" customHeight="1" x14ac:dyDescent="0.25">
      <c r="B347" s="10" t="s">
        <v>975</v>
      </c>
      <c r="C347" s="8" t="s">
        <v>580</v>
      </c>
      <c r="D347" s="8" t="s">
        <v>1425</v>
      </c>
      <c r="E347" s="10" t="s">
        <v>343</v>
      </c>
      <c r="F347" s="10" t="s">
        <v>24</v>
      </c>
      <c r="G347" s="29" t="s">
        <v>1559</v>
      </c>
      <c r="H347" s="10" t="s">
        <v>33</v>
      </c>
      <c r="I347" s="26">
        <v>45631</v>
      </c>
      <c r="J347" s="34">
        <f>SUM(Assumptions!M364:P364)</f>
        <v>214</v>
      </c>
    </row>
    <row r="348" spans="2:10" ht="14.25" customHeight="1" x14ac:dyDescent="0.25">
      <c r="B348" s="10" t="s">
        <v>976</v>
      </c>
      <c r="C348" s="8" t="s">
        <v>581</v>
      </c>
      <c r="D348" s="8" t="s">
        <v>1200</v>
      </c>
      <c r="E348" s="10" t="s">
        <v>335</v>
      </c>
      <c r="F348" s="10" t="s">
        <v>24</v>
      </c>
      <c r="G348" s="29" t="s">
        <v>1554</v>
      </c>
      <c r="H348" s="10" t="s">
        <v>13</v>
      </c>
      <c r="I348" s="26">
        <v>45645</v>
      </c>
      <c r="J348" s="34">
        <f>SUM(Assumptions!M365:P365)</f>
        <v>207</v>
      </c>
    </row>
    <row r="349" spans="2:10" ht="14.25" customHeight="1" x14ac:dyDescent="0.25">
      <c r="B349" s="10" t="s">
        <v>977</v>
      </c>
      <c r="C349" s="8" t="s">
        <v>582</v>
      </c>
      <c r="D349" s="8" t="s">
        <v>1201</v>
      </c>
      <c r="E349" s="10" t="s">
        <v>338</v>
      </c>
      <c r="F349" s="10" t="s">
        <v>24</v>
      </c>
      <c r="G349" s="29" t="s">
        <v>1559</v>
      </c>
      <c r="H349" s="10" t="s">
        <v>19</v>
      </c>
      <c r="I349" s="26">
        <v>45666</v>
      </c>
      <c r="J349" s="34">
        <f>SUM(Assumptions!M366:P366)</f>
        <v>210</v>
      </c>
    </row>
    <row r="350" spans="2:10" ht="14.25" customHeight="1" x14ac:dyDescent="0.25">
      <c r="B350" s="10" t="s">
        <v>978</v>
      </c>
      <c r="C350" s="8" t="s">
        <v>583</v>
      </c>
      <c r="D350" s="8" t="s">
        <v>1426</v>
      </c>
      <c r="E350" s="23" t="s">
        <v>337</v>
      </c>
      <c r="F350" s="10" t="s">
        <v>24</v>
      </c>
      <c r="G350" s="29" t="s">
        <v>1553</v>
      </c>
      <c r="H350" s="10" t="s">
        <v>43</v>
      </c>
      <c r="I350" s="26">
        <v>45680</v>
      </c>
      <c r="J350" s="34">
        <f>SUM(Assumptions!M367:P367)</f>
        <v>210</v>
      </c>
    </row>
    <row r="351" spans="2:10" ht="14.25" customHeight="1" x14ac:dyDescent="0.25">
      <c r="B351" s="10" t="s">
        <v>979</v>
      </c>
      <c r="C351" s="8" t="s">
        <v>584</v>
      </c>
      <c r="D351" s="8" t="s">
        <v>1202</v>
      </c>
      <c r="E351" s="23" t="s">
        <v>343</v>
      </c>
      <c r="F351" s="10" t="s">
        <v>24</v>
      </c>
      <c r="G351" s="29" t="s">
        <v>1556</v>
      </c>
      <c r="H351" s="17" t="s">
        <v>339</v>
      </c>
      <c r="I351" s="26">
        <v>45694</v>
      </c>
      <c r="J351" s="34">
        <f>SUM(Assumptions!M368:P368)</f>
        <v>183</v>
      </c>
    </row>
    <row r="352" spans="2:10" ht="14.25" customHeight="1" x14ac:dyDescent="0.25">
      <c r="B352" s="10" t="s">
        <v>980</v>
      </c>
      <c r="C352" s="8" t="s">
        <v>585</v>
      </c>
      <c r="D352" s="8" t="s">
        <v>1203</v>
      </c>
      <c r="E352" s="24" t="s">
        <v>340</v>
      </c>
      <c r="F352" s="10" t="s">
        <v>24</v>
      </c>
      <c r="G352" s="29" t="s">
        <v>1558</v>
      </c>
      <c r="H352" s="24" t="s">
        <v>345</v>
      </c>
      <c r="I352" s="26">
        <v>45708</v>
      </c>
      <c r="J352" s="34">
        <f>SUM(Assumptions!M369:P369)</f>
        <v>188</v>
      </c>
    </row>
    <row r="353" spans="2:10" ht="14.25" customHeight="1" x14ac:dyDescent="0.25">
      <c r="B353" s="10" t="s">
        <v>981</v>
      </c>
      <c r="C353" s="8" t="s">
        <v>586</v>
      </c>
      <c r="D353" s="8" t="s">
        <v>1204</v>
      </c>
      <c r="E353" s="10" t="s">
        <v>10</v>
      </c>
      <c r="F353" s="10" t="s">
        <v>24</v>
      </c>
      <c r="G353" s="29" t="s">
        <v>1561</v>
      </c>
      <c r="H353" s="10" t="s">
        <v>33</v>
      </c>
      <c r="I353" s="26">
        <v>45722</v>
      </c>
      <c r="J353" s="34">
        <f>SUM(Assumptions!M370:P370)</f>
        <v>233</v>
      </c>
    </row>
    <row r="354" spans="2:10" ht="14.25" customHeight="1" x14ac:dyDescent="0.25">
      <c r="B354" s="10" t="s">
        <v>982</v>
      </c>
      <c r="C354" s="8" t="s">
        <v>587</v>
      </c>
      <c r="D354" s="8" t="s">
        <v>1427</v>
      </c>
      <c r="E354" s="23" t="s">
        <v>344</v>
      </c>
      <c r="F354" s="10" t="s">
        <v>24</v>
      </c>
      <c r="G354" s="29" t="s">
        <v>1552</v>
      </c>
      <c r="H354" s="10" t="s">
        <v>13</v>
      </c>
      <c r="I354" s="26">
        <v>45736</v>
      </c>
      <c r="J354" s="34">
        <f>SUM(Assumptions!M371:P371)</f>
        <v>198</v>
      </c>
    </row>
    <row r="355" spans="2:10" ht="14.25" customHeight="1" x14ac:dyDescent="0.25">
      <c r="B355" s="10" t="s">
        <v>983</v>
      </c>
      <c r="C355" s="8" t="s">
        <v>588</v>
      </c>
      <c r="D355" s="8" t="s">
        <v>1428</v>
      </c>
      <c r="E355" s="24" t="s">
        <v>338</v>
      </c>
      <c r="F355" s="10" t="s">
        <v>24</v>
      </c>
      <c r="G355" s="29" t="s">
        <v>1555</v>
      </c>
      <c r="H355" s="10" t="s">
        <v>19</v>
      </c>
      <c r="I355" s="26">
        <v>45750</v>
      </c>
      <c r="J355" s="34">
        <f>SUM(Assumptions!M372:P372)</f>
        <v>208</v>
      </c>
    </row>
    <row r="356" spans="2:10" ht="14.25" customHeight="1" x14ac:dyDescent="0.25">
      <c r="B356" s="10" t="s">
        <v>984</v>
      </c>
      <c r="C356" s="8" t="s">
        <v>589</v>
      </c>
      <c r="D356" s="8" t="s">
        <v>1429</v>
      </c>
      <c r="E356" s="23" t="s">
        <v>23</v>
      </c>
      <c r="F356" s="10" t="s">
        <v>24</v>
      </c>
      <c r="G356" s="29" t="s">
        <v>1557</v>
      </c>
      <c r="H356" s="10" t="s">
        <v>43</v>
      </c>
      <c r="I356" s="26">
        <v>45764</v>
      </c>
      <c r="J356" s="34">
        <f>SUM(Assumptions!M373:P373)</f>
        <v>217</v>
      </c>
    </row>
    <row r="357" spans="2:10" ht="14.25" customHeight="1" x14ac:dyDescent="0.25">
      <c r="B357" s="10" t="s">
        <v>985</v>
      </c>
      <c r="C357" s="8" t="s">
        <v>590</v>
      </c>
      <c r="D357" s="8" t="s">
        <v>1205</v>
      </c>
      <c r="E357" s="10" t="s">
        <v>17</v>
      </c>
      <c r="F357" s="10" t="s">
        <v>24</v>
      </c>
      <c r="G357" s="29" t="s">
        <v>1560</v>
      </c>
      <c r="H357" s="17" t="s">
        <v>339</v>
      </c>
      <c r="I357" s="26">
        <v>45785</v>
      </c>
      <c r="J357" s="34">
        <f>SUM(Assumptions!M374:P374)</f>
        <v>199</v>
      </c>
    </row>
    <row r="358" spans="2:10" ht="14.25" customHeight="1" x14ac:dyDescent="0.25">
      <c r="B358" s="10" t="s">
        <v>986</v>
      </c>
      <c r="C358" s="8" t="s">
        <v>591</v>
      </c>
      <c r="D358" s="8" t="s">
        <v>1206</v>
      </c>
      <c r="E358" s="10" t="s">
        <v>10</v>
      </c>
      <c r="F358" s="10" t="s">
        <v>24</v>
      </c>
      <c r="G358" s="30" t="s">
        <v>12</v>
      </c>
      <c r="H358" s="24" t="s">
        <v>345</v>
      </c>
      <c r="I358" s="26">
        <v>45799</v>
      </c>
      <c r="J358" s="34">
        <f>SUM(Assumptions!M375:P375)</f>
        <v>154</v>
      </c>
    </row>
    <row r="359" spans="2:10" ht="14.25" customHeight="1" x14ac:dyDescent="0.25">
      <c r="B359" s="10" t="s">
        <v>987</v>
      </c>
      <c r="C359" s="8" t="s">
        <v>592</v>
      </c>
      <c r="D359" s="8" t="s">
        <v>1430</v>
      </c>
      <c r="E359" s="10" t="s">
        <v>337</v>
      </c>
      <c r="F359" s="10" t="s">
        <v>24</v>
      </c>
      <c r="G359" s="30" t="s">
        <v>12</v>
      </c>
      <c r="H359" s="10" t="s">
        <v>33</v>
      </c>
      <c r="I359" s="26">
        <v>45820</v>
      </c>
      <c r="J359" s="34">
        <f>SUM(Assumptions!M376:P376)</f>
        <v>176</v>
      </c>
    </row>
    <row r="360" spans="2:10" ht="14.25" customHeight="1" x14ac:dyDescent="0.25">
      <c r="B360" s="10" t="s">
        <v>988</v>
      </c>
      <c r="C360" s="8" t="s">
        <v>593</v>
      </c>
      <c r="D360" s="8" t="s">
        <v>1207</v>
      </c>
      <c r="E360" s="23" t="s">
        <v>338</v>
      </c>
      <c r="F360" s="10" t="s">
        <v>24</v>
      </c>
      <c r="G360" s="29" t="s">
        <v>1552</v>
      </c>
      <c r="H360" s="10" t="s">
        <v>13</v>
      </c>
      <c r="I360" s="26">
        <v>45834</v>
      </c>
      <c r="J360" s="34">
        <f>SUM(Assumptions!M377:P377)</f>
        <v>202</v>
      </c>
    </row>
    <row r="361" spans="2:10" ht="14.25" customHeight="1" x14ac:dyDescent="0.25">
      <c r="B361" s="10" t="s">
        <v>989</v>
      </c>
      <c r="C361" s="8" t="s">
        <v>594</v>
      </c>
      <c r="D361" s="8" t="s">
        <v>1431</v>
      </c>
      <c r="E361" s="23" t="s">
        <v>338</v>
      </c>
      <c r="F361" s="10" t="s">
        <v>24</v>
      </c>
      <c r="G361" s="29" t="s">
        <v>1553</v>
      </c>
      <c r="H361" s="10" t="s">
        <v>19</v>
      </c>
      <c r="I361" s="26">
        <v>45848</v>
      </c>
      <c r="J361" s="34">
        <f>SUM(Assumptions!M378:P378)</f>
        <v>206</v>
      </c>
    </row>
    <row r="362" spans="2:10" ht="14.25" customHeight="1" x14ac:dyDescent="0.25">
      <c r="B362" s="10" t="s">
        <v>990</v>
      </c>
      <c r="C362" s="8" t="s">
        <v>595</v>
      </c>
      <c r="D362" s="8" t="s">
        <v>1208</v>
      </c>
      <c r="E362" s="24" t="s">
        <v>335</v>
      </c>
      <c r="F362" s="10" t="s">
        <v>24</v>
      </c>
      <c r="G362" s="29" t="s">
        <v>1554</v>
      </c>
      <c r="H362" s="10" t="s">
        <v>43</v>
      </c>
      <c r="I362" s="26">
        <v>45862</v>
      </c>
      <c r="J362" s="34">
        <f>SUM(Assumptions!M379:P379)</f>
        <v>211</v>
      </c>
    </row>
    <row r="363" spans="2:10" ht="14.25" customHeight="1" x14ac:dyDescent="0.25">
      <c r="B363" s="10" t="s">
        <v>991</v>
      </c>
      <c r="C363" s="8" t="s">
        <v>596</v>
      </c>
      <c r="D363" s="8" t="s">
        <v>1432</v>
      </c>
      <c r="E363" s="10" t="s">
        <v>335</v>
      </c>
      <c r="F363" s="10" t="s">
        <v>11</v>
      </c>
      <c r="G363" s="29" t="s">
        <v>1555</v>
      </c>
      <c r="H363" s="17" t="s">
        <v>339</v>
      </c>
      <c r="I363" s="26">
        <v>45876</v>
      </c>
      <c r="J363" s="34">
        <f>SUM(Assumptions!M380:P380)</f>
        <v>212</v>
      </c>
    </row>
    <row r="364" spans="2:10" ht="14.25" customHeight="1" x14ac:dyDescent="0.25">
      <c r="B364" s="10" t="s">
        <v>992</v>
      </c>
      <c r="C364" s="8" t="s">
        <v>597</v>
      </c>
      <c r="D364" s="8" t="s">
        <v>1433</v>
      </c>
      <c r="E364" s="23" t="s">
        <v>342</v>
      </c>
      <c r="F364" s="10" t="s">
        <v>11</v>
      </c>
      <c r="G364" s="29" t="s">
        <v>1556</v>
      </c>
      <c r="H364" s="24" t="s">
        <v>345</v>
      </c>
      <c r="I364" s="26">
        <v>45890</v>
      </c>
      <c r="J364" s="34">
        <f>SUM(Assumptions!M381:P381)</f>
        <v>210</v>
      </c>
    </row>
    <row r="365" spans="2:10" ht="14.25" customHeight="1" x14ac:dyDescent="0.25">
      <c r="B365" s="10" t="s">
        <v>993</v>
      </c>
      <c r="C365" s="8" t="s">
        <v>598</v>
      </c>
      <c r="D365" s="8" t="s">
        <v>1434</v>
      </c>
      <c r="E365" s="24" t="s">
        <v>342</v>
      </c>
      <c r="F365" s="10" t="s">
        <v>24</v>
      </c>
      <c r="G365" s="29" t="s">
        <v>1559</v>
      </c>
      <c r="H365" s="10" t="s">
        <v>33</v>
      </c>
      <c r="I365" s="26">
        <v>45904</v>
      </c>
      <c r="J365" s="34">
        <f>SUM(Assumptions!M382:P382)</f>
        <v>216</v>
      </c>
    </row>
    <row r="366" spans="2:10" ht="14.25" customHeight="1" x14ac:dyDescent="0.25">
      <c r="B366" s="10" t="s">
        <v>994</v>
      </c>
      <c r="C366" s="8" t="s">
        <v>599</v>
      </c>
      <c r="D366" s="8" t="s">
        <v>1435</v>
      </c>
      <c r="E366" s="23" t="s">
        <v>10</v>
      </c>
      <c r="F366" s="10" t="s">
        <v>24</v>
      </c>
      <c r="G366" s="29" t="s">
        <v>1557</v>
      </c>
      <c r="H366" s="10" t="s">
        <v>13</v>
      </c>
      <c r="I366" s="26">
        <v>45918</v>
      </c>
      <c r="J366" s="34">
        <f>SUM(Assumptions!M383:P383)</f>
        <v>220</v>
      </c>
    </row>
    <row r="367" spans="2:10" ht="14.25" customHeight="1" x14ac:dyDescent="0.25">
      <c r="B367" s="10" t="s">
        <v>995</v>
      </c>
      <c r="C367" s="8" t="s">
        <v>600</v>
      </c>
      <c r="D367" s="8" t="s">
        <v>1436</v>
      </c>
      <c r="E367" s="10" t="s">
        <v>17</v>
      </c>
      <c r="F367" s="10" t="s">
        <v>24</v>
      </c>
      <c r="G367" s="29" t="s">
        <v>1558</v>
      </c>
      <c r="H367" s="10" t="s">
        <v>19</v>
      </c>
      <c r="I367" s="26">
        <v>45932</v>
      </c>
      <c r="J367" s="34">
        <f>SUM(Assumptions!M384:P384)</f>
        <v>221</v>
      </c>
    </row>
    <row r="368" spans="2:10" ht="14.25" customHeight="1" x14ac:dyDescent="0.25">
      <c r="B368" s="10" t="s">
        <v>996</v>
      </c>
      <c r="C368" s="8" t="s">
        <v>601</v>
      </c>
      <c r="D368" s="8" t="s">
        <v>1209</v>
      </c>
      <c r="E368" s="10" t="s">
        <v>10</v>
      </c>
      <c r="F368" s="10" t="s">
        <v>11</v>
      </c>
      <c r="G368" s="29" t="s">
        <v>1560</v>
      </c>
      <c r="H368" s="10" t="s">
        <v>43</v>
      </c>
      <c r="I368" s="26">
        <v>45946</v>
      </c>
      <c r="J368" s="34">
        <f>SUM(Assumptions!M385:P385)</f>
        <v>249</v>
      </c>
    </row>
    <row r="369" spans="2:10" ht="14.25" customHeight="1" x14ac:dyDescent="0.25">
      <c r="B369" s="10" t="s">
        <v>997</v>
      </c>
      <c r="C369" s="8" t="s">
        <v>602</v>
      </c>
      <c r="D369" s="8" t="s">
        <v>1437</v>
      </c>
      <c r="E369" s="10" t="s">
        <v>23</v>
      </c>
      <c r="F369" s="10" t="s">
        <v>24</v>
      </c>
      <c r="G369" s="29" t="s">
        <v>1561</v>
      </c>
      <c r="H369" s="17" t="s">
        <v>339</v>
      </c>
      <c r="I369" s="26">
        <v>45960</v>
      </c>
      <c r="J369" s="34">
        <f>SUM(Assumptions!M386:P386)</f>
        <v>196</v>
      </c>
    </row>
    <row r="370" spans="2:10" ht="14.25" customHeight="1" x14ac:dyDescent="0.25">
      <c r="B370" s="10" t="s">
        <v>998</v>
      </c>
      <c r="C370" s="8" t="s">
        <v>603</v>
      </c>
      <c r="D370" s="8" t="s">
        <v>1210</v>
      </c>
      <c r="E370" s="23" t="s">
        <v>17</v>
      </c>
      <c r="F370" s="10" t="s">
        <v>11</v>
      </c>
      <c r="G370" s="29" t="s">
        <v>1561</v>
      </c>
      <c r="H370" s="24" t="s">
        <v>345</v>
      </c>
      <c r="I370" s="26">
        <v>45967</v>
      </c>
      <c r="J370" s="34">
        <f>SUM(Assumptions!M387:P387)</f>
        <v>226</v>
      </c>
    </row>
    <row r="371" spans="2:10" ht="14.25" customHeight="1" x14ac:dyDescent="0.25">
      <c r="B371" s="10" t="s">
        <v>999</v>
      </c>
      <c r="C371" s="8" t="s">
        <v>604</v>
      </c>
      <c r="D371" s="8" t="s">
        <v>1438</v>
      </c>
      <c r="E371" s="23" t="s">
        <v>337</v>
      </c>
      <c r="F371" s="10" t="s">
        <v>11</v>
      </c>
      <c r="G371" s="29" t="s">
        <v>1560</v>
      </c>
      <c r="H371" s="10" t="s">
        <v>33</v>
      </c>
      <c r="I371" s="26">
        <v>45981</v>
      </c>
      <c r="J371" s="34">
        <f>SUM(Assumptions!M388:P388)</f>
        <v>248</v>
      </c>
    </row>
    <row r="372" spans="2:10" ht="14.25" customHeight="1" x14ac:dyDescent="0.25">
      <c r="B372" s="10" t="s">
        <v>1000</v>
      </c>
      <c r="C372" s="8" t="s">
        <v>605</v>
      </c>
      <c r="D372" s="8" t="s">
        <v>1439</v>
      </c>
      <c r="E372" s="24" t="s">
        <v>338</v>
      </c>
      <c r="F372" s="10" t="s">
        <v>11</v>
      </c>
      <c r="G372" s="29" t="s">
        <v>1558</v>
      </c>
      <c r="H372" s="10" t="s">
        <v>13</v>
      </c>
      <c r="I372" s="26">
        <v>44945</v>
      </c>
      <c r="J372" s="34">
        <f>SUM(Assumptions!M389:P389)</f>
        <v>236</v>
      </c>
    </row>
    <row r="373" spans="2:10" ht="14.25" customHeight="1" x14ac:dyDescent="0.25">
      <c r="B373" s="10" t="s">
        <v>1001</v>
      </c>
      <c r="C373" s="8" t="s">
        <v>606</v>
      </c>
      <c r="D373" s="8" t="s">
        <v>1440</v>
      </c>
      <c r="E373" s="10" t="s">
        <v>335</v>
      </c>
      <c r="F373" s="10" t="s">
        <v>24</v>
      </c>
      <c r="G373" s="29" t="s">
        <v>1557</v>
      </c>
      <c r="H373" s="10" t="s">
        <v>19</v>
      </c>
      <c r="I373" s="26">
        <v>44966</v>
      </c>
      <c r="J373" s="34">
        <f>SUM(Assumptions!M390:P390)</f>
        <v>218</v>
      </c>
    </row>
    <row r="374" spans="2:10" ht="14.25" customHeight="1" x14ac:dyDescent="0.25">
      <c r="B374" s="10" t="s">
        <v>1002</v>
      </c>
      <c r="C374" s="8" t="s">
        <v>607</v>
      </c>
      <c r="D374" s="8" t="s">
        <v>1211</v>
      </c>
      <c r="E374" s="23" t="s">
        <v>342</v>
      </c>
      <c r="F374" s="10" t="s">
        <v>24</v>
      </c>
      <c r="G374" s="29" t="s">
        <v>1559</v>
      </c>
      <c r="H374" s="10" t="s">
        <v>43</v>
      </c>
      <c r="I374" s="26">
        <v>44980</v>
      </c>
      <c r="J374" s="34">
        <f>SUM(Assumptions!M391:P391)</f>
        <v>211</v>
      </c>
    </row>
    <row r="375" spans="2:10" ht="14.25" customHeight="1" x14ac:dyDescent="0.25">
      <c r="B375" s="10" t="s">
        <v>1003</v>
      </c>
      <c r="C375" s="8" t="s">
        <v>608</v>
      </c>
      <c r="D375" s="8" t="s">
        <v>1441</v>
      </c>
      <c r="E375" s="24" t="s">
        <v>23</v>
      </c>
      <c r="F375" s="10" t="s">
        <v>24</v>
      </c>
      <c r="G375" s="29" t="s">
        <v>1556</v>
      </c>
      <c r="H375" s="17" t="s">
        <v>339</v>
      </c>
      <c r="I375" s="26">
        <v>44987</v>
      </c>
      <c r="J375" s="34">
        <f>SUM(Assumptions!M392:P392)</f>
        <v>187</v>
      </c>
    </row>
    <row r="376" spans="2:10" ht="14.25" customHeight="1" x14ac:dyDescent="0.25">
      <c r="B376" s="10" t="s">
        <v>1004</v>
      </c>
      <c r="C376" s="8" t="s">
        <v>609</v>
      </c>
      <c r="D376" s="8" t="s">
        <v>1442</v>
      </c>
      <c r="E376" s="23" t="s">
        <v>17</v>
      </c>
      <c r="F376" s="10" t="s">
        <v>24</v>
      </c>
      <c r="G376" s="29" t="s">
        <v>1555</v>
      </c>
      <c r="H376" s="24" t="s">
        <v>345</v>
      </c>
      <c r="I376" s="26">
        <v>45001</v>
      </c>
      <c r="J376" s="34">
        <f>SUM(Assumptions!M393:P393)</f>
        <v>193</v>
      </c>
    </row>
    <row r="377" spans="2:10" ht="14.25" customHeight="1" x14ac:dyDescent="0.25">
      <c r="B377" s="10" t="s">
        <v>1005</v>
      </c>
      <c r="C377" s="8" t="s">
        <v>610</v>
      </c>
      <c r="D377" s="8" t="s">
        <v>1443</v>
      </c>
      <c r="E377" s="10" t="s">
        <v>10</v>
      </c>
      <c r="F377" s="10" t="s">
        <v>24</v>
      </c>
      <c r="G377" s="29" t="s">
        <v>1554</v>
      </c>
      <c r="H377" s="10" t="s">
        <v>33</v>
      </c>
      <c r="I377" s="26">
        <v>45015</v>
      </c>
      <c r="J377" s="34">
        <f>SUM(Assumptions!M394:P394)</f>
        <v>220</v>
      </c>
    </row>
    <row r="378" spans="2:10" ht="14.25" customHeight="1" x14ac:dyDescent="0.25">
      <c r="B378" s="10" t="s">
        <v>1006</v>
      </c>
      <c r="C378" s="8" t="s">
        <v>611</v>
      </c>
      <c r="D378" s="8" t="s">
        <v>1212</v>
      </c>
      <c r="E378" s="10" t="s">
        <v>343</v>
      </c>
      <c r="F378" s="10" t="s">
        <v>24</v>
      </c>
      <c r="G378" s="29" t="s">
        <v>1553</v>
      </c>
      <c r="H378" s="10" t="s">
        <v>13</v>
      </c>
      <c r="I378" s="26">
        <v>45022</v>
      </c>
      <c r="J378" s="34">
        <f>SUM(Assumptions!M395:P395)</f>
        <v>201</v>
      </c>
    </row>
    <row r="379" spans="2:10" ht="14.25" customHeight="1" x14ac:dyDescent="0.25">
      <c r="B379" s="10" t="s">
        <v>1007</v>
      </c>
      <c r="C379" s="8" t="s">
        <v>612</v>
      </c>
      <c r="D379" s="8" t="s">
        <v>1213</v>
      </c>
      <c r="E379" s="10" t="s">
        <v>340</v>
      </c>
      <c r="F379" s="10" t="s">
        <v>11</v>
      </c>
      <c r="G379" s="29" t="s">
        <v>1552</v>
      </c>
      <c r="H379" s="10" t="s">
        <v>19</v>
      </c>
      <c r="I379" s="26">
        <v>45036</v>
      </c>
      <c r="J379" s="34">
        <f>SUM(Assumptions!M396:P396)</f>
        <v>221</v>
      </c>
    </row>
    <row r="380" spans="2:10" ht="14.25" customHeight="1" x14ac:dyDescent="0.25">
      <c r="B380" s="10" t="s">
        <v>1008</v>
      </c>
      <c r="C380" s="8" t="s">
        <v>613</v>
      </c>
      <c r="D380" s="8" t="s">
        <v>1444</v>
      </c>
      <c r="E380" s="23" t="s">
        <v>344</v>
      </c>
      <c r="F380" s="10" t="s">
        <v>11</v>
      </c>
      <c r="G380" s="30" t="s">
        <v>12</v>
      </c>
      <c r="H380" s="10" t="s">
        <v>43</v>
      </c>
      <c r="I380" s="26">
        <v>45057</v>
      </c>
      <c r="J380" s="34">
        <f>SUM(Assumptions!M397:P397)</f>
        <v>188</v>
      </c>
    </row>
    <row r="381" spans="2:10" ht="14.25" customHeight="1" x14ac:dyDescent="0.25">
      <c r="B381" s="10" t="s">
        <v>1009</v>
      </c>
      <c r="C381" s="8" t="s">
        <v>614</v>
      </c>
      <c r="D381" s="8" t="s">
        <v>1445</v>
      </c>
      <c r="E381" s="23" t="s">
        <v>335</v>
      </c>
      <c r="F381" s="10" t="s">
        <v>24</v>
      </c>
      <c r="G381" s="30" t="s">
        <v>12</v>
      </c>
      <c r="H381" s="17" t="s">
        <v>339</v>
      </c>
      <c r="I381" s="26">
        <v>45071</v>
      </c>
      <c r="J381" s="34">
        <f>SUM(Assumptions!M398:P398)</f>
        <v>148</v>
      </c>
    </row>
    <row r="382" spans="2:10" ht="14.25" customHeight="1" x14ac:dyDescent="0.25">
      <c r="B382" s="10" t="s">
        <v>1010</v>
      </c>
      <c r="C382" s="8" t="s">
        <v>615</v>
      </c>
      <c r="D382" s="8" t="s">
        <v>1446</v>
      </c>
      <c r="E382" s="24" t="s">
        <v>343</v>
      </c>
      <c r="F382" s="10" t="s">
        <v>24</v>
      </c>
      <c r="G382" s="29" t="s">
        <v>1552</v>
      </c>
      <c r="H382" s="24" t="s">
        <v>345</v>
      </c>
      <c r="I382" s="26">
        <v>45085</v>
      </c>
      <c r="J382" s="34">
        <f>SUM(Assumptions!M399:P399)</f>
        <v>180</v>
      </c>
    </row>
    <row r="383" spans="2:10" ht="14.25" customHeight="1" x14ac:dyDescent="0.25">
      <c r="B383" s="10" t="s">
        <v>1011</v>
      </c>
      <c r="C383" s="8" t="s">
        <v>616</v>
      </c>
      <c r="D383" s="8" t="s">
        <v>1447</v>
      </c>
      <c r="E383" s="10" t="s">
        <v>340</v>
      </c>
      <c r="F383" s="10" t="s">
        <v>11</v>
      </c>
      <c r="G383" s="29" t="s">
        <v>1555</v>
      </c>
      <c r="H383" s="10" t="s">
        <v>33</v>
      </c>
      <c r="I383" s="26">
        <v>45099</v>
      </c>
      <c r="J383" s="34">
        <f>SUM(Assumptions!M400:P400)</f>
        <v>232</v>
      </c>
    </row>
    <row r="384" spans="2:10" ht="14.25" customHeight="1" x14ac:dyDescent="0.25">
      <c r="B384" s="10" t="s">
        <v>1012</v>
      </c>
      <c r="C384" s="8" t="s">
        <v>1245</v>
      </c>
      <c r="D384" s="8" t="s">
        <v>1448</v>
      </c>
      <c r="E384" s="23" t="s">
        <v>344</v>
      </c>
      <c r="F384" s="10" t="s">
        <v>11</v>
      </c>
      <c r="G384" s="29" t="s">
        <v>1557</v>
      </c>
      <c r="H384" s="10" t="s">
        <v>13</v>
      </c>
      <c r="I384" s="26">
        <v>45113</v>
      </c>
      <c r="J384" s="34">
        <f>SUM(Assumptions!M401:P401)</f>
        <v>231</v>
      </c>
    </row>
    <row r="385" spans="2:10" ht="14.25" customHeight="1" x14ac:dyDescent="0.25">
      <c r="B385" s="10" t="s">
        <v>1013</v>
      </c>
      <c r="C385" s="8" t="s">
        <v>617</v>
      </c>
      <c r="D385" s="8" t="s">
        <v>1449</v>
      </c>
      <c r="E385" s="23" t="s">
        <v>337</v>
      </c>
      <c r="F385" s="10" t="s">
        <v>11</v>
      </c>
      <c r="G385" s="29" t="s">
        <v>1560</v>
      </c>
      <c r="H385" s="10" t="s">
        <v>19</v>
      </c>
      <c r="I385" s="26">
        <v>45127</v>
      </c>
      <c r="J385" s="34">
        <f>SUM(Assumptions!M402:P402)</f>
        <v>241</v>
      </c>
    </row>
    <row r="386" spans="2:10" ht="14.25" customHeight="1" x14ac:dyDescent="0.25">
      <c r="B386" s="10" t="s">
        <v>1014</v>
      </c>
      <c r="C386" s="8" t="s">
        <v>618</v>
      </c>
      <c r="D386" s="8" t="s">
        <v>1450</v>
      </c>
      <c r="E386" s="24" t="s">
        <v>338</v>
      </c>
      <c r="F386" s="10" t="s">
        <v>24</v>
      </c>
      <c r="G386" s="29" t="s">
        <v>1553</v>
      </c>
      <c r="H386" s="10" t="s">
        <v>43</v>
      </c>
      <c r="I386" s="26">
        <v>45148</v>
      </c>
      <c r="J386" s="34">
        <f>SUM(Assumptions!M403:P403)</f>
        <v>208</v>
      </c>
    </row>
    <row r="387" spans="2:10" ht="14.25" customHeight="1" x14ac:dyDescent="0.25">
      <c r="B387" s="10" t="s">
        <v>1015</v>
      </c>
      <c r="C387" s="8" t="s">
        <v>619</v>
      </c>
      <c r="D387" s="8" t="s">
        <v>1451</v>
      </c>
      <c r="E387" s="10" t="s">
        <v>335</v>
      </c>
      <c r="F387" s="10" t="s">
        <v>11</v>
      </c>
      <c r="G387" s="29" t="s">
        <v>1556</v>
      </c>
      <c r="H387" s="17" t="s">
        <v>339</v>
      </c>
      <c r="I387" s="26">
        <v>45162</v>
      </c>
      <c r="J387" s="34">
        <f>SUM(Assumptions!M404:P404)</f>
        <v>213</v>
      </c>
    </row>
    <row r="388" spans="2:10" ht="14.25" customHeight="1" x14ac:dyDescent="0.25">
      <c r="B388" s="10" t="s">
        <v>1016</v>
      </c>
      <c r="C388" s="8" t="s">
        <v>620</v>
      </c>
      <c r="D388" s="8" t="s">
        <v>1452</v>
      </c>
      <c r="E388" s="23" t="s">
        <v>343</v>
      </c>
      <c r="F388" s="10" t="s">
        <v>11</v>
      </c>
      <c r="G388" s="29" t="s">
        <v>1558</v>
      </c>
      <c r="H388" s="24" t="s">
        <v>345</v>
      </c>
      <c r="I388" s="26">
        <v>45176</v>
      </c>
      <c r="J388" s="34">
        <f>SUM(Assumptions!M405:P405)</f>
        <v>214</v>
      </c>
    </row>
    <row r="389" spans="2:10" ht="14.25" customHeight="1" x14ac:dyDescent="0.25">
      <c r="B389" s="10" t="s">
        <v>1017</v>
      </c>
      <c r="C389" s="8" t="s">
        <v>621</v>
      </c>
      <c r="D389" s="8" t="s">
        <v>1453</v>
      </c>
      <c r="E389" s="24" t="s">
        <v>340</v>
      </c>
      <c r="F389" s="10" t="s">
        <v>24</v>
      </c>
      <c r="G389" s="29" t="s">
        <v>1561</v>
      </c>
      <c r="H389" s="10" t="s">
        <v>33</v>
      </c>
      <c r="I389" s="26">
        <v>45190</v>
      </c>
      <c r="J389" s="34">
        <f>SUM(Assumptions!M406:P406)</f>
        <v>219</v>
      </c>
    </row>
    <row r="390" spans="2:10" ht="14.25" customHeight="1" x14ac:dyDescent="0.25">
      <c r="B390" s="10" t="s">
        <v>1018</v>
      </c>
      <c r="C390" s="8" t="s">
        <v>622</v>
      </c>
      <c r="D390" s="8" t="s">
        <v>1454</v>
      </c>
      <c r="E390" s="23" t="s">
        <v>342</v>
      </c>
      <c r="F390" s="10" t="s">
        <v>11</v>
      </c>
      <c r="G390" s="29" t="s">
        <v>1554</v>
      </c>
      <c r="H390" s="10" t="s">
        <v>13</v>
      </c>
      <c r="I390" s="26">
        <v>45204</v>
      </c>
      <c r="J390" s="34">
        <f>SUM(Assumptions!M407:P407)</f>
        <v>225</v>
      </c>
    </row>
    <row r="391" spans="2:10" ht="14.25" customHeight="1" x14ac:dyDescent="0.25">
      <c r="B391" s="10" t="s">
        <v>1019</v>
      </c>
      <c r="C391" s="8" t="s">
        <v>623</v>
      </c>
      <c r="D391" s="8" t="s">
        <v>1214</v>
      </c>
      <c r="E391" s="10" t="s">
        <v>23</v>
      </c>
      <c r="F391" s="10" t="s">
        <v>24</v>
      </c>
      <c r="G391" s="29" t="s">
        <v>1559</v>
      </c>
      <c r="H391" s="10" t="s">
        <v>19</v>
      </c>
      <c r="I391" s="26">
        <v>45218</v>
      </c>
      <c r="J391" s="34">
        <f>SUM(Assumptions!M408:P408)</f>
        <v>211</v>
      </c>
    </row>
    <row r="392" spans="2:10" ht="14.25" customHeight="1" x14ac:dyDescent="0.25">
      <c r="B392" s="10" t="s">
        <v>1020</v>
      </c>
      <c r="C392" s="8" t="s">
        <v>624</v>
      </c>
      <c r="D392" s="8" t="s">
        <v>1455</v>
      </c>
      <c r="E392" s="10" t="s">
        <v>17</v>
      </c>
      <c r="F392" s="10" t="s">
        <v>11</v>
      </c>
      <c r="G392" s="29" t="s">
        <v>1554</v>
      </c>
      <c r="H392" s="10" t="s">
        <v>43</v>
      </c>
      <c r="I392" s="26">
        <v>45239</v>
      </c>
      <c r="J392" s="34">
        <f>SUM(Assumptions!M409:P409)</f>
        <v>236</v>
      </c>
    </row>
    <row r="393" spans="2:10" ht="14.25" customHeight="1" x14ac:dyDescent="0.25">
      <c r="B393" s="10" t="s">
        <v>1021</v>
      </c>
      <c r="C393" s="8" t="s">
        <v>625</v>
      </c>
      <c r="D393" s="8" t="s">
        <v>1456</v>
      </c>
      <c r="E393" s="10" t="s">
        <v>10</v>
      </c>
      <c r="F393" s="10" t="s">
        <v>24</v>
      </c>
      <c r="G393" s="29" t="s">
        <v>1559</v>
      </c>
      <c r="H393" s="17" t="s">
        <v>339</v>
      </c>
      <c r="I393" s="26">
        <v>45253</v>
      </c>
      <c r="J393" s="34">
        <f>SUM(Assumptions!M410:P410)</f>
        <v>195</v>
      </c>
    </row>
    <row r="394" spans="2:10" ht="14.25" customHeight="1" x14ac:dyDescent="0.25">
      <c r="B394" s="10" t="s">
        <v>1022</v>
      </c>
      <c r="C394" s="8" t="s">
        <v>626</v>
      </c>
      <c r="D394" s="8" t="s">
        <v>1457</v>
      </c>
      <c r="E394" s="23" t="s">
        <v>344</v>
      </c>
      <c r="F394" s="10" t="s">
        <v>11</v>
      </c>
      <c r="G394" s="29" t="s">
        <v>1553</v>
      </c>
      <c r="H394" s="24" t="s">
        <v>345</v>
      </c>
      <c r="I394" s="26">
        <v>45267</v>
      </c>
      <c r="J394" s="34">
        <f>SUM(Assumptions!M411:P411)</f>
        <v>204</v>
      </c>
    </row>
    <row r="395" spans="2:10" ht="14.25" customHeight="1" x14ac:dyDescent="0.25">
      <c r="B395" s="10" t="s">
        <v>1023</v>
      </c>
      <c r="C395" s="8" t="s">
        <v>627</v>
      </c>
      <c r="D395" s="8" t="s">
        <v>1458</v>
      </c>
      <c r="E395" s="23" t="s">
        <v>344</v>
      </c>
      <c r="F395" s="10" t="s">
        <v>24</v>
      </c>
      <c r="G395" s="29" t="s">
        <v>1556</v>
      </c>
      <c r="H395" s="10" t="s">
        <v>33</v>
      </c>
      <c r="I395" s="26">
        <v>45281</v>
      </c>
      <c r="J395" s="34">
        <f>SUM(Assumptions!M412:P412)</f>
        <v>212</v>
      </c>
    </row>
    <row r="396" spans="2:10" ht="14.25" customHeight="1" x14ac:dyDescent="0.25">
      <c r="B396" s="10" t="s">
        <v>1024</v>
      </c>
      <c r="C396" s="8" t="s">
        <v>628</v>
      </c>
      <c r="D396" s="8" t="s">
        <v>1459</v>
      </c>
      <c r="E396" s="10" t="s">
        <v>10</v>
      </c>
      <c r="F396" s="10" t="s">
        <v>24</v>
      </c>
      <c r="G396" s="29" t="s">
        <v>1558</v>
      </c>
      <c r="H396" s="10" t="s">
        <v>13</v>
      </c>
      <c r="I396" s="26">
        <v>45302</v>
      </c>
      <c r="J396" s="34">
        <f>SUM(Assumptions!M413:P413)</f>
        <v>221</v>
      </c>
    </row>
    <row r="397" spans="2:10" ht="14.25" customHeight="1" x14ac:dyDescent="0.25">
      <c r="B397" s="10" t="s">
        <v>1025</v>
      </c>
      <c r="C397" s="8" t="s">
        <v>629</v>
      </c>
      <c r="D397" s="8" t="s">
        <v>1215</v>
      </c>
      <c r="E397" s="24" t="s">
        <v>17</v>
      </c>
      <c r="F397" s="10" t="s">
        <v>24</v>
      </c>
      <c r="G397" s="29" t="s">
        <v>1561</v>
      </c>
      <c r="H397" s="10" t="s">
        <v>19</v>
      </c>
      <c r="I397" s="26">
        <v>45316</v>
      </c>
      <c r="J397" s="34">
        <f>SUM(Assumptions!M414:P414)</f>
        <v>224</v>
      </c>
    </row>
    <row r="398" spans="2:10" ht="14.25" customHeight="1" x14ac:dyDescent="0.25">
      <c r="B398" s="10" t="s">
        <v>1026</v>
      </c>
      <c r="C398" s="8" t="s">
        <v>630</v>
      </c>
      <c r="D398" s="8" t="s">
        <v>1460</v>
      </c>
      <c r="E398" s="10" t="s">
        <v>23</v>
      </c>
      <c r="F398" s="10" t="s">
        <v>11</v>
      </c>
      <c r="G398" s="29" t="s">
        <v>1552</v>
      </c>
      <c r="H398" s="10" t="s">
        <v>43</v>
      </c>
      <c r="I398" s="26">
        <v>45330</v>
      </c>
      <c r="J398" s="34">
        <f>SUM(Assumptions!M415:P415)</f>
        <v>230</v>
      </c>
    </row>
    <row r="399" spans="2:10" ht="14.25" customHeight="1" x14ac:dyDescent="0.25">
      <c r="B399" s="10" t="s">
        <v>1027</v>
      </c>
      <c r="C399" s="8" t="s">
        <v>631</v>
      </c>
      <c r="D399" s="8" t="s">
        <v>1461</v>
      </c>
      <c r="E399" s="10" t="s">
        <v>342</v>
      </c>
      <c r="F399" s="10" t="s">
        <v>24</v>
      </c>
      <c r="G399" s="29" t="s">
        <v>1555</v>
      </c>
      <c r="H399" s="17" t="s">
        <v>339</v>
      </c>
      <c r="I399" s="26">
        <v>45344</v>
      </c>
      <c r="J399" s="34">
        <f>SUM(Assumptions!M416:P416)</f>
        <v>184</v>
      </c>
    </row>
    <row r="400" spans="2:10" ht="14.25" customHeight="1" x14ac:dyDescent="0.25">
      <c r="B400" s="10" t="s">
        <v>1028</v>
      </c>
      <c r="C400" s="8" t="s">
        <v>632</v>
      </c>
      <c r="D400" s="8" t="s">
        <v>1462</v>
      </c>
      <c r="E400" s="24" t="s">
        <v>340</v>
      </c>
      <c r="F400" s="10" t="s">
        <v>11</v>
      </c>
      <c r="G400" s="29" t="s">
        <v>1557</v>
      </c>
      <c r="H400" s="24" t="s">
        <v>345</v>
      </c>
      <c r="I400" s="26">
        <v>45358</v>
      </c>
      <c r="J400" s="34">
        <f>SUM(Assumptions!M417:P417)</f>
        <v>210</v>
      </c>
    </row>
    <row r="401" spans="2:10" ht="14.25" customHeight="1" x14ac:dyDescent="0.25">
      <c r="B401" s="10" t="s">
        <v>1029</v>
      </c>
      <c r="C401" s="8" t="s">
        <v>633</v>
      </c>
      <c r="D401" s="8" t="s">
        <v>1216</v>
      </c>
      <c r="E401" s="10" t="s">
        <v>343</v>
      </c>
      <c r="F401" s="10" t="s">
        <v>24</v>
      </c>
      <c r="G401" s="29" t="s">
        <v>1560</v>
      </c>
      <c r="H401" s="10" t="s">
        <v>33</v>
      </c>
      <c r="I401" s="26">
        <v>45372</v>
      </c>
      <c r="J401" s="34">
        <f>SUM(Assumptions!M418:P418)</f>
        <v>220</v>
      </c>
    </row>
    <row r="402" spans="2:10" ht="14.25" customHeight="1" x14ac:dyDescent="0.25">
      <c r="B402" s="10" t="s">
        <v>1030</v>
      </c>
      <c r="C402" s="8" t="s">
        <v>634</v>
      </c>
      <c r="D402" s="8" t="s">
        <v>1217</v>
      </c>
      <c r="E402" s="10" t="s">
        <v>335</v>
      </c>
      <c r="F402" s="10" t="s">
        <v>11</v>
      </c>
      <c r="G402" s="30" t="s">
        <v>12</v>
      </c>
      <c r="H402" s="10" t="s">
        <v>13</v>
      </c>
      <c r="I402" s="26">
        <v>45386</v>
      </c>
      <c r="J402" s="34">
        <f>SUM(Assumptions!M419:P419)</f>
        <v>192</v>
      </c>
    </row>
    <row r="403" spans="2:10" ht="14.25" customHeight="1" x14ac:dyDescent="0.25">
      <c r="B403" s="10" t="s">
        <v>1031</v>
      </c>
      <c r="C403" s="8" t="s">
        <v>635</v>
      </c>
      <c r="D403" s="8" t="s">
        <v>1463</v>
      </c>
      <c r="E403" s="10" t="s">
        <v>338</v>
      </c>
      <c r="F403" s="10" t="s">
        <v>24</v>
      </c>
      <c r="G403" s="30" t="s">
        <v>12</v>
      </c>
      <c r="H403" s="10" t="s">
        <v>19</v>
      </c>
      <c r="I403" s="26">
        <v>45400</v>
      </c>
      <c r="J403" s="34">
        <f>SUM(Assumptions!M420:P420)</f>
        <v>167</v>
      </c>
    </row>
    <row r="404" spans="2:10" ht="14.25" customHeight="1" x14ac:dyDescent="0.25">
      <c r="B404" s="10" t="s">
        <v>1032</v>
      </c>
      <c r="C404" s="8" t="s">
        <v>1246</v>
      </c>
      <c r="D404" s="8" t="s">
        <v>1464</v>
      </c>
      <c r="E404" s="23" t="s">
        <v>337</v>
      </c>
      <c r="F404" s="10" t="s">
        <v>11</v>
      </c>
      <c r="G404" s="29" t="s">
        <v>1552</v>
      </c>
      <c r="H404" s="10" t="s">
        <v>43</v>
      </c>
      <c r="I404" s="26">
        <v>45414</v>
      </c>
      <c r="J404" s="34">
        <f>SUM(Assumptions!M421:P421)</f>
        <v>231</v>
      </c>
    </row>
    <row r="405" spans="2:10" ht="14.25" customHeight="1" x14ac:dyDescent="0.25">
      <c r="B405" s="10" t="s">
        <v>1033</v>
      </c>
      <c r="C405" s="8" t="s">
        <v>636</v>
      </c>
      <c r="D405" s="8" t="s">
        <v>1465</v>
      </c>
      <c r="E405" s="23" t="s">
        <v>343</v>
      </c>
      <c r="F405" s="10" t="s">
        <v>11</v>
      </c>
      <c r="G405" s="29" t="s">
        <v>1553</v>
      </c>
      <c r="H405" s="17" t="s">
        <v>339</v>
      </c>
      <c r="I405" s="26">
        <v>45428</v>
      </c>
      <c r="J405" s="34">
        <f>SUM(Assumptions!M422:P422)</f>
        <v>203</v>
      </c>
    </row>
    <row r="406" spans="2:10" ht="14.25" customHeight="1" x14ac:dyDescent="0.25">
      <c r="B406" s="10" t="s">
        <v>1034</v>
      </c>
      <c r="C406" s="8" t="s">
        <v>637</v>
      </c>
      <c r="D406" s="8" t="s">
        <v>1466</v>
      </c>
      <c r="E406" s="24" t="s">
        <v>340</v>
      </c>
      <c r="F406" s="10" t="s">
        <v>24</v>
      </c>
      <c r="G406" s="29" t="s">
        <v>1554</v>
      </c>
      <c r="H406" s="24" t="s">
        <v>345</v>
      </c>
      <c r="I406" s="26">
        <v>45442</v>
      </c>
      <c r="J406" s="34">
        <f>SUM(Assumptions!M423:P423)</f>
        <v>178</v>
      </c>
    </row>
    <row r="407" spans="2:10" ht="14.25" customHeight="1" x14ac:dyDescent="0.25">
      <c r="B407" s="10" t="s">
        <v>1035</v>
      </c>
      <c r="C407" s="8" t="s">
        <v>638</v>
      </c>
      <c r="D407" s="8" t="s">
        <v>1467</v>
      </c>
      <c r="E407" s="10" t="s">
        <v>10</v>
      </c>
      <c r="F407" s="10" t="s">
        <v>11</v>
      </c>
      <c r="G407" s="29" t="s">
        <v>1555</v>
      </c>
      <c r="H407" s="10" t="s">
        <v>33</v>
      </c>
      <c r="I407" s="26">
        <v>45449</v>
      </c>
      <c r="J407" s="34">
        <f>SUM(Assumptions!M424:P424)</f>
        <v>246</v>
      </c>
    </row>
    <row r="408" spans="2:10" ht="14.25" customHeight="1" x14ac:dyDescent="0.25">
      <c r="B408" s="10" t="s">
        <v>1036</v>
      </c>
      <c r="C408" s="8" t="s">
        <v>639</v>
      </c>
      <c r="D408" s="8" t="s">
        <v>1468</v>
      </c>
      <c r="E408" s="23" t="s">
        <v>344</v>
      </c>
      <c r="F408" s="10" t="s">
        <v>24</v>
      </c>
      <c r="G408" s="29" t="s">
        <v>1556</v>
      </c>
      <c r="H408" s="10" t="s">
        <v>13</v>
      </c>
      <c r="I408" s="26">
        <v>45463</v>
      </c>
      <c r="J408" s="34">
        <f>SUM(Assumptions!M425:P425)</f>
        <v>203</v>
      </c>
    </row>
    <row r="409" spans="2:10" ht="14.25" customHeight="1" x14ac:dyDescent="0.25">
      <c r="B409" s="10" t="s">
        <v>1037</v>
      </c>
      <c r="C409" s="8" t="s">
        <v>640</v>
      </c>
      <c r="D409" s="8" t="s">
        <v>1218</v>
      </c>
      <c r="E409" s="24" t="s">
        <v>338</v>
      </c>
      <c r="F409" s="10" t="s">
        <v>24</v>
      </c>
      <c r="G409" s="29" t="s">
        <v>1559</v>
      </c>
      <c r="H409" s="10" t="s">
        <v>19</v>
      </c>
      <c r="I409" s="26">
        <v>45477</v>
      </c>
      <c r="J409" s="34">
        <f>SUM(Assumptions!M426:P426)</f>
        <v>210</v>
      </c>
    </row>
    <row r="410" spans="2:10" ht="14.25" customHeight="1" x14ac:dyDescent="0.25">
      <c r="B410" s="10" t="s">
        <v>1038</v>
      </c>
      <c r="C410" s="8" t="s">
        <v>641</v>
      </c>
      <c r="D410" s="8" t="s">
        <v>1469</v>
      </c>
      <c r="E410" s="23" t="s">
        <v>23</v>
      </c>
      <c r="F410" s="10" t="s">
        <v>11</v>
      </c>
      <c r="G410" s="29" t="s">
        <v>1557</v>
      </c>
      <c r="H410" s="10" t="s">
        <v>43</v>
      </c>
      <c r="I410" s="26">
        <v>45491</v>
      </c>
      <c r="J410" s="34">
        <f>SUM(Assumptions!M427:P427)</f>
        <v>240</v>
      </c>
    </row>
    <row r="411" spans="2:10" ht="14.25" customHeight="1" x14ac:dyDescent="0.25">
      <c r="B411" s="10" t="s">
        <v>1039</v>
      </c>
      <c r="C411" s="8" t="s">
        <v>642</v>
      </c>
      <c r="D411" s="8" t="s">
        <v>1470</v>
      </c>
      <c r="E411" s="10" t="s">
        <v>17</v>
      </c>
      <c r="F411" s="10" t="s">
        <v>11</v>
      </c>
      <c r="G411" s="29" t="s">
        <v>1558</v>
      </c>
      <c r="H411" s="17" t="s">
        <v>339</v>
      </c>
      <c r="I411" s="26">
        <v>45505</v>
      </c>
      <c r="J411" s="34">
        <f>SUM(Assumptions!M428:P428)</f>
        <v>221</v>
      </c>
    </row>
    <row r="412" spans="2:10" ht="14.25" customHeight="1" x14ac:dyDescent="0.25">
      <c r="B412" s="10" t="s">
        <v>1040</v>
      </c>
      <c r="C412" s="8" t="s">
        <v>643</v>
      </c>
      <c r="D412" s="8" t="s">
        <v>1471</v>
      </c>
      <c r="E412" s="10" t="s">
        <v>10</v>
      </c>
      <c r="F412" s="10" t="s">
        <v>11</v>
      </c>
      <c r="G412" s="29" t="s">
        <v>1560</v>
      </c>
      <c r="H412" s="24" t="s">
        <v>345</v>
      </c>
      <c r="I412" s="26">
        <v>45519</v>
      </c>
      <c r="J412" s="34">
        <f>SUM(Assumptions!M429:P429)</f>
        <v>226</v>
      </c>
    </row>
    <row r="413" spans="2:10" ht="14.25" customHeight="1" x14ac:dyDescent="0.25">
      <c r="B413" s="10" t="s">
        <v>1041</v>
      </c>
      <c r="C413" s="8" t="s">
        <v>644</v>
      </c>
      <c r="D413" s="8" t="s">
        <v>1219</v>
      </c>
      <c r="E413" s="10" t="s">
        <v>337</v>
      </c>
      <c r="F413" s="10" t="s">
        <v>11</v>
      </c>
      <c r="G413" s="29" t="s">
        <v>1561</v>
      </c>
      <c r="H413" s="10" t="s">
        <v>33</v>
      </c>
      <c r="I413" s="26">
        <v>45533</v>
      </c>
      <c r="J413" s="34">
        <f>SUM(Assumptions!M430:P430)</f>
        <v>250</v>
      </c>
    </row>
    <row r="414" spans="2:10" ht="14.25" customHeight="1" x14ac:dyDescent="0.25">
      <c r="B414" s="10" t="s">
        <v>1042</v>
      </c>
      <c r="C414" s="8" t="s">
        <v>645</v>
      </c>
      <c r="D414" s="8" t="s">
        <v>1472</v>
      </c>
      <c r="E414" s="23" t="s">
        <v>338</v>
      </c>
      <c r="F414" s="10" t="s">
        <v>11</v>
      </c>
      <c r="G414" s="29" t="s">
        <v>1561</v>
      </c>
      <c r="H414" s="10" t="s">
        <v>13</v>
      </c>
      <c r="I414" s="26">
        <v>45540</v>
      </c>
      <c r="J414" s="34">
        <f>SUM(Assumptions!M431:P431)</f>
        <v>239</v>
      </c>
    </row>
    <row r="415" spans="2:10" ht="14.25" customHeight="1" x14ac:dyDescent="0.25">
      <c r="B415" s="10" t="s">
        <v>1043</v>
      </c>
      <c r="C415" s="8" t="s">
        <v>646</v>
      </c>
      <c r="D415" s="8" t="s">
        <v>1220</v>
      </c>
      <c r="E415" s="23" t="s">
        <v>338</v>
      </c>
      <c r="F415" s="10" t="s">
        <v>11</v>
      </c>
      <c r="G415" s="29" t="s">
        <v>1560</v>
      </c>
      <c r="H415" s="10" t="s">
        <v>19</v>
      </c>
      <c r="I415" s="26">
        <v>45554</v>
      </c>
      <c r="J415" s="34">
        <f>SUM(Assumptions!M432:P432)</f>
        <v>239</v>
      </c>
    </row>
    <row r="416" spans="2:10" ht="14.25" customHeight="1" x14ac:dyDescent="0.25">
      <c r="B416" s="10" t="s">
        <v>1044</v>
      </c>
      <c r="C416" s="8" t="s">
        <v>647</v>
      </c>
      <c r="D416" s="8" t="s">
        <v>1473</v>
      </c>
      <c r="E416" s="24" t="s">
        <v>335</v>
      </c>
      <c r="F416" s="10" t="s">
        <v>24</v>
      </c>
      <c r="G416" s="29" t="s">
        <v>1558</v>
      </c>
      <c r="H416" s="10" t="s">
        <v>43</v>
      </c>
      <c r="I416" s="26">
        <v>45575</v>
      </c>
      <c r="J416" s="34">
        <f>SUM(Assumptions!M433:P433)</f>
        <v>221</v>
      </c>
    </row>
    <row r="417" spans="2:10" ht="14.25" customHeight="1" x14ac:dyDescent="0.25">
      <c r="B417" s="10" t="s">
        <v>1045</v>
      </c>
      <c r="C417" s="8" t="s">
        <v>648</v>
      </c>
      <c r="D417" s="8" t="s">
        <v>1474</v>
      </c>
      <c r="E417" s="10" t="s">
        <v>335</v>
      </c>
      <c r="F417" s="10" t="s">
        <v>11</v>
      </c>
      <c r="G417" s="29" t="s">
        <v>1557</v>
      </c>
      <c r="H417" s="17" t="s">
        <v>339</v>
      </c>
      <c r="I417" s="26">
        <v>45589</v>
      </c>
      <c r="J417" s="34">
        <f>SUM(Assumptions!M434:P434)</f>
        <v>218</v>
      </c>
    </row>
    <row r="418" spans="2:10" ht="14.25" customHeight="1" x14ac:dyDescent="0.25">
      <c r="B418" s="10" t="s">
        <v>1046</v>
      </c>
      <c r="C418" s="8" t="s">
        <v>649</v>
      </c>
      <c r="D418" s="8" t="s">
        <v>1475</v>
      </c>
      <c r="E418" s="23" t="s">
        <v>342</v>
      </c>
      <c r="F418" s="10" t="s">
        <v>11</v>
      </c>
      <c r="G418" s="29" t="s">
        <v>1559</v>
      </c>
      <c r="H418" s="24" t="s">
        <v>345</v>
      </c>
      <c r="I418" s="26">
        <v>45603</v>
      </c>
      <c r="J418" s="34">
        <f>SUM(Assumptions!M435:P435)</f>
        <v>211</v>
      </c>
    </row>
    <row r="419" spans="2:10" ht="14.25" customHeight="1" x14ac:dyDescent="0.25">
      <c r="B419" s="10" t="s">
        <v>1047</v>
      </c>
      <c r="C419" s="8" t="s">
        <v>650</v>
      </c>
      <c r="D419" s="8" t="s">
        <v>1221</v>
      </c>
      <c r="E419" s="24" t="s">
        <v>342</v>
      </c>
      <c r="F419" s="10" t="s">
        <v>11</v>
      </c>
      <c r="G419" s="29" t="s">
        <v>1556</v>
      </c>
      <c r="H419" s="10" t="s">
        <v>33</v>
      </c>
      <c r="I419" s="26">
        <v>45617</v>
      </c>
      <c r="J419" s="34">
        <f>SUM(Assumptions!M436:P436)</f>
        <v>238</v>
      </c>
    </row>
    <row r="420" spans="2:10" ht="14.25" customHeight="1" x14ac:dyDescent="0.25">
      <c r="B420" s="10" t="s">
        <v>1048</v>
      </c>
      <c r="C420" s="8" t="s">
        <v>651</v>
      </c>
      <c r="D420" s="8" t="s">
        <v>1476</v>
      </c>
      <c r="E420" s="23" t="s">
        <v>10</v>
      </c>
      <c r="F420" s="10" t="s">
        <v>11</v>
      </c>
      <c r="G420" s="29" t="s">
        <v>1555</v>
      </c>
      <c r="H420" s="10" t="s">
        <v>13</v>
      </c>
      <c r="I420" s="26">
        <v>45631</v>
      </c>
      <c r="J420" s="34">
        <f>SUM(Assumptions!M437:P437)</f>
        <v>237</v>
      </c>
    </row>
    <row r="421" spans="2:10" ht="14.25" customHeight="1" x14ac:dyDescent="0.25">
      <c r="B421" s="10" t="s">
        <v>1049</v>
      </c>
      <c r="C421" s="8" t="s">
        <v>652</v>
      </c>
      <c r="D421" s="8" t="s">
        <v>1477</v>
      </c>
      <c r="E421" s="10" t="s">
        <v>17</v>
      </c>
      <c r="F421" s="10" t="s">
        <v>24</v>
      </c>
      <c r="G421" s="29" t="s">
        <v>1554</v>
      </c>
      <c r="H421" s="10" t="s">
        <v>19</v>
      </c>
      <c r="I421" s="26">
        <v>45645</v>
      </c>
      <c r="J421" s="34">
        <f>SUM(Assumptions!M438:P438)</f>
        <v>211</v>
      </c>
    </row>
    <row r="422" spans="2:10" ht="14.25" customHeight="1" x14ac:dyDescent="0.25">
      <c r="B422" s="10" t="s">
        <v>1050</v>
      </c>
      <c r="C422" s="8" t="s">
        <v>653</v>
      </c>
      <c r="D422" s="8" t="s">
        <v>1478</v>
      </c>
      <c r="E422" s="10" t="s">
        <v>10</v>
      </c>
      <c r="F422" s="10" t="s">
        <v>11</v>
      </c>
      <c r="G422" s="29" t="s">
        <v>1553</v>
      </c>
      <c r="H422" s="10" t="s">
        <v>43</v>
      </c>
      <c r="I422" s="26">
        <v>45666</v>
      </c>
      <c r="J422" s="34">
        <f>SUM(Assumptions!M439:P439)</f>
        <v>239</v>
      </c>
    </row>
    <row r="423" spans="2:10" ht="14.25" customHeight="1" x14ac:dyDescent="0.25">
      <c r="B423" s="10" t="s">
        <v>1051</v>
      </c>
      <c r="C423" s="8" t="s">
        <v>654</v>
      </c>
      <c r="D423" s="8" t="s">
        <v>1479</v>
      </c>
      <c r="E423" s="10" t="s">
        <v>23</v>
      </c>
      <c r="F423" s="10" t="s">
        <v>24</v>
      </c>
      <c r="G423" s="29" t="s">
        <v>1552</v>
      </c>
      <c r="H423" s="17" t="s">
        <v>339</v>
      </c>
      <c r="I423" s="26">
        <v>45680</v>
      </c>
      <c r="J423" s="34">
        <f>SUM(Assumptions!M440:P440)</f>
        <v>182</v>
      </c>
    </row>
    <row r="424" spans="2:10" ht="14.25" customHeight="1" x14ac:dyDescent="0.25">
      <c r="B424" s="10" t="s">
        <v>1052</v>
      </c>
      <c r="C424" s="8" t="s">
        <v>655</v>
      </c>
      <c r="D424" s="8" t="s">
        <v>1480</v>
      </c>
      <c r="E424" s="23" t="s">
        <v>17</v>
      </c>
      <c r="F424" s="10" t="s">
        <v>11</v>
      </c>
      <c r="G424" s="30" t="s">
        <v>12</v>
      </c>
      <c r="H424" s="24" t="s">
        <v>345</v>
      </c>
      <c r="I424" s="26">
        <v>45694</v>
      </c>
      <c r="J424" s="34">
        <f>SUM(Assumptions!M441:P441)</f>
        <v>175</v>
      </c>
    </row>
    <row r="425" spans="2:10" ht="14.25" customHeight="1" x14ac:dyDescent="0.25">
      <c r="B425" s="10" t="s">
        <v>1053</v>
      </c>
      <c r="C425" s="8" t="s">
        <v>656</v>
      </c>
      <c r="D425" s="8" t="s">
        <v>1481</v>
      </c>
      <c r="E425" s="23" t="s">
        <v>337</v>
      </c>
      <c r="F425" s="10" t="s">
        <v>24</v>
      </c>
      <c r="G425" s="30" t="s">
        <v>12</v>
      </c>
      <c r="H425" s="10" t="s">
        <v>33</v>
      </c>
      <c r="I425" s="26">
        <v>45708</v>
      </c>
      <c r="J425" s="34">
        <f>SUM(Assumptions!M442:P442)</f>
        <v>176</v>
      </c>
    </row>
    <row r="426" spans="2:10" ht="14.25" customHeight="1" x14ac:dyDescent="0.25">
      <c r="B426" s="10" t="s">
        <v>1054</v>
      </c>
      <c r="C426" s="8" t="s">
        <v>657</v>
      </c>
      <c r="D426" s="8" t="s">
        <v>1222</v>
      </c>
      <c r="E426" s="24" t="s">
        <v>338</v>
      </c>
      <c r="F426" s="10" t="s">
        <v>11</v>
      </c>
      <c r="G426" s="29" t="s">
        <v>1552</v>
      </c>
      <c r="H426" s="10" t="s">
        <v>13</v>
      </c>
      <c r="I426" s="26">
        <v>45722</v>
      </c>
      <c r="J426" s="34">
        <f>SUM(Assumptions!M443:P443)</f>
        <v>225</v>
      </c>
    </row>
    <row r="427" spans="2:10" ht="14.25" customHeight="1" x14ac:dyDescent="0.25">
      <c r="B427" s="10" t="s">
        <v>1055</v>
      </c>
      <c r="C427" s="8" t="s">
        <v>658</v>
      </c>
      <c r="D427" s="8" t="s">
        <v>1482</v>
      </c>
      <c r="E427" s="10" t="s">
        <v>335</v>
      </c>
      <c r="F427" s="10" t="s">
        <v>24</v>
      </c>
      <c r="G427" s="29" t="s">
        <v>1555</v>
      </c>
      <c r="H427" s="10" t="s">
        <v>19</v>
      </c>
      <c r="I427" s="26">
        <v>45736</v>
      </c>
      <c r="J427" s="34">
        <f>SUM(Assumptions!M444:P444)</f>
        <v>212</v>
      </c>
    </row>
    <row r="428" spans="2:10" ht="14.25" customHeight="1" x14ac:dyDescent="0.25">
      <c r="B428" s="10" t="s">
        <v>1056</v>
      </c>
      <c r="C428" s="8" t="s">
        <v>659</v>
      </c>
      <c r="D428" s="8" t="s">
        <v>1483</v>
      </c>
      <c r="E428" s="23" t="s">
        <v>342</v>
      </c>
      <c r="F428" s="10" t="s">
        <v>24</v>
      </c>
      <c r="G428" s="29" t="s">
        <v>1557</v>
      </c>
      <c r="H428" s="10" t="s">
        <v>43</v>
      </c>
      <c r="I428" s="26">
        <v>45750</v>
      </c>
      <c r="J428" s="34">
        <f>SUM(Assumptions!M445:P445)</f>
        <v>215</v>
      </c>
    </row>
    <row r="429" spans="2:10" ht="14.25" customHeight="1" x14ac:dyDescent="0.25">
      <c r="B429" s="10" t="s">
        <v>1057</v>
      </c>
      <c r="C429" s="8" t="s">
        <v>660</v>
      </c>
      <c r="D429" s="8" t="s">
        <v>1484</v>
      </c>
      <c r="E429" s="24" t="s">
        <v>23</v>
      </c>
      <c r="F429" s="10" t="s">
        <v>24</v>
      </c>
      <c r="G429" s="29" t="s">
        <v>1560</v>
      </c>
      <c r="H429" s="17" t="s">
        <v>339</v>
      </c>
      <c r="I429" s="26">
        <v>45764</v>
      </c>
      <c r="J429" s="34">
        <f>SUM(Assumptions!M446:P446)</f>
        <v>194</v>
      </c>
    </row>
    <row r="430" spans="2:10" ht="14.25" customHeight="1" x14ac:dyDescent="0.25">
      <c r="B430" s="10" t="s">
        <v>1058</v>
      </c>
      <c r="C430" s="8" t="s">
        <v>661</v>
      </c>
      <c r="D430" s="8" t="s">
        <v>1485</v>
      </c>
      <c r="E430" s="23" t="s">
        <v>17</v>
      </c>
      <c r="F430" s="10" t="s">
        <v>11</v>
      </c>
      <c r="G430" s="29" t="s">
        <v>1553</v>
      </c>
      <c r="H430" s="24" t="s">
        <v>345</v>
      </c>
      <c r="I430" s="26">
        <v>45785</v>
      </c>
      <c r="J430" s="34">
        <f>SUM(Assumptions!M447:P447)</f>
        <v>214</v>
      </c>
    </row>
    <row r="431" spans="2:10" ht="14.25" customHeight="1" x14ac:dyDescent="0.25">
      <c r="B431" s="10" t="s">
        <v>1059</v>
      </c>
      <c r="C431" s="8" t="s">
        <v>662</v>
      </c>
      <c r="D431" s="8" t="s">
        <v>1486</v>
      </c>
      <c r="E431" s="10" t="s">
        <v>10</v>
      </c>
      <c r="F431" s="10" t="s">
        <v>11</v>
      </c>
      <c r="G431" s="29" t="s">
        <v>1556</v>
      </c>
      <c r="H431" s="10" t="s">
        <v>33</v>
      </c>
      <c r="I431" s="26">
        <v>45799</v>
      </c>
      <c r="J431" s="34">
        <f>SUM(Assumptions!M448:P448)</f>
        <v>247</v>
      </c>
    </row>
    <row r="432" spans="2:10" ht="14.25" customHeight="1" x14ac:dyDescent="0.25">
      <c r="B432" s="10" t="s">
        <v>1060</v>
      </c>
      <c r="C432" s="8" t="s">
        <v>1247</v>
      </c>
      <c r="D432" s="8" t="s">
        <v>1487</v>
      </c>
      <c r="E432" s="10" t="s">
        <v>343</v>
      </c>
      <c r="F432" s="10" t="s">
        <v>11</v>
      </c>
      <c r="G432" s="29" t="s">
        <v>1558</v>
      </c>
      <c r="H432" s="10" t="s">
        <v>13</v>
      </c>
      <c r="I432" s="26">
        <v>45820</v>
      </c>
      <c r="J432" s="34">
        <f>SUM(Assumptions!M449:P449)</f>
        <v>233</v>
      </c>
    </row>
    <row r="433" spans="2:10" ht="14.25" customHeight="1" x14ac:dyDescent="0.25">
      <c r="B433" s="10" t="s">
        <v>1061</v>
      </c>
      <c r="C433" s="8" t="s">
        <v>663</v>
      </c>
      <c r="D433" s="8" t="s">
        <v>1488</v>
      </c>
      <c r="E433" s="10" t="s">
        <v>340</v>
      </c>
      <c r="F433" s="10" t="s">
        <v>11</v>
      </c>
      <c r="G433" s="29" t="s">
        <v>1561</v>
      </c>
      <c r="H433" s="10" t="s">
        <v>19</v>
      </c>
      <c r="I433" s="26">
        <v>45834</v>
      </c>
      <c r="J433" s="34">
        <f>SUM(Assumptions!M450:P450)</f>
        <v>235</v>
      </c>
    </row>
    <row r="434" spans="2:10" ht="14.25" customHeight="1" x14ac:dyDescent="0.25">
      <c r="B434" s="10" t="s">
        <v>1062</v>
      </c>
      <c r="C434" s="8" t="s">
        <v>664</v>
      </c>
      <c r="D434" s="8" t="s">
        <v>1223</v>
      </c>
      <c r="E434" s="23" t="s">
        <v>344</v>
      </c>
      <c r="F434" s="10" t="s">
        <v>11</v>
      </c>
      <c r="G434" s="29" t="s">
        <v>1554</v>
      </c>
      <c r="H434" s="10" t="s">
        <v>43</v>
      </c>
      <c r="I434" s="26">
        <v>45848</v>
      </c>
      <c r="J434" s="34">
        <f>SUM(Assumptions!M451:P451)</f>
        <v>226</v>
      </c>
    </row>
    <row r="435" spans="2:10" ht="14.25" customHeight="1" x14ac:dyDescent="0.25">
      <c r="B435" s="10" t="s">
        <v>1063</v>
      </c>
      <c r="C435" s="8" t="s">
        <v>665</v>
      </c>
      <c r="D435" s="8" t="s">
        <v>1489</v>
      </c>
      <c r="E435" s="23" t="s">
        <v>335</v>
      </c>
      <c r="F435" s="10" t="s">
        <v>11</v>
      </c>
      <c r="G435" s="29" t="s">
        <v>1559</v>
      </c>
      <c r="H435" s="17" t="s">
        <v>339</v>
      </c>
      <c r="I435" s="26">
        <v>45862</v>
      </c>
      <c r="J435" s="34">
        <f>SUM(Assumptions!M452:P452)</f>
        <v>214</v>
      </c>
    </row>
    <row r="436" spans="2:10" ht="14.25" customHeight="1" x14ac:dyDescent="0.25">
      <c r="B436" s="10" t="s">
        <v>1064</v>
      </c>
      <c r="C436" s="8" t="s">
        <v>666</v>
      </c>
      <c r="D436" s="8" t="s">
        <v>1490</v>
      </c>
      <c r="E436" s="24" t="s">
        <v>343</v>
      </c>
      <c r="F436" s="10" t="s">
        <v>24</v>
      </c>
      <c r="G436" s="29" t="s">
        <v>1554</v>
      </c>
      <c r="H436" s="24" t="s">
        <v>345</v>
      </c>
      <c r="I436" s="26">
        <v>45876</v>
      </c>
      <c r="J436" s="34">
        <f>SUM(Assumptions!M453:P453)</f>
        <v>181</v>
      </c>
    </row>
    <row r="437" spans="2:10" ht="14.25" customHeight="1" x14ac:dyDescent="0.25">
      <c r="B437" s="10" t="s">
        <v>1065</v>
      </c>
      <c r="C437" s="8" t="s">
        <v>667</v>
      </c>
      <c r="D437" s="8" t="s">
        <v>1224</v>
      </c>
      <c r="E437" s="10" t="s">
        <v>340</v>
      </c>
      <c r="F437" s="10" t="s">
        <v>11</v>
      </c>
      <c r="G437" s="29" t="s">
        <v>1559</v>
      </c>
      <c r="H437" s="10" t="s">
        <v>33</v>
      </c>
      <c r="I437" s="26">
        <v>45890</v>
      </c>
      <c r="J437" s="34">
        <f>SUM(Assumptions!M454:P454)</f>
        <v>234</v>
      </c>
    </row>
    <row r="438" spans="2:10" ht="14.25" customHeight="1" x14ac:dyDescent="0.25">
      <c r="B438" s="10" t="s">
        <v>1066</v>
      </c>
      <c r="C438" s="8" t="s">
        <v>668</v>
      </c>
      <c r="D438" s="8" t="s">
        <v>1491</v>
      </c>
      <c r="E438" s="23" t="s">
        <v>344</v>
      </c>
      <c r="F438" s="10" t="s">
        <v>24</v>
      </c>
      <c r="G438" s="29" t="s">
        <v>1553</v>
      </c>
      <c r="H438" s="10" t="s">
        <v>13</v>
      </c>
      <c r="I438" s="26">
        <v>45904</v>
      </c>
      <c r="J438" s="34">
        <f>SUM(Assumptions!M455:P455)</f>
        <v>200</v>
      </c>
    </row>
    <row r="439" spans="2:10" ht="14.25" customHeight="1" x14ac:dyDescent="0.25">
      <c r="B439" s="10" t="s">
        <v>1067</v>
      </c>
      <c r="C439" s="8" t="s">
        <v>669</v>
      </c>
      <c r="D439" s="8" t="s">
        <v>1492</v>
      </c>
      <c r="E439" s="23" t="s">
        <v>337</v>
      </c>
      <c r="F439" s="10" t="s">
        <v>24</v>
      </c>
      <c r="G439" s="29" t="s">
        <v>1556</v>
      </c>
      <c r="H439" s="10" t="s">
        <v>19</v>
      </c>
      <c r="I439" s="26">
        <v>45918</v>
      </c>
      <c r="J439" s="34">
        <f>SUM(Assumptions!M456:P456)</f>
        <v>211</v>
      </c>
    </row>
    <row r="440" spans="2:10" ht="14.25" customHeight="1" x14ac:dyDescent="0.25">
      <c r="B440" s="10" t="s">
        <v>1068</v>
      </c>
      <c r="C440" s="8" t="s">
        <v>670</v>
      </c>
      <c r="D440" s="8" t="s">
        <v>1493</v>
      </c>
      <c r="E440" s="24" t="s">
        <v>338</v>
      </c>
      <c r="F440" s="10" t="s">
        <v>11</v>
      </c>
      <c r="G440" s="29" t="s">
        <v>1558</v>
      </c>
      <c r="H440" s="10" t="s">
        <v>43</v>
      </c>
      <c r="I440" s="26">
        <v>45932</v>
      </c>
      <c r="J440" s="34">
        <f>SUM(Assumptions!M457:P457)</f>
        <v>240</v>
      </c>
    </row>
    <row r="441" spans="2:10" ht="14.25" customHeight="1" x14ac:dyDescent="0.25">
      <c r="B441" s="10" t="s">
        <v>1069</v>
      </c>
      <c r="C441" s="8" t="s">
        <v>671</v>
      </c>
      <c r="D441" s="8" t="s">
        <v>1225</v>
      </c>
      <c r="E441" s="10" t="s">
        <v>335</v>
      </c>
      <c r="F441" s="10" t="s">
        <v>24</v>
      </c>
      <c r="G441" s="29" t="s">
        <v>1561</v>
      </c>
      <c r="H441" s="17" t="s">
        <v>339</v>
      </c>
      <c r="I441" s="26">
        <v>45946</v>
      </c>
      <c r="J441" s="34">
        <f>SUM(Assumptions!M458:P458)</f>
        <v>199</v>
      </c>
    </row>
    <row r="442" spans="2:10" ht="14.25" customHeight="1" x14ac:dyDescent="0.25">
      <c r="B442" s="10" t="s">
        <v>1070</v>
      </c>
      <c r="C442" s="8" t="s">
        <v>672</v>
      </c>
      <c r="D442" s="8" t="s">
        <v>1226</v>
      </c>
      <c r="E442" s="23" t="s">
        <v>343</v>
      </c>
      <c r="F442" s="10" t="s">
        <v>11</v>
      </c>
      <c r="G442" s="29" t="s">
        <v>1552</v>
      </c>
      <c r="H442" s="24" t="s">
        <v>345</v>
      </c>
      <c r="I442" s="26">
        <v>45960</v>
      </c>
      <c r="J442" s="34">
        <f>SUM(Assumptions!M459:P459)</f>
        <v>203</v>
      </c>
    </row>
    <row r="443" spans="2:10" ht="14.25" customHeight="1" x14ac:dyDescent="0.25">
      <c r="B443" s="10" t="s">
        <v>1071</v>
      </c>
      <c r="C443" s="8" t="s">
        <v>673</v>
      </c>
      <c r="D443" s="8" t="s">
        <v>1227</v>
      </c>
      <c r="E443" s="24" t="s">
        <v>340</v>
      </c>
      <c r="F443" s="10" t="s">
        <v>11</v>
      </c>
      <c r="G443" s="29" t="s">
        <v>1555</v>
      </c>
      <c r="H443" s="10" t="s">
        <v>33</v>
      </c>
      <c r="I443" s="26">
        <v>45967</v>
      </c>
      <c r="J443" s="34">
        <f>SUM(Assumptions!M460:P460)</f>
        <v>232</v>
      </c>
    </row>
    <row r="444" spans="2:10" ht="14.25" customHeight="1" x14ac:dyDescent="0.25">
      <c r="B444" s="10" t="s">
        <v>1072</v>
      </c>
      <c r="C444" s="8" t="s">
        <v>674</v>
      </c>
      <c r="D444" s="8" t="s">
        <v>1228</v>
      </c>
      <c r="E444" s="23" t="s">
        <v>342</v>
      </c>
      <c r="F444" s="10" t="s">
        <v>11</v>
      </c>
      <c r="G444" s="29" t="s">
        <v>1557</v>
      </c>
      <c r="H444" s="10" t="s">
        <v>13</v>
      </c>
      <c r="I444" s="26">
        <v>45981</v>
      </c>
      <c r="J444" s="34">
        <f>SUM(Assumptions!M461:P461)</f>
        <v>234</v>
      </c>
    </row>
    <row r="445" spans="2:10" ht="14.25" customHeight="1" x14ac:dyDescent="0.25">
      <c r="B445" s="10" t="s">
        <v>1073</v>
      </c>
      <c r="C445" s="8" t="s">
        <v>675</v>
      </c>
      <c r="D445" s="8" t="s">
        <v>1494</v>
      </c>
      <c r="E445" s="10" t="s">
        <v>23</v>
      </c>
      <c r="F445" s="10" t="s">
        <v>11</v>
      </c>
      <c r="G445" s="29" t="s">
        <v>1560</v>
      </c>
      <c r="H445" s="10" t="s">
        <v>19</v>
      </c>
      <c r="I445" s="26">
        <v>44945</v>
      </c>
      <c r="J445" s="34">
        <f>SUM(Assumptions!M462:P462)</f>
        <v>240</v>
      </c>
    </row>
    <row r="446" spans="2:10" ht="14.25" customHeight="1" x14ac:dyDescent="0.25">
      <c r="B446" s="10" t="s">
        <v>1074</v>
      </c>
      <c r="C446" s="8" t="s">
        <v>676</v>
      </c>
      <c r="D446" s="8" t="s">
        <v>1495</v>
      </c>
      <c r="E446" s="10" t="s">
        <v>17</v>
      </c>
      <c r="F446" s="10" t="s">
        <v>24</v>
      </c>
      <c r="G446" s="30" t="s">
        <v>12</v>
      </c>
      <c r="H446" s="10" t="s">
        <v>43</v>
      </c>
      <c r="I446" s="26">
        <v>44966</v>
      </c>
      <c r="J446" s="34">
        <f>SUM(Assumptions!M463:P463)</f>
        <v>175</v>
      </c>
    </row>
    <row r="447" spans="2:10" ht="14.25" customHeight="1" x14ac:dyDescent="0.25">
      <c r="B447" s="10" t="s">
        <v>1075</v>
      </c>
      <c r="C447" s="8" t="s">
        <v>677</v>
      </c>
      <c r="D447" s="8" t="s">
        <v>1229</v>
      </c>
      <c r="E447" s="10" t="s">
        <v>10</v>
      </c>
      <c r="F447" s="10" t="s">
        <v>11</v>
      </c>
      <c r="G447" s="30" t="s">
        <v>12</v>
      </c>
      <c r="H447" s="17" t="s">
        <v>339</v>
      </c>
      <c r="I447" s="26">
        <v>44980</v>
      </c>
      <c r="J447" s="34">
        <f>SUM(Assumptions!M464:P464)</f>
        <v>175</v>
      </c>
    </row>
    <row r="448" spans="2:10" ht="14.25" customHeight="1" x14ac:dyDescent="0.25">
      <c r="B448" s="10" t="s">
        <v>1076</v>
      </c>
      <c r="C448" s="8" t="s">
        <v>678</v>
      </c>
      <c r="D448" s="8" t="s">
        <v>1496</v>
      </c>
      <c r="E448" s="23" t="s">
        <v>344</v>
      </c>
      <c r="F448" s="10" t="s">
        <v>24</v>
      </c>
      <c r="G448" s="29" t="s">
        <v>1552</v>
      </c>
      <c r="H448" s="24" t="s">
        <v>345</v>
      </c>
      <c r="I448" s="26">
        <v>44987</v>
      </c>
      <c r="J448" s="34">
        <f>SUM(Assumptions!M465:P465)</f>
        <v>179</v>
      </c>
    </row>
    <row r="449" spans="2:10" ht="14.25" customHeight="1" x14ac:dyDescent="0.25">
      <c r="B449" s="10" t="s">
        <v>1077</v>
      </c>
      <c r="C449" s="8" t="s">
        <v>679</v>
      </c>
      <c r="D449" s="8" t="s">
        <v>1497</v>
      </c>
      <c r="E449" s="23" t="s">
        <v>344</v>
      </c>
      <c r="F449" s="10" t="s">
        <v>11</v>
      </c>
      <c r="G449" s="29" t="s">
        <v>1553</v>
      </c>
      <c r="H449" s="10" t="s">
        <v>33</v>
      </c>
      <c r="I449" s="26">
        <v>45001</v>
      </c>
      <c r="J449" s="34">
        <f>SUM(Assumptions!M466:P466)</f>
        <v>232</v>
      </c>
    </row>
    <row r="450" spans="2:10" ht="14.25" customHeight="1" x14ac:dyDescent="0.25">
      <c r="B450" s="10" t="s">
        <v>1078</v>
      </c>
      <c r="C450" s="8" t="s">
        <v>680</v>
      </c>
      <c r="D450" s="8" t="s">
        <v>1498</v>
      </c>
      <c r="E450" s="10" t="s">
        <v>10</v>
      </c>
      <c r="F450" s="10" t="s">
        <v>11</v>
      </c>
      <c r="G450" s="29" t="s">
        <v>1554</v>
      </c>
      <c r="H450" s="10" t="s">
        <v>13</v>
      </c>
      <c r="I450" s="26">
        <v>45015</v>
      </c>
      <c r="J450" s="34">
        <f>SUM(Assumptions!M467:P467)</f>
        <v>234</v>
      </c>
    </row>
    <row r="451" spans="2:10" ht="14.25" customHeight="1" x14ac:dyDescent="0.25">
      <c r="B451" s="10" t="s">
        <v>1079</v>
      </c>
      <c r="C451" s="8" t="s">
        <v>681</v>
      </c>
      <c r="D451" s="8" t="s">
        <v>1230</v>
      </c>
      <c r="E451" s="24" t="s">
        <v>17</v>
      </c>
      <c r="F451" s="10" t="s">
        <v>11</v>
      </c>
      <c r="G451" s="29" t="s">
        <v>1555</v>
      </c>
      <c r="H451" s="10" t="s">
        <v>19</v>
      </c>
      <c r="I451" s="26">
        <v>45022</v>
      </c>
      <c r="J451" s="34">
        <f>SUM(Assumptions!M468:P468)</f>
        <v>237</v>
      </c>
    </row>
    <row r="452" spans="2:10" ht="14.25" customHeight="1" x14ac:dyDescent="0.25">
      <c r="B452" s="10" t="s">
        <v>1080</v>
      </c>
      <c r="C452" s="8" t="s">
        <v>682</v>
      </c>
      <c r="D452" s="8" t="s">
        <v>1499</v>
      </c>
      <c r="E452" s="10" t="s">
        <v>23</v>
      </c>
      <c r="F452" s="10" t="s">
        <v>24</v>
      </c>
      <c r="G452" s="29" t="s">
        <v>1556</v>
      </c>
      <c r="H452" s="10" t="s">
        <v>43</v>
      </c>
      <c r="I452" s="26">
        <v>45036</v>
      </c>
      <c r="J452" s="34">
        <f>SUM(Assumptions!M469:P469)</f>
        <v>212</v>
      </c>
    </row>
    <row r="453" spans="2:10" ht="14.25" customHeight="1" x14ac:dyDescent="0.25">
      <c r="B453" s="10" t="s">
        <v>1081</v>
      </c>
      <c r="C453" s="8" t="s">
        <v>683</v>
      </c>
      <c r="D453" s="8" t="s">
        <v>1500</v>
      </c>
      <c r="E453" s="10" t="s">
        <v>342</v>
      </c>
      <c r="F453" s="10" t="s">
        <v>11</v>
      </c>
      <c r="G453" s="29" t="s">
        <v>1559</v>
      </c>
      <c r="H453" s="17" t="s">
        <v>339</v>
      </c>
      <c r="I453" s="26">
        <v>45057</v>
      </c>
      <c r="J453" s="34">
        <f>SUM(Assumptions!M470:P470)</f>
        <v>209</v>
      </c>
    </row>
    <row r="454" spans="2:10" ht="14.25" customHeight="1" x14ac:dyDescent="0.25">
      <c r="B454" s="10" t="s">
        <v>1082</v>
      </c>
      <c r="C454" s="8" t="s">
        <v>684</v>
      </c>
      <c r="D454" s="8" t="s">
        <v>1501</v>
      </c>
      <c r="E454" s="24" t="s">
        <v>340</v>
      </c>
      <c r="F454" s="10" t="s">
        <v>11</v>
      </c>
      <c r="G454" s="29" t="s">
        <v>1557</v>
      </c>
      <c r="H454" s="24" t="s">
        <v>345</v>
      </c>
      <c r="I454" s="26">
        <v>45071</v>
      </c>
      <c r="J454" s="34">
        <f>SUM(Assumptions!M471:P471)</f>
        <v>210</v>
      </c>
    </row>
    <row r="455" spans="2:10" ht="14.25" customHeight="1" x14ac:dyDescent="0.25">
      <c r="B455" s="10" t="s">
        <v>1083</v>
      </c>
      <c r="C455" s="8" t="s">
        <v>685</v>
      </c>
      <c r="D455" s="8" t="s">
        <v>1502</v>
      </c>
      <c r="E455" s="10" t="s">
        <v>343</v>
      </c>
      <c r="F455" s="10" t="s">
        <v>11</v>
      </c>
      <c r="G455" s="29" t="s">
        <v>1558</v>
      </c>
      <c r="H455" s="10" t="s">
        <v>33</v>
      </c>
      <c r="I455" s="26">
        <v>45085</v>
      </c>
      <c r="J455" s="34">
        <f>SUM(Assumptions!M472:P472)</f>
        <v>242</v>
      </c>
    </row>
    <row r="456" spans="2:10" ht="14.25" customHeight="1" x14ac:dyDescent="0.25">
      <c r="B456" s="10" t="s">
        <v>1084</v>
      </c>
      <c r="C456" s="8" t="s">
        <v>686</v>
      </c>
      <c r="D456" s="8" t="s">
        <v>1503</v>
      </c>
      <c r="E456" s="10" t="s">
        <v>335</v>
      </c>
      <c r="F456" s="10" t="s">
        <v>11</v>
      </c>
      <c r="G456" s="29" t="s">
        <v>1560</v>
      </c>
      <c r="H456" s="10" t="s">
        <v>13</v>
      </c>
      <c r="I456" s="26">
        <v>45099</v>
      </c>
      <c r="J456" s="34">
        <f>SUM(Assumptions!M473:P473)</f>
        <v>241</v>
      </c>
    </row>
    <row r="457" spans="2:10" ht="14.25" customHeight="1" x14ac:dyDescent="0.25">
      <c r="B457" s="10" t="s">
        <v>1085</v>
      </c>
      <c r="C457" s="8" t="s">
        <v>687</v>
      </c>
      <c r="D457" s="8" t="s">
        <v>1231</v>
      </c>
      <c r="E457" s="10" t="s">
        <v>338</v>
      </c>
      <c r="F457" s="10" t="s">
        <v>24</v>
      </c>
      <c r="G457" s="29" t="s">
        <v>1561</v>
      </c>
      <c r="H457" s="10" t="s">
        <v>19</v>
      </c>
      <c r="I457" s="26">
        <v>45113</v>
      </c>
      <c r="J457" s="34">
        <f>SUM(Assumptions!M474:P474)</f>
        <v>218</v>
      </c>
    </row>
    <row r="458" spans="2:10" ht="14.25" customHeight="1" x14ac:dyDescent="0.25">
      <c r="B458" s="10" t="s">
        <v>1086</v>
      </c>
      <c r="C458" s="8" t="s">
        <v>688</v>
      </c>
      <c r="D458" s="8" t="s">
        <v>1504</v>
      </c>
      <c r="E458" s="23" t="s">
        <v>337</v>
      </c>
      <c r="F458" s="10" t="s">
        <v>11</v>
      </c>
      <c r="G458" s="29" t="s">
        <v>1561</v>
      </c>
      <c r="H458" s="10" t="s">
        <v>43</v>
      </c>
      <c r="I458" s="26">
        <v>45127</v>
      </c>
      <c r="J458" s="34">
        <f>SUM(Assumptions!M475:P475)</f>
        <v>245</v>
      </c>
    </row>
    <row r="459" spans="2:10" ht="14.25" customHeight="1" x14ac:dyDescent="0.25">
      <c r="B459" s="10" t="s">
        <v>1087</v>
      </c>
      <c r="C459" s="8" t="s">
        <v>689</v>
      </c>
      <c r="D459" s="8" t="s">
        <v>1505</v>
      </c>
      <c r="E459" s="23" t="s">
        <v>343</v>
      </c>
      <c r="F459" s="10" t="s">
        <v>24</v>
      </c>
      <c r="G459" s="29" t="s">
        <v>1560</v>
      </c>
      <c r="H459" s="17" t="s">
        <v>339</v>
      </c>
      <c r="I459" s="26">
        <v>45148</v>
      </c>
      <c r="J459" s="34">
        <f>SUM(Assumptions!M476:P476)</f>
        <v>190</v>
      </c>
    </row>
    <row r="460" spans="2:10" ht="14.25" customHeight="1" x14ac:dyDescent="0.25">
      <c r="B460" s="10" t="s">
        <v>1088</v>
      </c>
      <c r="C460" s="8" t="s">
        <v>690</v>
      </c>
      <c r="D460" s="8" t="s">
        <v>1506</v>
      </c>
      <c r="E460" s="24" t="s">
        <v>340</v>
      </c>
      <c r="F460" s="10" t="s">
        <v>11</v>
      </c>
      <c r="G460" s="29" t="s">
        <v>1558</v>
      </c>
      <c r="H460" s="24" t="s">
        <v>345</v>
      </c>
      <c r="I460" s="26">
        <v>45162</v>
      </c>
      <c r="J460" s="34">
        <f>SUM(Assumptions!M477:P477)</f>
        <v>211</v>
      </c>
    </row>
    <row r="461" spans="2:10" ht="14.25" customHeight="1" x14ac:dyDescent="0.25">
      <c r="B461" s="10" t="s">
        <v>1089</v>
      </c>
      <c r="C461" s="8" t="s">
        <v>691</v>
      </c>
      <c r="D461" s="8" t="s">
        <v>1232</v>
      </c>
      <c r="E461" s="10" t="s">
        <v>10</v>
      </c>
      <c r="F461" s="10" t="s">
        <v>11</v>
      </c>
      <c r="G461" s="29" t="s">
        <v>1557</v>
      </c>
      <c r="H461" s="10" t="s">
        <v>33</v>
      </c>
      <c r="I461" s="26">
        <v>45176</v>
      </c>
      <c r="J461" s="34">
        <f>SUM(Assumptions!M478:P478)</f>
        <v>252</v>
      </c>
    </row>
    <row r="462" spans="2:10" ht="14.25" customHeight="1" x14ac:dyDescent="0.25">
      <c r="B462" s="10" t="s">
        <v>1090</v>
      </c>
      <c r="C462" s="8" t="s">
        <v>692</v>
      </c>
      <c r="D462" s="8" t="s">
        <v>1507</v>
      </c>
      <c r="E462" s="23" t="s">
        <v>344</v>
      </c>
      <c r="F462" s="10" t="s">
        <v>11</v>
      </c>
      <c r="G462" s="29" t="s">
        <v>1559</v>
      </c>
      <c r="H462" s="10" t="s">
        <v>13</v>
      </c>
      <c r="I462" s="26">
        <v>45190</v>
      </c>
      <c r="J462" s="34">
        <f>SUM(Assumptions!M479:P479)</f>
        <v>227</v>
      </c>
    </row>
    <row r="463" spans="2:10" ht="14.25" customHeight="1" x14ac:dyDescent="0.25">
      <c r="B463" s="10" t="s">
        <v>1091</v>
      </c>
      <c r="C463" s="8" t="s">
        <v>693</v>
      </c>
      <c r="D463" s="8" t="s">
        <v>1508</v>
      </c>
      <c r="E463" s="24" t="s">
        <v>338</v>
      </c>
      <c r="F463" s="10" t="s">
        <v>24</v>
      </c>
      <c r="G463" s="29" t="s">
        <v>1556</v>
      </c>
      <c r="H463" s="10" t="s">
        <v>19</v>
      </c>
      <c r="I463" s="26">
        <v>45204</v>
      </c>
      <c r="J463" s="34">
        <f>SUM(Assumptions!M480:P480)</f>
        <v>209</v>
      </c>
    </row>
    <row r="464" spans="2:10" ht="14.25" customHeight="1" x14ac:dyDescent="0.25">
      <c r="B464" s="10" t="s">
        <v>1092</v>
      </c>
      <c r="C464" s="8" t="s">
        <v>694</v>
      </c>
      <c r="D464" s="8" t="s">
        <v>1509</v>
      </c>
      <c r="E464" s="23" t="s">
        <v>23</v>
      </c>
      <c r="F464" s="10" t="s">
        <v>11</v>
      </c>
      <c r="G464" s="29" t="s">
        <v>1555</v>
      </c>
      <c r="H464" s="10" t="s">
        <v>43</v>
      </c>
      <c r="I464" s="26">
        <v>45218</v>
      </c>
      <c r="J464" s="34">
        <f>SUM(Assumptions!M481:P481)</f>
        <v>234</v>
      </c>
    </row>
    <row r="465" spans="2:10" ht="14.25" customHeight="1" x14ac:dyDescent="0.25">
      <c r="B465" s="10" t="s">
        <v>1093</v>
      </c>
      <c r="C465" s="8" t="s">
        <v>695</v>
      </c>
      <c r="D465" s="8" t="s">
        <v>1233</v>
      </c>
      <c r="E465" s="10" t="s">
        <v>17</v>
      </c>
      <c r="F465" s="10" t="s">
        <v>24</v>
      </c>
      <c r="G465" s="29" t="s">
        <v>1554</v>
      </c>
      <c r="H465" s="17" t="s">
        <v>339</v>
      </c>
      <c r="I465" s="26">
        <v>45239</v>
      </c>
      <c r="J465" s="34">
        <f>SUM(Assumptions!M482:P482)</f>
        <v>188</v>
      </c>
    </row>
    <row r="466" spans="2:10" ht="14.25" customHeight="1" x14ac:dyDescent="0.25">
      <c r="B466" s="10" t="s">
        <v>1094</v>
      </c>
      <c r="C466" s="8" t="s">
        <v>696</v>
      </c>
      <c r="D466" s="8" t="s">
        <v>1234</v>
      </c>
      <c r="E466" s="10" t="s">
        <v>10</v>
      </c>
      <c r="F466" s="10" t="s">
        <v>11</v>
      </c>
      <c r="G466" s="29" t="s">
        <v>1553</v>
      </c>
      <c r="H466" s="24" t="s">
        <v>345</v>
      </c>
      <c r="I466" s="26">
        <v>45253</v>
      </c>
      <c r="J466" s="34">
        <f>SUM(Assumptions!M483:P483)</f>
        <v>216</v>
      </c>
    </row>
    <row r="467" spans="2:10" ht="14.25" customHeight="1" x14ac:dyDescent="0.25">
      <c r="B467" s="10" t="s">
        <v>1095</v>
      </c>
      <c r="C467" s="8" t="s">
        <v>697</v>
      </c>
      <c r="D467" s="8" t="s">
        <v>1510</v>
      </c>
      <c r="E467" s="10" t="s">
        <v>337</v>
      </c>
      <c r="F467" s="10" t="s">
        <v>24</v>
      </c>
      <c r="G467" s="29" t="s">
        <v>1552</v>
      </c>
      <c r="H467" s="10" t="s">
        <v>33</v>
      </c>
      <c r="I467" s="26">
        <v>45267</v>
      </c>
      <c r="J467" s="34">
        <f>SUM(Assumptions!M484:P484)</f>
        <v>213</v>
      </c>
    </row>
    <row r="468" spans="2:10" ht="14.25" customHeight="1" x14ac:dyDescent="0.25">
      <c r="B468" s="10" t="s">
        <v>1096</v>
      </c>
      <c r="C468" s="8" t="s">
        <v>698</v>
      </c>
      <c r="D468" s="8" t="s">
        <v>1511</v>
      </c>
      <c r="E468" s="23" t="s">
        <v>338</v>
      </c>
      <c r="F468" s="10" t="s">
        <v>11</v>
      </c>
      <c r="G468" s="30" t="s">
        <v>12</v>
      </c>
      <c r="H468" s="10" t="s">
        <v>13</v>
      </c>
      <c r="I468" s="26">
        <v>45281</v>
      </c>
      <c r="J468" s="34">
        <f>SUM(Assumptions!M485:P485)</f>
        <v>188</v>
      </c>
    </row>
    <row r="469" spans="2:10" ht="14.25" customHeight="1" x14ac:dyDescent="0.25">
      <c r="B469" s="10" t="s">
        <v>1097</v>
      </c>
      <c r="C469" s="8" t="s">
        <v>699</v>
      </c>
      <c r="D469" s="8" t="s">
        <v>1512</v>
      </c>
      <c r="E469" s="23" t="s">
        <v>338</v>
      </c>
      <c r="F469" s="10" t="s">
        <v>24</v>
      </c>
      <c r="G469" s="30" t="s">
        <v>12</v>
      </c>
      <c r="H469" s="10" t="s">
        <v>19</v>
      </c>
      <c r="I469" s="26">
        <v>45302</v>
      </c>
      <c r="J469" s="34">
        <f>SUM(Assumptions!M486:P486)</f>
        <v>167</v>
      </c>
    </row>
    <row r="470" spans="2:10" ht="14.25" customHeight="1" x14ac:dyDescent="0.25">
      <c r="B470" s="10" t="s">
        <v>1098</v>
      </c>
      <c r="C470" s="8" t="s">
        <v>700</v>
      </c>
      <c r="D470" s="8" t="s">
        <v>1513</v>
      </c>
      <c r="E470" s="24" t="s">
        <v>335</v>
      </c>
      <c r="F470" s="10" t="s">
        <v>11</v>
      </c>
      <c r="G470" s="29" t="s">
        <v>1552</v>
      </c>
      <c r="H470" s="10" t="s">
        <v>43</v>
      </c>
      <c r="I470" s="26">
        <v>45316</v>
      </c>
      <c r="J470" s="34">
        <f>SUM(Assumptions!M487:P487)</f>
        <v>233</v>
      </c>
    </row>
    <row r="471" spans="2:10" ht="14.25" customHeight="1" x14ac:dyDescent="0.25">
      <c r="B471" s="10" t="s">
        <v>1099</v>
      </c>
      <c r="C471" s="8" t="s">
        <v>701</v>
      </c>
      <c r="D471" s="8" t="s">
        <v>1235</v>
      </c>
      <c r="E471" s="10" t="s">
        <v>335</v>
      </c>
      <c r="F471" s="10" t="s">
        <v>24</v>
      </c>
      <c r="G471" s="29" t="s">
        <v>1555</v>
      </c>
      <c r="H471" s="17" t="s">
        <v>339</v>
      </c>
      <c r="I471" s="26">
        <v>45330</v>
      </c>
      <c r="J471" s="34">
        <f>SUM(Assumptions!M488:P488)</f>
        <v>189</v>
      </c>
    </row>
    <row r="472" spans="2:10" ht="14.25" customHeight="1" x14ac:dyDescent="0.25">
      <c r="B472" s="10" t="s">
        <v>1100</v>
      </c>
      <c r="C472" s="8" t="s">
        <v>702</v>
      </c>
      <c r="D472" s="8" t="s">
        <v>1514</v>
      </c>
      <c r="E472" s="23" t="s">
        <v>342</v>
      </c>
      <c r="F472" s="10" t="s">
        <v>11</v>
      </c>
      <c r="G472" s="29" t="s">
        <v>1557</v>
      </c>
      <c r="H472" s="24" t="s">
        <v>345</v>
      </c>
      <c r="I472" s="26">
        <v>45344</v>
      </c>
      <c r="J472" s="34">
        <f>SUM(Assumptions!M489:P489)</f>
        <v>215</v>
      </c>
    </row>
    <row r="473" spans="2:10" ht="14.25" customHeight="1" x14ac:dyDescent="0.25">
      <c r="B473" s="10" t="s">
        <v>1101</v>
      </c>
      <c r="C473" s="8" t="s">
        <v>703</v>
      </c>
      <c r="D473" s="8" t="s">
        <v>1515</v>
      </c>
      <c r="E473" s="24" t="s">
        <v>342</v>
      </c>
      <c r="F473" s="10" t="s">
        <v>24</v>
      </c>
      <c r="G473" s="29" t="s">
        <v>1560</v>
      </c>
      <c r="H473" s="10" t="s">
        <v>33</v>
      </c>
      <c r="I473" s="26">
        <v>45358</v>
      </c>
      <c r="J473" s="34">
        <f>SUM(Assumptions!M490:P490)</f>
        <v>222</v>
      </c>
    </row>
    <row r="474" spans="2:10" ht="14.25" customHeight="1" x14ac:dyDescent="0.25">
      <c r="B474" s="10" t="s">
        <v>1102</v>
      </c>
      <c r="C474" s="8" t="s">
        <v>704</v>
      </c>
      <c r="D474" s="8" t="s">
        <v>1516</v>
      </c>
      <c r="E474" s="23" t="s">
        <v>10</v>
      </c>
      <c r="F474" s="10" t="s">
        <v>11</v>
      </c>
      <c r="G474" s="29" t="s">
        <v>1553</v>
      </c>
      <c r="H474" s="10" t="s">
        <v>13</v>
      </c>
      <c r="I474" s="26">
        <v>45372</v>
      </c>
      <c r="J474" s="34">
        <f>SUM(Assumptions!M491:P491)</f>
        <v>235</v>
      </c>
    </row>
    <row r="475" spans="2:10" ht="14.25" customHeight="1" x14ac:dyDescent="0.25">
      <c r="B475" s="10" t="s">
        <v>1103</v>
      </c>
      <c r="C475" s="8" t="s">
        <v>705</v>
      </c>
      <c r="D475" s="8" t="s">
        <v>1236</v>
      </c>
      <c r="E475" s="10" t="s">
        <v>17</v>
      </c>
      <c r="F475" s="10" t="s">
        <v>24</v>
      </c>
      <c r="G475" s="29" t="s">
        <v>1556</v>
      </c>
      <c r="H475" s="10" t="s">
        <v>19</v>
      </c>
      <c r="I475" s="26">
        <v>45386</v>
      </c>
      <c r="J475" s="34">
        <f>SUM(Assumptions!M492:P492)</f>
        <v>215</v>
      </c>
    </row>
    <row r="476" spans="2:10" ht="14.25" customHeight="1" x14ac:dyDescent="0.25">
      <c r="B476" s="10" t="s">
        <v>1104</v>
      </c>
      <c r="C476" s="8" t="s">
        <v>706</v>
      </c>
      <c r="D476" s="8" t="s">
        <v>1517</v>
      </c>
      <c r="E476" s="10" t="s">
        <v>10</v>
      </c>
      <c r="F476" s="10" t="s">
        <v>11</v>
      </c>
      <c r="G476" s="29" t="s">
        <v>1558</v>
      </c>
      <c r="H476" s="10" t="s">
        <v>43</v>
      </c>
      <c r="I476" s="26">
        <v>45400</v>
      </c>
      <c r="J476" s="34">
        <f>SUM(Assumptions!M493:P493)</f>
        <v>248</v>
      </c>
    </row>
    <row r="477" spans="2:10" ht="14.25" customHeight="1" x14ac:dyDescent="0.25">
      <c r="B477" s="10" t="s">
        <v>1105</v>
      </c>
      <c r="C477" s="8" t="s">
        <v>707</v>
      </c>
      <c r="D477" s="8" t="s">
        <v>1518</v>
      </c>
      <c r="E477" s="10" t="s">
        <v>23</v>
      </c>
      <c r="F477" s="10" t="s">
        <v>24</v>
      </c>
      <c r="G477" s="29" t="s">
        <v>1561</v>
      </c>
      <c r="H477" s="17" t="s">
        <v>339</v>
      </c>
      <c r="I477" s="26">
        <v>45414</v>
      </c>
      <c r="J477" s="34">
        <f>SUM(Assumptions!M494:P494)</f>
        <v>196</v>
      </c>
    </row>
    <row r="478" spans="2:10" ht="14.25" customHeight="1" x14ac:dyDescent="0.25">
      <c r="B478" s="10" t="s">
        <v>1106</v>
      </c>
      <c r="C478" s="8" t="s">
        <v>1248</v>
      </c>
      <c r="D478" s="8" t="s">
        <v>1519</v>
      </c>
      <c r="E478" s="23" t="s">
        <v>17</v>
      </c>
      <c r="F478" s="10" t="s">
        <v>11</v>
      </c>
      <c r="G478" s="29" t="s">
        <v>1554</v>
      </c>
      <c r="H478" s="24" t="s">
        <v>345</v>
      </c>
      <c r="I478" s="26">
        <v>45428</v>
      </c>
      <c r="J478" s="34">
        <f>SUM(Assumptions!M495:P495)</f>
        <v>213</v>
      </c>
    </row>
    <row r="479" spans="2:10" ht="14.25" customHeight="1" x14ac:dyDescent="0.25">
      <c r="B479" s="10" t="s">
        <v>1107</v>
      </c>
      <c r="C479" s="8" t="s">
        <v>708</v>
      </c>
      <c r="D479" s="8" t="s">
        <v>1520</v>
      </c>
      <c r="E479" s="23" t="s">
        <v>337</v>
      </c>
      <c r="F479" s="10" t="s">
        <v>24</v>
      </c>
      <c r="G479" s="29" t="s">
        <v>1559</v>
      </c>
      <c r="H479" s="10" t="s">
        <v>33</v>
      </c>
      <c r="I479" s="26">
        <v>45442</v>
      </c>
      <c r="J479" s="34">
        <f>SUM(Assumptions!M496:P496)</f>
        <v>219</v>
      </c>
    </row>
    <row r="480" spans="2:10" ht="14.25" customHeight="1" x14ac:dyDescent="0.25">
      <c r="B480" s="10" t="s">
        <v>1108</v>
      </c>
      <c r="C480" s="8" t="s">
        <v>709</v>
      </c>
      <c r="D480" s="8" t="s">
        <v>1237</v>
      </c>
      <c r="E480" s="24" t="s">
        <v>338</v>
      </c>
      <c r="F480" s="10" t="s">
        <v>11</v>
      </c>
      <c r="G480" s="29" t="s">
        <v>1554</v>
      </c>
      <c r="H480" s="10" t="s">
        <v>13</v>
      </c>
      <c r="I480" s="26">
        <v>45449</v>
      </c>
      <c r="J480" s="34">
        <f>SUM(Assumptions!M497:P497)</f>
        <v>226</v>
      </c>
    </row>
    <row r="481" spans="2:10" ht="14.25" customHeight="1" x14ac:dyDescent="0.25">
      <c r="B481" s="10" t="s">
        <v>1109</v>
      </c>
      <c r="C481" s="8" t="s">
        <v>710</v>
      </c>
      <c r="D481" s="8" t="s">
        <v>1521</v>
      </c>
      <c r="E481" s="10" t="s">
        <v>335</v>
      </c>
      <c r="F481" s="10" t="s">
        <v>24</v>
      </c>
      <c r="G481" s="29" t="s">
        <v>1559</v>
      </c>
      <c r="H481" s="10" t="s">
        <v>19</v>
      </c>
      <c r="I481" s="26">
        <v>45463</v>
      </c>
      <c r="J481" s="34">
        <f>SUM(Assumptions!M498:P498)</f>
        <v>214</v>
      </c>
    </row>
    <row r="482" spans="2:10" ht="14.25" customHeight="1" x14ac:dyDescent="0.25">
      <c r="B482" s="10" t="s">
        <v>1110</v>
      </c>
      <c r="C482" s="8" t="s">
        <v>711</v>
      </c>
      <c r="D482" s="8" t="s">
        <v>1522</v>
      </c>
      <c r="E482" s="23" t="s">
        <v>342</v>
      </c>
      <c r="F482" s="10" t="s">
        <v>11</v>
      </c>
      <c r="G482" s="29" t="s">
        <v>1553</v>
      </c>
      <c r="H482" s="10" t="s">
        <v>43</v>
      </c>
      <c r="I482" s="26">
        <v>45477</v>
      </c>
      <c r="J482" s="34">
        <f>SUM(Assumptions!M499:P499)</f>
        <v>230</v>
      </c>
    </row>
    <row r="483" spans="2:10" ht="14.25" customHeight="1" x14ac:dyDescent="0.25">
      <c r="B483" s="10" t="s">
        <v>1111</v>
      </c>
      <c r="C483" s="8" t="s">
        <v>712</v>
      </c>
      <c r="D483" s="8" t="s">
        <v>1523</v>
      </c>
      <c r="E483" s="24" t="s">
        <v>23</v>
      </c>
      <c r="F483" s="10" t="s">
        <v>24</v>
      </c>
      <c r="G483" s="29" t="s">
        <v>1556</v>
      </c>
      <c r="H483" s="17" t="s">
        <v>339</v>
      </c>
      <c r="I483" s="26">
        <v>45491</v>
      </c>
      <c r="J483" s="34">
        <f>SUM(Assumptions!M500:P500)</f>
        <v>187</v>
      </c>
    </row>
    <row r="484" spans="2:10" ht="14.25" customHeight="1" x14ac:dyDescent="0.25">
      <c r="B484" s="10" t="s">
        <v>1112</v>
      </c>
      <c r="C484" s="8" t="s">
        <v>713</v>
      </c>
      <c r="D484" s="8" t="s">
        <v>1524</v>
      </c>
      <c r="E484" s="23" t="s">
        <v>17</v>
      </c>
      <c r="F484" s="10" t="s">
        <v>11</v>
      </c>
      <c r="G484" s="29" t="s">
        <v>1558</v>
      </c>
      <c r="H484" s="24" t="s">
        <v>345</v>
      </c>
      <c r="I484" s="26">
        <v>45505</v>
      </c>
      <c r="J484" s="34">
        <f>SUM(Assumptions!M501:P501)</f>
        <v>223</v>
      </c>
    </row>
    <row r="485" spans="2:10" ht="14.25" customHeight="1" x14ac:dyDescent="0.25">
      <c r="B485" s="10" t="s">
        <v>1113</v>
      </c>
      <c r="C485" s="8" t="s">
        <v>714</v>
      </c>
      <c r="D485" s="8" t="s">
        <v>1525</v>
      </c>
      <c r="E485" s="10" t="s">
        <v>10</v>
      </c>
      <c r="F485" s="10" t="s">
        <v>24</v>
      </c>
      <c r="G485" s="29" t="s">
        <v>1561</v>
      </c>
      <c r="H485" s="10" t="s">
        <v>33</v>
      </c>
      <c r="I485" s="26">
        <v>45519</v>
      </c>
      <c r="J485" s="34">
        <f>SUM(Assumptions!M502:P502)</f>
        <v>233</v>
      </c>
    </row>
    <row r="486" spans="2:10" ht="14.25" customHeight="1" x14ac:dyDescent="0.25">
      <c r="B486" s="10" t="s">
        <v>1114</v>
      </c>
      <c r="C486" s="8" t="s">
        <v>715</v>
      </c>
      <c r="D486" s="8" t="s">
        <v>1526</v>
      </c>
      <c r="E486" s="10" t="s">
        <v>343</v>
      </c>
      <c r="F486" s="10" t="s">
        <v>11</v>
      </c>
      <c r="G486" s="29" t="s">
        <v>1552</v>
      </c>
      <c r="H486" s="10" t="s">
        <v>13</v>
      </c>
      <c r="I486" s="26">
        <v>45533</v>
      </c>
      <c r="J486" s="34">
        <f>SUM(Assumptions!M503:P503)</f>
        <v>222</v>
      </c>
    </row>
    <row r="487" spans="2:10" ht="14.25" customHeight="1" x14ac:dyDescent="0.25">
      <c r="B487" s="10" t="s">
        <v>1115</v>
      </c>
      <c r="C487" s="8" t="s">
        <v>716</v>
      </c>
      <c r="D487" s="8" t="s">
        <v>1527</v>
      </c>
      <c r="E487" s="10" t="s">
        <v>340</v>
      </c>
      <c r="F487" s="10" t="s">
        <v>24</v>
      </c>
      <c r="G487" s="29" t="s">
        <v>1555</v>
      </c>
      <c r="H487" s="10" t="s">
        <v>19</v>
      </c>
      <c r="I487" s="26">
        <v>45540</v>
      </c>
      <c r="J487" s="34">
        <f>SUM(Assumptions!M504:P504)</f>
        <v>202</v>
      </c>
    </row>
    <row r="488" spans="2:10" ht="14.25" customHeight="1" x14ac:dyDescent="0.25">
      <c r="B488" s="10" t="s">
        <v>1116</v>
      </c>
      <c r="C488" s="8" t="s">
        <v>717</v>
      </c>
      <c r="D488" s="8" t="s">
        <v>1528</v>
      </c>
      <c r="E488" s="23" t="s">
        <v>344</v>
      </c>
      <c r="F488" s="10" t="s">
        <v>11</v>
      </c>
      <c r="G488" s="29" t="s">
        <v>1557</v>
      </c>
      <c r="H488" s="10" t="s">
        <v>43</v>
      </c>
      <c r="I488" s="26">
        <v>45554</v>
      </c>
      <c r="J488" s="34">
        <f>SUM(Assumptions!M505:P505)</f>
        <v>235</v>
      </c>
    </row>
    <row r="489" spans="2:10" ht="14.25" customHeight="1" x14ac:dyDescent="0.25">
      <c r="B489" s="10" t="s">
        <v>1117</v>
      </c>
      <c r="C489" s="8" t="s">
        <v>718</v>
      </c>
      <c r="D489" s="8" t="s">
        <v>1529</v>
      </c>
      <c r="E489" s="23" t="s">
        <v>335</v>
      </c>
      <c r="F489" s="10" t="s">
        <v>24</v>
      </c>
      <c r="G489" s="29" t="s">
        <v>1560</v>
      </c>
      <c r="H489" s="17" t="s">
        <v>339</v>
      </c>
      <c r="I489" s="26">
        <v>45575</v>
      </c>
      <c r="J489" s="34">
        <f>SUM(Assumptions!M506:P506)</f>
        <v>197</v>
      </c>
    </row>
    <row r="490" spans="2:10" ht="14.25" customHeight="1" x14ac:dyDescent="0.25">
      <c r="B490" s="10" t="s">
        <v>1118</v>
      </c>
      <c r="C490" s="8" t="s">
        <v>719</v>
      </c>
      <c r="D490" s="8" t="s">
        <v>1530</v>
      </c>
      <c r="E490" s="24" t="s">
        <v>343</v>
      </c>
      <c r="F490" s="10" t="s">
        <v>11</v>
      </c>
      <c r="G490" s="30" t="s">
        <v>12</v>
      </c>
      <c r="H490" s="24" t="s">
        <v>345</v>
      </c>
      <c r="I490" s="26">
        <v>45589</v>
      </c>
      <c r="J490" s="34">
        <f>SUM(Assumptions!M507:P507)</f>
        <v>166</v>
      </c>
    </row>
    <row r="491" spans="2:10" ht="14.25" customHeight="1" x14ac:dyDescent="0.25">
      <c r="B491" s="10" t="s">
        <v>1119</v>
      </c>
      <c r="C491" s="8" t="s">
        <v>720</v>
      </c>
      <c r="D491" s="8" t="s">
        <v>1531</v>
      </c>
      <c r="E491" s="10" t="s">
        <v>340</v>
      </c>
      <c r="F491" s="10" t="s">
        <v>11</v>
      </c>
      <c r="G491" s="30" t="s">
        <v>12</v>
      </c>
      <c r="H491" s="10" t="s">
        <v>33</v>
      </c>
      <c r="I491" s="26">
        <v>45603</v>
      </c>
      <c r="J491" s="34">
        <f>SUM(Assumptions!M508:P508)</f>
        <v>191</v>
      </c>
    </row>
    <row r="492" spans="2:10" ht="14.25" customHeight="1" x14ac:dyDescent="0.25">
      <c r="B492" s="10" t="s">
        <v>1120</v>
      </c>
      <c r="C492" s="8" t="s">
        <v>721</v>
      </c>
      <c r="D492" s="8" t="s">
        <v>1532</v>
      </c>
      <c r="E492" s="23" t="s">
        <v>344</v>
      </c>
      <c r="F492" s="10" t="s">
        <v>11</v>
      </c>
      <c r="G492" s="29" t="s">
        <v>1552</v>
      </c>
      <c r="H492" s="10" t="s">
        <v>13</v>
      </c>
      <c r="I492" s="26">
        <v>45617</v>
      </c>
      <c r="J492" s="34">
        <f>SUM(Assumptions!M509:P509)</f>
        <v>221</v>
      </c>
    </row>
    <row r="493" spans="2:10" ht="14.25" customHeight="1" x14ac:dyDescent="0.25">
      <c r="B493" s="10" t="s">
        <v>1121</v>
      </c>
      <c r="C493" s="8" t="s">
        <v>722</v>
      </c>
      <c r="D493" s="8" t="s">
        <v>1533</v>
      </c>
      <c r="E493" s="23" t="s">
        <v>337</v>
      </c>
      <c r="F493" s="10" t="s">
        <v>11</v>
      </c>
      <c r="G493" s="29" t="s">
        <v>1553</v>
      </c>
      <c r="H493" s="10" t="s">
        <v>19</v>
      </c>
      <c r="I493" s="26">
        <v>45631</v>
      </c>
      <c r="J493" s="34">
        <f>SUM(Assumptions!M510:P510)</f>
        <v>231</v>
      </c>
    </row>
    <row r="494" spans="2:10" ht="14.25" customHeight="1" x14ac:dyDescent="0.25">
      <c r="B494" s="10" t="s">
        <v>1122</v>
      </c>
      <c r="C494" s="8" t="s">
        <v>723</v>
      </c>
      <c r="D494" s="8" t="s">
        <v>1534</v>
      </c>
      <c r="E494" s="24" t="s">
        <v>338</v>
      </c>
      <c r="F494" s="10" t="s">
        <v>11</v>
      </c>
      <c r="G494" s="29" t="s">
        <v>1554</v>
      </c>
      <c r="H494" s="10" t="s">
        <v>43</v>
      </c>
      <c r="I494" s="26">
        <v>45645</v>
      </c>
      <c r="J494" s="34">
        <f>SUM(Assumptions!M511:P511)</f>
        <v>230</v>
      </c>
    </row>
    <row r="495" spans="2:10" ht="14.25" customHeight="1" x14ac:dyDescent="0.25">
      <c r="B495" s="10" t="s">
        <v>1123</v>
      </c>
      <c r="C495" s="8" t="s">
        <v>724</v>
      </c>
      <c r="D495" s="8" t="s">
        <v>1535</v>
      </c>
      <c r="E495" s="10" t="s">
        <v>335</v>
      </c>
      <c r="F495" s="10" t="s">
        <v>11</v>
      </c>
      <c r="G495" s="29" t="s">
        <v>1555</v>
      </c>
      <c r="H495" s="17" t="s">
        <v>339</v>
      </c>
      <c r="I495" s="26">
        <v>45666</v>
      </c>
      <c r="J495" s="34">
        <f>SUM(Assumptions!M512:P512)</f>
        <v>212</v>
      </c>
    </row>
    <row r="496" spans="2:10" ht="14.25" customHeight="1" x14ac:dyDescent="0.25">
      <c r="B496" s="10" t="s">
        <v>1124</v>
      </c>
      <c r="C496" s="8" t="s">
        <v>725</v>
      </c>
      <c r="D496" s="8" t="s">
        <v>1536</v>
      </c>
      <c r="E496" s="23" t="s">
        <v>343</v>
      </c>
      <c r="F496" s="10" t="s">
        <v>11</v>
      </c>
      <c r="G496" s="29" t="s">
        <v>1556</v>
      </c>
      <c r="H496" s="24" t="s">
        <v>345</v>
      </c>
      <c r="I496" s="26">
        <v>45680</v>
      </c>
      <c r="J496" s="34">
        <f>SUM(Assumptions!M513:P513)</f>
        <v>208</v>
      </c>
    </row>
    <row r="497" spans="2:10" ht="14.25" customHeight="1" x14ac:dyDescent="0.25">
      <c r="B497" s="10" t="s">
        <v>1125</v>
      </c>
      <c r="C497" s="8" t="s">
        <v>726</v>
      </c>
      <c r="D497" s="8" t="s">
        <v>1537</v>
      </c>
      <c r="E497" s="24" t="s">
        <v>340</v>
      </c>
      <c r="F497" s="10" t="s">
        <v>11</v>
      </c>
      <c r="G497" s="29" t="s">
        <v>1559</v>
      </c>
      <c r="H497" s="10" t="s">
        <v>33</v>
      </c>
      <c r="I497" s="26">
        <v>45694</v>
      </c>
      <c r="J497" s="34">
        <f>SUM(Assumptions!M514:P514)</f>
        <v>234</v>
      </c>
    </row>
    <row r="498" spans="2:10" ht="14.25" customHeight="1" x14ac:dyDescent="0.25">
      <c r="B498" s="10" t="s">
        <v>1126</v>
      </c>
      <c r="C498" s="8" t="s">
        <v>1249</v>
      </c>
      <c r="D498" s="8" t="s">
        <v>1538</v>
      </c>
      <c r="E498" s="23" t="s">
        <v>342</v>
      </c>
      <c r="F498" s="10" t="s">
        <v>11</v>
      </c>
      <c r="G498" s="29" t="s">
        <v>1557</v>
      </c>
      <c r="H498" s="10" t="s">
        <v>13</v>
      </c>
      <c r="I498" s="26">
        <v>45708</v>
      </c>
      <c r="J498" s="34">
        <f>SUM(Assumptions!M515:P515)</f>
        <v>234</v>
      </c>
    </row>
    <row r="499" spans="2:10" ht="14.25" customHeight="1" x14ac:dyDescent="0.25">
      <c r="B499" s="10" t="s">
        <v>1127</v>
      </c>
      <c r="C499" s="8" t="s">
        <v>727</v>
      </c>
      <c r="D499" s="8" t="s">
        <v>1539</v>
      </c>
      <c r="E499" s="10" t="s">
        <v>23</v>
      </c>
      <c r="F499" s="10" t="s">
        <v>11</v>
      </c>
      <c r="G499" s="29" t="s">
        <v>1558</v>
      </c>
      <c r="H499" s="10" t="s">
        <v>19</v>
      </c>
      <c r="I499" s="26">
        <v>45722</v>
      </c>
      <c r="J499" s="34">
        <f>SUM(Assumptions!M516:P516)</f>
        <v>239</v>
      </c>
    </row>
    <row r="500" spans="2:10" ht="14.25" customHeight="1" x14ac:dyDescent="0.25">
      <c r="B500" s="10" t="s">
        <v>1128</v>
      </c>
      <c r="C500" s="8" t="s">
        <v>728</v>
      </c>
      <c r="D500" s="8" t="s">
        <v>1540</v>
      </c>
      <c r="E500" s="10" t="s">
        <v>17</v>
      </c>
      <c r="F500" s="10" t="s">
        <v>11</v>
      </c>
      <c r="G500" s="29" t="s">
        <v>1560</v>
      </c>
      <c r="H500" s="10" t="s">
        <v>43</v>
      </c>
      <c r="I500" s="26">
        <v>45736</v>
      </c>
      <c r="J500" s="34">
        <f>SUM(Assumptions!M517:P517)</f>
        <v>247</v>
      </c>
    </row>
    <row r="501" spans="2:10" ht="14.25" customHeight="1" x14ac:dyDescent="0.25">
      <c r="B501" s="10" t="s">
        <v>1129</v>
      </c>
      <c r="C501" s="8" t="s">
        <v>729</v>
      </c>
      <c r="D501" s="8" t="s">
        <v>1541</v>
      </c>
      <c r="E501" s="10" t="s">
        <v>10</v>
      </c>
      <c r="F501" s="10" t="s">
        <v>11</v>
      </c>
      <c r="G501" s="29" t="s">
        <v>1561</v>
      </c>
      <c r="H501" s="17" t="s">
        <v>339</v>
      </c>
      <c r="I501" s="26">
        <v>45750</v>
      </c>
      <c r="J501" s="34">
        <f>SUM(Assumptions!M518:P518)</f>
        <v>226</v>
      </c>
    </row>
    <row r="502" spans="2:10" ht="14.25" customHeight="1" x14ac:dyDescent="0.25">
      <c r="B502" s="10" t="s">
        <v>1130</v>
      </c>
      <c r="C502" s="8" t="s">
        <v>730</v>
      </c>
      <c r="D502" s="8" t="s">
        <v>1542</v>
      </c>
      <c r="E502" s="23" t="s">
        <v>344</v>
      </c>
      <c r="F502" s="10" t="s">
        <v>11</v>
      </c>
      <c r="G502" s="29" t="s">
        <v>1561</v>
      </c>
      <c r="H502" s="24" t="s">
        <v>345</v>
      </c>
      <c r="I502" s="26">
        <v>45764</v>
      </c>
      <c r="J502" s="34">
        <f>SUM(Assumptions!M519:P519)</f>
        <v>216</v>
      </c>
    </row>
    <row r="503" spans="2:10" ht="14.25" customHeight="1" x14ac:dyDescent="0.25">
      <c r="B503" s="10" t="s">
        <v>1131</v>
      </c>
      <c r="C503" s="8" t="s">
        <v>731</v>
      </c>
      <c r="D503" s="8" t="s">
        <v>1543</v>
      </c>
      <c r="E503" s="23" t="s">
        <v>344</v>
      </c>
      <c r="F503" s="10" t="s">
        <v>11</v>
      </c>
      <c r="G503" s="29" t="s">
        <v>1560</v>
      </c>
      <c r="H503" s="10" t="s">
        <v>33</v>
      </c>
      <c r="I503" s="26">
        <v>45785</v>
      </c>
      <c r="J503" s="34">
        <f>SUM(Assumptions!M520:P520)</f>
        <v>242</v>
      </c>
    </row>
    <row r="504" spans="2:10" ht="14.25" customHeight="1" x14ac:dyDescent="0.25">
      <c r="B504" s="10" t="s">
        <v>1132</v>
      </c>
      <c r="C504" s="8" t="s">
        <v>732</v>
      </c>
      <c r="D504" s="8" t="s">
        <v>1544</v>
      </c>
      <c r="E504" s="10" t="s">
        <v>10</v>
      </c>
      <c r="F504" s="10" t="s">
        <v>11</v>
      </c>
      <c r="G504" s="29" t="s">
        <v>1558</v>
      </c>
      <c r="H504" s="10" t="s">
        <v>13</v>
      </c>
      <c r="I504" s="26">
        <v>45799</v>
      </c>
      <c r="J504" s="34">
        <f>SUM(Assumptions!M521:P521)</f>
        <v>244</v>
      </c>
    </row>
    <row r="505" spans="2:10" ht="14.25" customHeight="1" x14ac:dyDescent="0.25">
      <c r="B505" s="10" t="s">
        <v>1133</v>
      </c>
      <c r="C505" s="8" t="s">
        <v>733</v>
      </c>
      <c r="D505" s="8" t="s">
        <v>1545</v>
      </c>
      <c r="E505" s="24" t="s">
        <v>17</v>
      </c>
      <c r="F505" s="10" t="s">
        <v>11</v>
      </c>
      <c r="G505" s="29" t="s">
        <v>1557</v>
      </c>
      <c r="H505" s="10" t="s">
        <v>19</v>
      </c>
      <c r="I505" s="26">
        <v>45820</v>
      </c>
      <c r="J505" s="34">
        <f>SUM(Assumptions!M522:P522)</f>
        <v>243</v>
      </c>
    </row>
    <row r="506" spans="2:10" ht="14.25" customHeight="1" x14ac:dyDescent="0.25">
      <c r="B506" s="10" t="s">
        <v>1134</v>
      </c>
      <c r="C506" s="8" t="s">
        <v>734</v>
      </c>
      <c r="D506" s="8" t="s">
        <v>1238</v>
      </c>
      <c r="E506" s="10" t="s">
        <v>23</v>
      </c>
      <c r="F506" s="10" t="s">
        <v>11</v>
      </c>
      <c r="G506" s="29" t="s">
        <v>1559</v>
      </c>
      <c r="H506" s="10" t="s">
        <v>43</v>
      </c>
      <c r="I506" s="26">
        <v>45834</v>
      </c>
      <c r="J506" s="34">
        <f>SUM(Assumptions!M523:P523)</f>
        <v>236</v>
      </c>
    </row>
  </sheetData>
  <mergeCells count="2">
    <mergeCell ref="B2:J2"/>
    <mergeCell ref="I4:J4"/>
  </mergeCells>
  <phoneticPr fontId="27" type="noConversion"/>
  <conditionalFormatting sqref="B1:B1048576">
    <cfRule type="duplicateValues" dxfId="34" priority="5"/>
  </conditionalFormatting>
  <conditionalFormatting sqref="C7:D506">
    <cfRule type="duplicateValues" dxfId="33" priority="64"/>
  </conditionalFormatting>
  <conditionalFormatting sqref="C7:C506">
    <cfRule type="duplicateValues" dxfId="32" priority="65"/>
  </conditionalFormatting>
  <pageMargins left="0.7" right="0.7" top="0.75" bottom="0.75" header="0" footer="0"/>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124" r:id="rId4" name="Button 4">
              <controlPr defaultSize="0" print="0" autoFill="0" autoPict="0" macro="[0]!ShowInputForm">
                <anchor moveWithCells="1" sizeWithCells="1">
                  <from>
                    <xdr:col>1</xdr:col>
                    <xdr:colOff>0</xdr:colOff>
                    <xdr:row>3</xdr:row>
                    <xdr:rowOff>133350</xdr:rowOff>
                  </from>
                  <to>
                    <xdr:col>1</xdr:col>
                    <xdr:colOff>895350</xdr:colOff>
                    <xdr:row>4</xdr:row>
                    <xdr:rowOff>161925</xdr:rowOff>
                  </to>
                </anchor>
              </controlPr>
            </control>
          </mc:Choice>
        </mc:AlternateContent>
        <mc:AlternateContent xmlns:mc="http://schemas.openxmlformats.org/markup-compatibility/2006">
          <mc:Choice Requires="x14">
            <control shapeId="5125" r:id="rId5" name="Button 5">
              <controlPr defaultSize="0" print="0" autoFill="0" autoPict="0" macro="[0]!ShowGetDataForm">
                <anchor moveWithCells="1" sizeWithCells="1">
                  <from>
                    <xdr:col>2</xdr:col>
                    <xdr:colOff>19050</xdr:colOff>
                    <xdr:row>3</xdr:row>
                    <xdr:rowOff>133350</xdr:rowOff>
                  </from>
                  <to>
                    <xdr:col>2</xdr:col>
                    <xdr:colOff>914400</xdr:colOff>
                    <xdr:row>4</xdr:row>
                    <xdr:rowOff>161925</xdr:rowOff>
                  </to>
                </anchor>
              </controlPr>
            </control>
          </mc:Choice>
        </mc:AlternateContent>
      </controls>
    </mc:Choice>
  </mc:AlternateContent>
  <tableParts count="1">
    <tablePart r:id="rId6"/>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2E8024-1CAD-4432-9AA4-B785D3C97749}">
  <sheetPr codeName="Sheet4"/>
  <dimension ref="A1:D37"/>
  <sheetViews>
    <sheetView topLeftCell="A20" workbookViewId="0">
      <selection activeCell="F34" sqref="F34"/>
    </sheetView>
  </sheetViews>
  <sheetFormatPr defaultRowHeight="15" x14ac:dyDescent="0.25"/>
  <cols>
    <col min="1" max="1" width="11" customWidth="1"/>
    <col min="3" max="3" width="14.7109375" customWidth="1"/>
    <col min="4" max="4" width="19.42578125" customWidth="1"/>
    <col min="7" max="7" width="17" bestFit="1" customWidth="1"/>
  </cols>
  <sheetData>
    <row r="1" spans="1:4" x14ac:dyDescent="0.25">
      <c r="A1" s="38" t="s">
        <v>1567</v>
      </c>
      <c r="B1" s="38" t="s">
        <v>1565</v>
      </c>
      <c r="C1" t="s">
        <v>1563</v>
      </c>
      <c r="D1" t="s">
        <v>1566</v>
      </c>
    </row>
    <row r="2" spans="1:4" x14ac:dyDescent="0.25">
      <c r="A2">
        <f>MONTH(EventSummary[[#This Row],[Month]])</f>
        <v>1</v>
      </c>
      <c r="B2" s="37">
        <v>44927</v>
      </c>
      <c r="C2">
        <v>7</v>
      </c>
      <c r="D2" s="35">
        <v>1468</v>
      </c>
    </row>
    <row r="3" spans="1:4" x14ac:dyDescent="0.25">
      <c r="A3">
        <f>MONTH(EventSummary[[#This Row],[Month]])</f>
        <v>2</v>
      </c>
      <c r="B3" s="37">
        <v>44958</v>
      </c>
      <c r="C3">
        <v>14</v>
      </c>
      <c r="D3" s="35">
        <v>2844</v>
      </c>
    </row>
    <row r="4" spans="1:4" x14ac:dyDescent="0.25">
      <c r="A4">
        <f>MONTH(EventSummary[[#This Row],[Month]])</f>
        <v>3</v>
      </c>
      <c r="B4" s="37">
        <v>44986</v>
      </c>
      <c r="C4">
        <v>21</v>
      </c>
      <c r="D4" s="35">
        <v>4418</v>
      </c>
    </row>
    <row r="5" spans="1:4" x14ac:dyDescent="0.25">
      <c r="A5">
        <f>MONTH(EventSummary[[#This Row],[Month]])</f>
        <v>4</v>
      </c>
      <c r="B5" s="37">
        <v>45017</v>
      </c>
      <c r="C5">
        <v>14</v>
      </c>
      <c r="D5" s="35">
        <v>2997</v>
      </c>
    </row>
    <row r="6" spans="1:4" x14ac:dyDescent="0.25">
      <c r="A6">
        <f>MONTH(EventSummary[[#This Row],[Month]])</f>
        <v>5</v>
      </c>
      <c r="B6" s="37">
        <v>45047</v>
      </c>
      <c r="C6">
        <v>14</v>
      </c>
      <c r="D6" s="35">
        <v>2988</v>
      </c>
    </row>
    <row r="7" spans="1:4" x14ac:dyDescent="0.25">
      <c r="A7">
        <f>MONTH(EventSummary[[#This Row],[Month]])</f>
        <v>6</v>
      </c>
      <c r="B7" s="37">
        <v>45078</v>
      </c>
      <c r="C7">
        <v>14</v>
      </c>
      <c r="D7" s="35">
        <v>3050</v>
      </c>
    </row>
    <row r="8" spans="1:4" x14ac:dyDescent="0.25">
      <c r="A8">
        <f>MONTH(EventSummary[[#This Row],[Month]])</f>
        <v>7</v>
      </c>
      <c r="B8" s="37">
        <v>45108</v>
      </c>
      <c r="C8">
        <v>14</v>
      </c>
      <c r="D8" s="35">
        <v>3085</v>
      </c>
    </row>
    <row r="9" spans="1:4" x14ac:dyDescent="0.25">
      <c r="A9">
        <f>MONTH(EventSummary[[#This Row],[Month]])</f>
        <v>8</v>
      </c>
      <c r="B9" s="37">
        <v>45139</v>
      </c>
      <c r="C9">
        <v>14</v>
      </c>
      <c r="D9" s="35">
        <v>2900</v>
      </c>
    </row>
    <row r="10" spans="1:4" x14ac:dyDescent="0.25">
      <c r="A10">
        <f>MONTH(EventSummary[[#This Row],[Month]])</f>
        <v>9</v>
      </c>
      <c r="B10" s="37">
        <v>45170</v>
      </c>
      <c r="C10">
        <v>14</v>
      </c>
      <c r="D10" s="35">
        <v>3053</v>
      </c>
    </row>
    <row r="11" spans="1:4" x14ac:dyDescent="0.25">
      <c r="A11">
        <f>MONTH(EventSummary[[#This Row],[Month]])</f>
        <v>10</v>
      </c>
      <c r="B11" s="37">
        <v>45200</v>
      </c>
      <c r="C11">
        <v>14</v>
      </c>
      <c r="D11" s="35">
        <v>3001</v>
      </c>
    </row>
    <row r="12" spans="1:4" x14ac:dyDescent="0.25">
      <c r="A12">
        <f>MONTH(EventSummary[[#This Row],[Month]])</f>
        <v>11</v>
      </c>
      <c r="B12" s="37">
        <v>45231</v>
      </c>
      <c r="C12">
        <v>14</v>
      </c>
      <c r="D12" s="35">
        <v>2944</v>
      </c>
    </row>
    <row r="13" spans="1:4" x14ac:dyDescent="0.25">
      <c r="A13">
        <f>MONTH(EventSummary[[#This Row],[Month]])</f>
        <v>12</v>
      </c>
      <c r="B13" s="37">
        <v>45261</v>
      </c>
      <c r="C13">
        <v>14</v>
      </c>
      <c r="D13" s="35">
        <v>2883</v>
      </c>
    </row>
    <row r="14" spans="1:4" x14ac:dyDescent="0.25">
      <c r="A14">
        <f>MONTH(EventSummary[[#This Row],[Month]])</f>
        <v>1</v>
      </c>
      <c r="B14" s="37">
        <v>45292</v>
      </c>
      <c r="C14">
        <v>14</v>
      </c>
      <c r="D14" s="35">
        <v>3052</v>
      </c>
    </row>
    <row r="15" spans="1:4" x14ac:dyDescent="0.25">
      <c r="A15">
        <f>MONTH(EventSummary[[#This Row],[Month]])</f>
        <v>2</v>
      </c>
      <c r="B15" s="37">
        <v>45323</v>
      </c>
      <c r="C15">
        <v>14</v>
      </c>
      <c r="D15" s="35">
        <v>3069</v>
      </c>
    </row>
    <row r="16" spans="1:4" x14ac:dyDescent="0.25">
      <c r="A16">
        <f>MONTH(EventSummary[[#This Row],[Month]])</f>
        <v>3</v>
      </c>
      <c r="B16" s="37">
        <v>45352</v>
      </c>
      <c r="C16">
        <v>14</v>
      </c>
      <c r="D16" s="35">
        <v>3056</v>
      </c>
    </row>
    <row r="17" spans="1:4" x14ac:dyDescent="0.25">
      <c r="A17">
        <f>MONTH(EventSummary[[#This Row],[Month]])</f>
        <v>4</v>
      </c>
      <c r="B17" s="37">
        <v>45383</v>
      </c>
      <c r="C17">
        <v>14</v>
      </c>
      <c r="D17" s="35">
        <v>2943</v>
      </c>
    </row>
    <row r="18" spans="1:4" x14ac:dyDescent="0.25">
      <c r="A18">
        <f>MONTH(EventSummary[[#This Row],[Month]])</f>
        <v>5</v>
      </c>
      <c r="B18" s="37">
        <v>45413</v>
      </c>
      <c r="C18">
        <v>21</v>
      </c>
      <c r="D18" s="35">
        <v>4409</v>
      </c>
    </row>
    <row r="19" spans="1:4" x14ac:dyDescent="0.25">
      <c r="A19">
        <f>MONTH(EventSummary[[#This Row],[Month]])</f>
        <v>6</v>
      </c>
      <c r="B19" s="37">
        <v>45444</v>
      </c>
      <c r="C19">
        <v>14</v>
      </c>
      <c r="D19" s="35">
        <v>2922</v>
      </c>
    </row>
    <row r="20" spans="1:4" x14ac:dyDescent="0.25">
      <c r="A20">
        <f>MONTH(EventSummary[[#This Row],[Month]])</f>
        <v>7</v>
      </c>
      <c r="B20" s="37">
        <v>45474</v>
      </c>
      <c r="C20">
        <v>14</v>
      </c>
      <c r="D20" s="35">
        <v>2889</v>
      </c>
    </row>
    <row r="21" spans="1:4" x14ac:dyDescent="0.25">
      <c r="A21">
        <f>MONTH(EventSummary[[#This Row],[Month]])</f>
        <v>8</v>
      </c>
      <c r="B21" s="37">
        <v>45505</v>
      </c>
      <c r="C21">
        <v>21</v>
      </c>
      <c r="D21" s="35">
        <v>4693</v>
      </c>
    </row>
    <row r="22" spans="1:4" x14ac:dyDescent="0.25">
      <c r="A22">
        <f>MONTH(EventSummary[[#This Row],[Month]])</f>
        <v>9</v>
      </c>
      <c r="B22" s="37">
        <v>45536</v>
      </c>
      <c r="C22">
        <v>14</v>
      </c>
      <c r="D22" s="35">
        <v>3042</v>
      </c>
    </row>
    <row r="23" spans="1:4" x14ac:dyDescent="0.25">
      <c r="A23">
        <f>MONTH(EventSummary[[#This Row],[Month]])</f>
        <v>10</v>
      </c>
      <c r="B23" s="37">
        <v>45566</v>
      </c>
      <c r="C23">
        <v>14</v>
      </c>
      <c r="D23" s="35">
        <v>2803</v>
      </c>
    </row>
    <row r="24" spans="1:4" x14ac:dyDescent="0.25">
      <c r="A24">
        <f>MONTH(EventSummary[[#This Row],[Month]])</f>
        <v>11</v>
      </c>
      <c r="B24" s="37">
        <v>45597</v>
      </c>
      <c r="C24">
        <v>14</v>
      </c>
      <c r="D24" s="35">
        <v>2985</v>
      </c>
    </row>
    <row r="25" spans="1:4" x14ac:dyDescent="0.25">
      <c r="A25">
        <f>MONTH(EventSummary[[#This Row],[Month]])</f>
        <v>12</v>
      </c>
      <c r="B25" s="37">
        <v>45627</v>
      </c>
      <c r="C25">
        <v>14</v>
      </c>
      <c r="D25" s="35">
        <v>3031</v>
      </c>
    </row>
    <row r="26" spans="1:4" x14ac:dyDescent="0.25">
      <c r="A26">
        <f>MONTH(EventSummary[[#This Row],[Month]])</f>
        <v>1</v>
      </c>
      <c r="B26" s="37">
        <v>45658</v>
      </c>
      <c r="C26">
        <v>14</v>
      </c>
      <c r="D26" s="35">
        <v>2947</v>
      </c>
    </row>
    <row r="27" spans="1:4" x14ac:dyDescent="0.25">
      <c r="A27">
        <f>MONTH(EventSummary[[#This Row],[Month]])</f>
        <v>2</v>
      </c>
      <c r="B27" s="37">
        <v>45689</v>
      </c>
      <c r="C27">
        <v>14</v>
      </c>
      <c r="D27" s="35">
        <v>2965</v>
      </c>
    </row>
    <row r="28" spans="1:4" x14ac:dyDescent="0.25">
      <c r="A28">
        <f>MONTH(EventSummary[[#This Row],[Month]])</f>
        <v>3</v>
      </c>
      <c r="B28" s="37">
        <v>45717</v>
      </c>
      <c r="C28">
        <v>14</v>
      </c>
      <c r="D28" s="35">
        <v>3118</v>
      </c>
    </row>
    <row r="29" spans="1:4" x14ac:dyDescent="0.25">
      <c r="A29">
        <f>MONTH(EventSummary[[#This Row],[Month]])</f>
        <v>4</v>
      </c>
      <c r="B29" s="37">
        <v>45748</v>
      </c>
      <c r="C29">
        <v>14</v>
      </c>
      <c r="D29" s="35">
        <v>3127</v>
      </c>
    </row>
    <row r="30" spans="1:4" x14ac:dyDescent="0.25">
      <c r="A30">
        <f>MONTH(EventSummary[[#This Row],[Month]])</f>
        <v>5</v>
      </c>
      <c r="B30" s="37">
        <v>45778</v>
      </c>
      <c r="C30">
        <v>14</v>
      </c>
      <c r="D30" s="35">
        <v>3016</v>
      </c>
    </row>
    <row r="31" spans="1:4" x14ac:dyDescent="0.25">
      <c r="A31">
        <f>MONTH(EventSummary[[#This Row],[Month]])</f>
        <v>6</v>
      </c>
      <c r="B31" s="37">
        <v>45809</v>
      </c>
      <c r="C31">
        <v>14</v>
      </c>
      <c r="D31" s="35">
        <v>3045</v>
      </c>
    </row>
    <row r="32" spans="1:4" x14ac:dyDescent="0.25">
      <c r="A32">
        <f>MONTH(EventSummary[[#This Row],[Month]])</f>
        <v>7</v>
      </c>
      <c r="B32" s="37">
        <v>45839</v>
      </c>
      <c r="C32">
        <v>12</v>
      </c>
      <c r="D32" s="35">
        <v>2602</v>
      </c>
    </row>
    <row r="33" spans="1:4" x14ac:dyDescent="0.25">
      <c r="A33">
        <f>MONTH(EventSummary[[#This Row],[Month]])</f>
        <v>8</v>
      </c>
      <c r="B33" s="37">
        <v>45870</v>
      </c>
      <c r="C33">
        <v>12</v>
      </c>
      <c r="D33" s="35">
        <v>2500</v>
      </c>
    </row>
    <row r="34" spans="1:4" x14ac:dyDescent="0.25">
      <c r="A34">
        <f>MONTH(EventSummary[[#This Row],[Month]])</f>
        <v>9</v>
      </c>
      <c r="B34" s="37">
        <v>45901</v>
      </c>
      <c r="C34">
        <v>12</v>
      </c>
      <c r="D34" s="35">
        <v>2450</v>
      </c>
    </row>
    <row r="35" spans="1:4" x14ac:dyDescent="0.25">
      <c r="A35">
        <f>MONTH(EventSummary[[#This Row],[Month]])</f>
        <v>10</v>
      </c>
      <c r="B35" s="37">
        <v>45931</v>
      </c>
      <c r="C35">
        <v>18</v>
      </c>
      <c r="D35" s="35">
        <v>4007</v>
      </c>
    </row>
    <row r="36" spans="1:4" x14ac:dyDescent="0.25">
      <c r="A36">
        <f>MONTH(EventSummary[[#This Row],[Month]])</f>
        <v>11</v>
      </c>
      <c r="B36" s="37">
        <v>45962</v>
      </c>
      <c r="C36">
        <v>12</v>
      </c>
      <c r="D36" s="35">
        <v>2724</v>
      </c>
    </row>
    <row r="37" spans="1:4" x14ac:dyDescent="0.25">
      <c r="B37" s="37"/>
      <c r="C37">
        <f>SUBTOTAL(109,EventSummary[Registrations])</f>
        <v>500</v>
      </c>
      <c r="D37" s="35">
        <f>SUBTOTAL(109,EventSummary[Total_Ticket_Sales])</f>
        <v>107026</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165B63-D007-440E-961D-B664AF368193}">
  <sheetPr codeName="Sheet5"/>
  <dimension ref="A1:R53"/>
  <sheetViews>
    <sheetView topLeftCell="A22" workbookViewId="0">
      <selection activeCell="Q27" sqref="Q27"/>
    </sheetView>
  </sheetViews>
  <sheetFormatPr defaultRowHeight="15" x14ac:dyDescent="0.25"/>
  <cols>
    <col min="2" max="2" width="10.7109375" customWidth="1"/>
    <col min="3" max="3" width="10" customWidth="1"/>
    <col min="4" max="4" width="8.28515625" customWidth="1"/>
    <col min="15" max="15" width="10" bestFit="1" customWidth="1"/>
  </cols>
  <sheetData>
    <row r="1" spans="1:4" x14ac:dyDescent="0.25">
      <c r="A1" t="s">
        <v>1565</v>
      </c>
      <c r="B1" t="s">
        <v>1563</v>
      </c>
      <c r="C1" t="s">
        <v>1599</v>
      </c>
      <c r="D1" t="s">
        <v>1600</v>
      </c>
    </row>
    <row r="2" spans="1:4" x14ac:dyDescent="0.25">
      <c r="A2" s="37">
        <v>44927</v>
      </c>
      <c r="B2">
        <v>7</v>
      </c>
    </row>
    <row r="3" spans="1:4" x14ac:dyDescent="0.25">
      <c r="A3" s="37">
        <v>44958</v>
      </c>
      <c r="B3">
        <v>14</v>
      </c>
    </row>
    <row r="4" spans="1:4" x14ac:dyDescent="0.25">
      <c r="A4" s="37">
        <v>44986</v>
      </c>
      <c r="B4">
        <v>21</v>
      </c>
    </row>
    <row r="5" spans="1:4" x14ac:dyDescent="0.25">
      <c r="A5" s="37">
        <v>45017</v>
      </c>
      <c r="B5">
        <v>14</v>
      </c>
    </row>
    <row r="6" spans="1:4" x14ac:dyDescent="0.25">
      <c r="A6" s="37">
        <v>45047</v>
      </c>
      <c r="B6">
        <v>14</v>
      </c>
    </row>
    <row r="7" spans="1:4" x14ac:dyDescent="0.25">
      <c r="A7" s="37">
        <v>45078</v>
      </c>
      <c r="B7">
        <v>14</v>
      </c>
    </row>
    <row r="8" spans="1:4" x14ac:dyDescent="0.25">
      <c r="A8" s="37">
        <v>45108</v>
      </c>
      <c r="B8">
        <v>14</v>
      </c>
    </row>
    <row r="9" spans="1:4" x14ac:dyDescent="0.25">
      <c r="A9" s="37">
        <v>45139</v>
      </c>
      <c r="B9">
        <v>14</v>
      </c>
    </row>
    <row r="10" spans="1:4" x14ac:dyDescent="0.25">
      <c r="A10" s="37">
        <v>45170</v>
      </c>
      <c r="B10">
        <v>14</v>
      </c>
    </row>
    <row r="11" spans="1:4" x14ac:dyDescent="0.25">
      <c r="A11" s="37">
        <v>45200</v>
      </c>
      <c r="B11">
        <v>14</v>
      </c>
    </row>
    <row r="12" spans="1:4" x14ac:dyDescent="0.25">
      <c r="A12" s="37">
        <v>45231</v>
      </c>
      <c r="B12">
        <v>14</v>
      </c>
    </row>
    <row r="13" spans="1:4" x14ac:dyDescent="0.25">
      <c r="A13" s="37">
        <v>45261</v>
      </c>
      <c r="B13">
        <v>14</v>
      </c>
    </row>
    <row r="14" spans="1:4" x14ac:dyDescent="0.25">
      <c r="A14" s="37">
        <v>45292</v>
      </c>
      <c r="B14">
        <v>14</v>
      </c>
    </row>
    <row r="15" spans="1:4" x14ac:dyDescent="0.25">
      <c r="A15" s="37">
        <v>45323</v>
      </c>
      <c r="B15">
        <v>14</v>
      </c>
    </row>
    <row r="16" spans="1:4" x14ac:dyDescent="0.25">
      <c r="A16" s="37">
        <v>45352</v>
      </c>
      <c r="B16">
        <v>14</v>
      </c>
    </row>
    <row r="17" spans="1:16" x14ac:dyDescent="0.25">
      <c r="A17" s="37">
        <v>45383</v>
      </c>
      <c r="B17">
        <v>14</v>
      </c>
    </row>
    <row r="18" spans="1:16" x14ac:dyDescent="0.25">
      <c r="A18" s="37">
        <v>45413</v>
      </c>
      <c r="B18">
        <v>21</v>
      </c>
    </row>
    <row r="19" spans="1:16" x14ac:dyDescent="0.25">
      <c r="A19" s="37">
        <v>45444</v>
      </c>
      <c r="B19">
        <v>14</v>
      </c>
    </row>
    <row r="20" spans="1:16" x14ac:dyDescent="0.25">
      <c r="A20" s="37">
        <v>45474</v>
      </c>
      <c r="B20">
        <v>14</v>
      </c>
      <c r="G20" s="40" t="s">
        <v>332</v>
      </c>
      <c r="H20" s="40" t="s">
        <v>1568</v>
      </c>
      <c r="I20" s="40" t="s">
        <v>1571</v>
      </c>
      <c r="K20" s="62" t="s">
        <v>332</v>
      </c>
      <c r="L20" s="40" t="s">
        <v>1568</v>
      </c>
    </row>
    <row r="21" spans="1:16" ht="30" customHeight="1" x14ac:dyDescent="0.25">
      <c r="A21" s="37">
        <v>45505</v>
      </c>
      <c r="B21">
        <v>21</v>
      </c>
      <c r="G21" s="46" t="s">
        <v>1563</v>
      </c>
      <c r="H21" s="60">
        <f>EventSummary[[#Totals],[Registrations]]</f>
        <v>500</v>
      </c>
      <c r="I21" s="52">
        <f>Table14[[#Totals],[Registrations]]</f>
        <v>14.285714285714286</v>
      </c>
      <c r="K21" s="47" t="s">
        <v>321</v>
      </c>
      <c r="L21" s="48">
        <f>Assumptions!C4</f>
        <v>6500</v>
      </c>
      <c r="N21" s="96" t="s">
        <v>1607</v>
      </c>
      <c r="O21" s="97"/>
      <c r="P21" s="97"/>
    </row>
    <row r="22" spans="1:16" ht="45" x14ac:dyDescent="0.25">
      <c r="A22" s="37">
        <v>45536</v>
      </c>
      <c r="B22">
        <v>14</v>
      </c>
      <c r="G22" s="46" t="s">
        <v>1569</v>
      </c>
      <c r="H22" s="61">
        <f>EventSummary[[#Totals],[Total_Ticket_Sales]]</f>
        <v>107026</v>
      </c>
      <c r="I22" s="52">
        <f>H22/H21</f>
        <v>214.05199999999999</v>
      </c>
      <c r="K22" s="47" t="s">
        <v>322</v>
      </c>
      <c r="L22" s="48">
        <f>Assumptions!C5</f>
        <v>3000</v>
      </c>
      <c r="N22" s="64" t="s">
        <v>1603</v>
      </c>
      <c r="O22" s="13">
        <f>O24-O23</f>
        <v>49944</v>
      </c>
      <c r="P22" s="13">
        <f>P24-P23</f>
        <v>100065</v>
      </c>
    </row>
    <row r="23" spans="1:16" ht="30" x14ac:dyDescent="0.25">
      <c r="A23" s="37">
        <v>45566</v>
      </c>
      <c r="B23">
        <v>14</v>
      </c>
      <c r="G23" s="46" t="s">
        <v>1570</v>
      </c>
      <c r="H23" s="60">
        <f>COUNT(B2:B36)</f>
        <v>35</v>
      </c>
      <c r="I23" s="49" t="s">
        <v>1572</v>
      </c>
      <c r="K23" s="8" t="s">
        <v>1576</v>
      </c>
      <c r="L23" s="50">
        <f>SUM(L21:L22)</f>
        <v>9500</v>
      </c>
      <c r="N23" s="65" t="s">
        <v>1604</v>
      </c>
      <c r="O23" s="13">
        <v>9500</v>
      </c>
      <c r="P23" s="13">
        <v>35000</v>
      </c>
    </row>
    <row r="24" spans="1:16" ht="45" x14ac:dyDescent="0.25">
      <c r="A24" s="37">
        <v>45597</v>
      </c>
      <c r="B24">
        <v>14</v>
      </c>
      <c r="G24" s="46" t="s">
        <v>1573</v>
      </c>
      <c r="H24" s="4">
        <f>COUNT(C37:C50)</f>
        <v>14</v>
      </c>
      <c r="I24" s="49" t="s">
        <v>1572</v>
      </c>
      <c r="N24" s="65" t="s">
        <v>1575</v>
      </c>
      <c r="O24" s="13">
        <f>O25*O26</f>
        <v>59444</v>
      </c>
      <c r="P24" s="13">
        <f>P25*P26</f>
        <v>135065</v>
      </c>
    </row>
    <row r="25" spans="1:16" ht="60" x14ac:dyDescent="0.25">
      <c r="A25" s="37">
        <v>45627</v>
      </c>
      <c r="B25">
        <v>14</v>
      </c>
      <c r="G25" s="46" t="s">
        <v>1574</v>
      </c>
      <c r="H25" s="52">
        <f>C53</f>
        <v>192.74861652378226</v>
      </c>
      <c r="I25" s="52">
        <f>Table14[[#Totals],[Forecast(Registrations)]]</f>
        <v>13.767758323127305</v>
      </c>
      <c r="K25" s="62" t="s">
        <v>332</v>
      </c>
      <c r="L25" s="40" t="s">
        <v>1568</v>
      </c>
      <c r="N25" s="65" t="s">
        <v>1605</v>
      </c>
      <c r="O25" s="52">
        <v>193</v>
      </c>
      <c r="P25" s="52">
        <v>595</v>
      </c>
    </row>
    <row r="26" spans="1:16" ht="45" x14ac:dyDescent="0.25">
      <c r="A26" s="37">
        <v>45658</v>
      </c>
      <c r="B26">
        <v>14</v>
      </c>
      <c r="G26" s="51" t="s">
        <v>1575</v>
      </c>
      <c r="H26" s="13">
        <f>ForecastTicketSales!C53</f>
        <v>43776.42139719538</v>
      </c>
      <c r="I26" s="13">
        <f>Table15[[#Totals],[Forecast(Total_Ticket_Sales)]]</f>
        <v>3126.8872426568128</v>
      </c>
      <c r="K26" s="47" t="s">
        <v>321</v>
      </c>
      <c r="L26" s="48">
        <f>Assumptions!F4</f>
        <v>10000</v>
      </c>
      <c r="N26" s="65" t="s">
        <v>1606</v>
      </c>
      <c r="O26" s="13">
        <v>308</v>
      </c>
      <c r="P26" s="13">
        <v>227</v>
      </c>
    </row>
    <row r="27" spans="1:16" ht="30" x14ac:dyDescent="0.25">
      <c r="A27" s="37">
        <v>45689</v>
      </c>
      <c r="B27">
        <v>14</v>
      </c>
      <c r="G27" s="46" t="s">
        <v>1576</v>
      </c>
      <c r="H27" s="13">
        <f>L23</f>
        <v>9500</v>
      </c>
      <c r="I27" s="49" t="s">
        <v>1572</v>
      </c>
      <c r="K27" s="47" t="s">
        <v>322</v>
      </c>
      <c r="L27" s="48">
        <f>Assumptions!F5</f>
        <v>25000</v>
      </c>
    </row>
    <row r="28" spans="1:16" ht="30" x14ac:dyDescent="0.25">
      <c r="A28" s="37">
        <v>45717</v>
      </c>
      <c r="B28">
        <v>14</v>
      </c>
      <c r="G28" s="46" t="s">
        <v>1577</v>
      </c>
      <c r="H28" s="13">
        <f>H26-H27</f>
        <v>34276.42139719538</v>
      </c>
      <c r="I28" s="49" t="s">
        <v>1572</v>
      </c>
      <c r="K28" s="8" t="s">
        <v>1576</v>
      </c>
      <c r="L28" s="50">
        <f>SUM(L26:L27)</f>
        <v>35000</v>
      </c>
    </row>
    <row r="29" spans="1:16" x14ac:dyDescent="0.25">
      <c r="A29" s="37">
        <v>45748</v>
      </c>
      <c r="B29">
        <v>14</v>
      </c>
      <c r="N29" s="66" t="s">
        <v>1608</v>
      </c>
    </row>
    <row r="30" spans="1:16" x14ac:dyDescent="0.25">
      <c r="A30" s="37">
        <v>45778</v>
      </c>
      <c r="B30">
        <v>14</v>
      </c>
    </row>
    <row r="31" spans="1:16" x14ac:dyDescent="0.25">
      <c r="A31" s="37">
        <v>45809</v>
      </c>
      <c r="B31">
        <v>14</v>
      </c>
    </row>
    <row r="32" spans="1:16" ht="30" x14ac:dyDescent="0.25">
      <c r="A32" s="37">
        <v>45839</v>
      </c>
      <c r="B32">
        <v>12</v>
      </c>
      <c r="N32" s="64" t="s">
        <v>1603</v>
      </c>
      <c r="O32" s="13">
        <f>ForecastRevenue-TotalCost</f>
        <v>100100</v>
      </c>
      <c r="P32" s="63"/>
    </row>
    <row r="33" spans="1:18" ht="30" x14ac:dyDescent="0.25">
      <c r="A33" s="37">
        <v>45870</v>
      </c>
      <c r="B33">
        <v>12</v>
      </c>
      <c r="N33" s="65" t="s">
        <v>1604</v>
      </c>
      <c r="O33" s="13">
        <v>35000</v>
      </c>
      <c r="P33" s="63"/>
      <c r="Q33" s="63"/>
    </row>
    <row r="34" spans="1:18" ht="45" x14ac:dyDescent="0.25">
      <c r="A34" s="37">
        <v>45901</v>
      </c>
      <c r="B34">
        <v>12</v>
      </c>
      <c r="N34" s="65" t="s">
        <v>1575</v>
      </c>
      <c r="O34" s="13">
        <f>ForecastRegistration*TicketPrice</f>
        <v>135100</v>
      </c>
      <c r="Q34" s="63"/>
      <c r="R34" s="63"/>
    </row>
    <row r="35" spans="1:18" ht="60" x14ac:dyDescent="0.25">
      <c r="A35" s="37">
        <v>45931</v>
      </c>
      <c r="B35">
        <v>18</v>
      </c>
      <c r="N35" s="65" t="s">
        <v>1605</v>
      </c>
      <c r="O35" s="4">
        <v>350</v>
      </c>
      <c r="P35" s="63"/>
      <c r="Q35" s="63"/>
    </row>
    <row r="36" spans="1:18" ht="45" x14ac:dyDescent="0.25">
      <c r="A36" s="37">
        <v>45962</v>
      </c>
      <c r="B36">
        <v>12</v>
      </c>
      <c r="N36" s="65" t="s">
        <v>1606</v>
      </c>
      <c r="O36" s="4">
        <v>386</v>
      </c>
    </row>
    <row r="37" spans="1:18" x14ac:dyDescent="0.25">
      <c r="A37" s="37">
        <v>45992</v>
      </c>
      <c r="C37" s="55">
        <f t="shared" ref="C37:C50" si="0">_xlfn.FORECAST.ETS(A37,$B$2:$B$36,$A$2:$A$36,12,1)</f>
        <v>12.955273264952035</v>
      </c>
      <c r="D37" s="55">
        <f t="shared" ref="D37:D50" si="1">_xlfn.FORECAST.ETS.CONFINT(A37,$B$2:$B$36,$A$2:$A$36,0.1,12,1)</f>
        <v>0.45281580308439262</v>
      </c>
      <c r="Q37" s="63"/>
    </row>
    <row r="38" spans="1:18" x14ac:dyDescent="0.25">
      <c r="A38" s="37">
        <v>46023</v>
      </c>
      <c r="C38" s="55">
        <f t="shared" si="0"/>
        <v>12.911744192320263</v>
      </c>
      <c r="D38" s="55">
        <f t="shared" si="1"/>
        <v>0.56629155920255991</v>
      </c>
      <c r="N38" s="63" t="s">
        <v>1609</v>
      </c>
      <c r="Q38" s="63"/>
      <c r="R38" s="63"/>
    </row>
    <row r="39" spans="1:18" x14ac:dyDescent="0.25">
      <c r="A39" s="37">
        <v>46054</v>
      </c>
      <c r="C39" s="55">
        <f t="shared" si="0"/>
        <v>13.913353362979402</v>
      </c>
      <c r="D39" s="55">
        <f t="shared" si="1"/>
        <v>0.66078611280724431</v>
      </c>
      <c r="N39" s="63" t="s">
        <v>1610</v>
      </c>
      <c r="O39" s="63" t="s">
        <v>1614</v>
      </c>
      <c r="Q39" s="63"/>
      <c r="R39" s="63"/>
    </row>
    <row r="40" spans="1:18" x14ac:dyDescent="0.25">
      <c r="A40" s="37">
        <v>46082</v>
      </c>
      <c r="C40" s="55">
        <f t="shared" si="0"/>
        <v>14.69662368405794</v>
      </c>
      <c r="D40" s="55">
        <f t="shared" si="1"/>
        <v>0.7435718070044024</v>
      </c>
      <c r="N40" s="63" t="s">
        <v>1611</v>
      </c>
      <c r="O40" s="63" t="s">
        <v>1615</v>
      </c>
      <c r="Q40" s="63"/>
      <c r="R40" s="63"/>
    </row>
    <row r="41" spans="1:18" x14ac:dyDescent="0.25">
      <c r="A41" s="37">
        <v>46113</v>
      </c>
      <c r="C41" s="55">
        <f t="shared" si="0"/>
        <v>13.05183017961115</v>
      </c>
      <c r="D41" s="55">
        <f t="shared" si="1"/>
        <v>0.81821071612819962</v>
      </c>
      <c r="N41" s="63" t="s">
        <v>1612</v>
      </c>
      <c r="O41" s="63" t="s">
        <v>1618</v>
      </c>
    </row>
    <row r="42" spans="1:18" x14ac:dyDescent="0.25">
      <c r="A42" s="37">
        <v>46143</v>
      </c>
      <c r="C42" s="55">
        <f t="shared" si="0"/>
        <v>16.978290517807384</v>
      </c>
      <c r="D42" s="55">
        <f t="shared" si="1"/>
        <v>0.88676261107970644</v>
      </c>
    </row>
    <row r="43" spans="1:18" x14ac:dyDescent="0.25">
      <c r="A43" s="37">
        <v>46174</v>
      </c>
      <c r="C43" s="55">
        <f t="shared" si="0"/>
        <v>14.281578174755586</v>
      </c>
      <c r="D43" s="55">
        <f t="shared" si="1"/>
        <v>0.95054557992856248</v>
      </c>
      <c r="N43" s="63" t="s">
        <v>1613</v>
      </c>
    </row>
    <row r="44" spans="1:18" x14ac:dyDescent="0.25">
      <c r="A44" s="37">
        <v>46204</v>
      </c>
      <c r="C44" s="55">
        <f t="shared" si="0"/>
        <v>12.9753650374772</v>
      </c>
      <c r="D44" s="55">
        <f t="shared" si="1"/>
        <v>1.0104633092843152</v>
      </c>
      <c r="N44" s="63" t="s">
        <v>1610</v>
      </c>
      <c r="O44" s="63" t="s">
        <v>1616</v>
      </c>
    </row>
    <row r="45" spans="1:18" x14ac:dyDescent="0.25">
      <c r="A45" s="37">
        <v>46235</v>
      </c>
      <c r="C45" s="55">
        <f t="shared" si="0"/>
        <v>15.770184395782611</v>
      </c>
      <c r="D45" s="55">
        <f t="shared" si="1"/>
        <v>1.0671672493838302</v>
      </c>
      <c r="N45" s="63" t="s">
        <v>1611</v>
      </c>
      <c r="O45" s="63" t="s">
        <v>1617</v>
      </c>
    </row>
    <row r="46" spans="1:18" x14ac:dyDescent="0.25">
      <c r="A46" s="37">
        <v>46266</v>
      </c>
      <c r="C46" s="55">
        <f t="shared" si="0"/>
        <v>13.352853911864024</v>
      </c>
      <c r="D46" s="55">
        <f t="shared" si="1"/>
        <v>1.1211453187918818</v>
      </c>
      <c r="N46" s="63" t="s">
        <v>1612</v>
      </c>
      <c r="O46" s="63" t="s">
        <v>1619</v>
      </c>
    </row>
    <row r="47" spans="1:18" x14ac:dyDescent="0.25">
      <c r="A47" s="37">
        <v>46296</v>
      </c>
      <c r="C47" s="55">
        <f t="shared" si="0"/>
        <v>14.491681062604846</v>
      </c>
      <c r="D47" s="55">
        <f t="shared" si="1"/>
        <v>1.1727741353596668</v>
      </c>
    </row>
    <row r="48" spans="1:18" x14ac:dyDescent="0.25">
      <c r="A48" s="37">
        <v>46327</v>
      </c>
      <c r="C48" s="55">
        <f t="shared" si="0"/>
        <v>11.836773361666845</v>
      </c>
      <c r="D48" s="55">
        <f t="shared" si="1"/>
        <v>1.2223515813385051</v>
      </c>
    </row>
    <row r="49" spans="1:4" x14ac:dyDescent="0.25">
      <c r="A49" s="37">
        <v>46357</v>
      </c>
      <c r="C49" s="55">
        <f t="shared" si="0"/>
        <v>12.787595143450741</v>
      </c>
      <c r="D49" s="55">
        <f t="shared" si="1"/>
        <v>1.305266745672143</v>
      </c>
    </row>
    <row r="50" spans="1:4" x14ac:dyDescent="0.25">
      <c r="A50" s="37">
        <v>46387</v>
      </c>
      <c r="C50" s="55">
        <f t="shared" si="0"/>
        <v>12.745470234452252</v>
      </c>
      <c r="D50" s="55">
        <f t="shared" si="1"/>
        <v>1.3487919939037341</v>
      </c>
    </row>
    <row r="51" spans="1:4" x14ac:dyDescent="0.25">
      <c r="A51" s="59" t="s">
        <v>1601</v>
      </c>
      <c r="B51" s="55">
        <f>SUBTOTAL(101,Table14[Registrations])</f>
        <v>14.285714285714286</v>
      </c>
      <c r="C51" s="55">
        <f>SUBTOTAL(101,Table14[Forecast(Registrations)])</f>
        <v>13.767758323127305</v>
      </c>
      <c r="D51" s="55">
        <f>SUBTOTAL(101,Table14[Confidence Interval(Registrations)])</f>
        <v>0.95192460878351015</v>
      </c>
    </row>
    <row r="53" spans="1:4" x14ac:dyDescent="0.25">
      <c r="A53" s="4" t="s">
        <v>1568</v>
      </c>
      <c r="B53" s="40">
        <f>SUM(B2:B36)</f>
        <v>500</v>
      </c>
      <c r="C53" s="56">
        <f>SUM(C37:C50)</f>
        <v>192.74861652378226</v>
      </c>
      <c r="D53" s="56">
        <f>SUM(D37:D50)</f>
        <v>13.326944522969143</v>
      </c>
    </row>
  </sheetData>
  <scenarios current="5" show="5" sqref="O32">
    <scenario name="Profit50k_S1" locked="1" count="3" user="ADMIN" comment="Profit 50k Senario 1">
      <inputCells r="O33" val="9500"/>
      <inputCells r="O35" val="200"/>
      <inputCells r="O36" val="308"/>
    </scenario>
    <scenario name="Profit50k_S2" locked="1" count="3" user="ADMIN" comment="Profit 50k Senario 2">
      <inputCells r="O33" val="9500" numFmtId="3"/>
      <inputCells r="O35" val="250"/>
      <inputCells r="O36" val="227"/>
    </scenario>
    <scenario name="Profit50k_S3" locked="1" count="3" user="ADMIN" comment="Profit 50k Senario 3">
      <inputCells r="O33" val="9500" numFmtId="3"/>
      <inputCells r="O35" val="250"/>
      <inputCells r="O36" val="238"/>
    </scenario>
    <scenario name="Profit100k_S1" locked="1" count="3" user="ADMIN" comment="Profit 100k Senario 1">
      <inputCells r="O33" val="35000" numFmtId="3"/>
      <inputCells r="O35" val="200"/>
      <inputCells r="O36" val="699"/>
    </scenario>
    <scenario name="Profit100k_S2" locked="1" count="3" user="ADMIN" comment="Profit 100k Senario 2">
      <inputCells r="O33" val="35000" numFmtId="3"/>
      <inputCells r="O35" val="600"/>
      <inputCells r="O36" val="227"/>
    </scenario>
    <scenario name="Profit100k_S3" locked="1" count="3" user="ADMIN" comment="Profit 100k Senario 3">
      <inputCells r="O33" val="35000" numFmtId="3"/>
      <inputCells r="O35" val="350"/>
      <inputCells r="O36" val="386"/>
    </scenario>
  </scenarios>
  <mergeCells count="1">
    <mergeCell ref="N21:P21"/>
  </mergeCells>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1DEBF3-970B-46C1-B4B6-EDFA439A08A9}">
  <sheetPr codeName="Sheet8"/>
  <dimension ref="A1:D53"/>
  <sheetViews>
    <sheetView workbookViewId="0">
      <selection activeCell="I52" sqref="I52"/>
    </sheetView>
  </sheetViews>
  <sheetFormatPr defaultRowHeight="15" x14ac:dyDescent="0.25"/>
  <cols>
    <col min="2" max="2" width="13.28515625" customWidth="1"/>
    <col min="3" max="3" width="13.85546875" customWidth="1"/>
    <col min="4" max="4" width="17.42578125" customWidth="1"/>
  </cols>
  <sheetData>
    <row r="1" spans="1:4" x14ac:dyDescent="0.25">
      <c r="A1" t="s">
        <v>1565</v>
      </c>
      <c r="B1" t="s">
        <v>1566</v>
      </c>
      <c r="C1" t="s">
        <v>1597</v>
      </c>
      <c r="D1" t="s">
        <v>1598</v>
      </c>
    </row>
    <row r="2" spans="1:4" x14ac:dyDescent="0.25">
      <c r="A2" s="37">
        <v>44927</v>
      </c>
      <c r="B2" s="35">
        <v>1468</v>
      </c>
    </row>
    <row r="3" spans="1:4" x14ac:dyDescent="0.25">
      <c r="A3" s="37">
        <v>44958</v>
      </c>
      <c r="B3" s="35">
        <v>2844</v>
      </c>
    </row>
    <row r="4" spans="1:4" x14ac:dyDescent="0.25">
      <c r="A4" s="37">
        <v>44986</v>
      </c>
      <c r="B4" s="35">
        <v>4418</v>
      </c>
    </row>
    <row r="5" spans="1:4" x14ac:dyDescent="0.25">
      <c r="A5" s="37">
        <v>45017</v>
      </c>
      <c r="B5" s="35">
        <v>2997</v>
      </c>
    </row>
    <row r="6" spans="1:4" x14ac:dyDescent="0.25">
      <c r="A6" s="37">
        <v>45047</v>
      </c>
      <c r="B6" s="35">
        <v>2988</v>
      </c>
    </row>
    <row r="7" spans="1:4" x14ac:dyDescent="0.25">
      <c r="A7" s="37">
        <v>45078</v>
      </c>
      <c r="B7" s="35">
        <v>3050</v>
      </c>
    </row>
    <row r="8" spans="1:4" x14ac:dyDescent="0.25">
      <c r="A8" s="37">
        <v>45108</v>
      </c>
      <c r="B8" s="35">
        <v>3085</v>
      </c>
    </row>
    <row r="9" spans="1:4" x14ac:dyDescent="0.25">
      <c r="A9" s="37">
        <v>45139</v>
      </c>
      <c r="B9" s="35">
        <v>2900</v>
      </c>
    </row>
    <row r="10" spans="1:4" x14ac:dyDescent="0.25">
      <c r="A10" s="37">
        <v>45170</v>
      </c>
      <c r="B10" s="35">
        <v>3053</v>
      </c>
    </row>
    <row r="11" spans="1:4" x14ac:dyDescent="0.25">
      <c r="A11" s="37">
        <v>45200</v>
      </c>
      <c r="B11" s="35">
        <v>3001</v>
      </c>
    </row>
    <row r="12" spans="1:4" x14ac:dyDescent="0.25">
      <c r="A12" s="37">
        <v>45231</v>
      </c>
      <c r="B12" s="35">
        <v>2944</v>
      </c>
    </row>
    <row r="13" spans="1:4" x14ac:dyDescent="0.25">
      <c r="A13" s="37">
        <v>45261</v>
      </c>
      <c r="B13" s="35">
        <v>2883</v>
      </c>
    </row>
    <row r="14" spans="1:4" x14ac:dyDescent="0.25">
      <c r="A14" s="37">
        <v>45292</v>
      </c>
      <c r="B14" s="35">
        <v>3052</v>
      </c>
    </row>
    <row r="15" spans="1:4" x14ac:dyDescent="0.25">
      <c r="A15" s="37">
        <v>45323</v>
      </c>
      <c r="B15" s="35">
        <v>3069</v>
      </c>
    </row>
    <row r="16" spans="1:4" x14ac:dyDescent="0.25">
      <c r="A16" s="37">
        <v>45352</v>
      </c>
      <c r="B16" s="35">
        <v>3056</v>
      </c>
    </row>
    <row r="17" spans="1:2" x14ac:dyDescent="0.25">
      <c r="A17" s="37">
        <v>45383</v>
      </c>
      <c r="B17" s="35">
        <v>2943</v>
      </c>
    </row>
    <row r="18" spans="1:2" x14ac:dyDescent="0.25">
      <c r="A18" s="37">
        <v>45413</v>
      </c>
      <c r="B18" s="35">
        <v>4409</v>
      </c>
    </row>
    <row r="19" spans="1:2" x14ac:dyDescent="0.25">
      <c r="A19" s="37">
        <v>45444</v>
      </c>
      <c r="B19" s="35">
        <v>2922</v>
      </c>
    </row>
    <row r="20" spans="1:2" x14ac:dyDescent="0.25">
      <c r="A20" s="37">
        <v>45474</v>
      </c>
      <c r="B20" s="35">
        <v>2889</v>
      </c>
    </row>
    <row r="21" spans="1:2" x14ac:dyDescent="0.25">
      <c r="A21" s="37">
        <v>45505</v>
      </c>
      <c r="B21" s="35">
        <v>4693</v>
      </c>
    </row>
    <row r="22" spans="1:2" x14ac:dyDescent="0.25">
      <c r="A22" s="37">
        <v>45536</v>
      </c>
      <c r="B22" s="35">
        <v>3042</v>
      </c>
    </row>
    <row r="23" spans="1:2" x14ac:dyDescent="0.25">
      <c r="A23" s="37">
        <v>45566</v>
      </c>
      <c r="B23" s="35">
        <v>2803</v>
      </c>
    </row>
    <row r="24" spans="1:2" x14ac:dyDescent="0.25">
      <c r="A24" s="37">
        <v>45597</v>
      </c>
      <c r="B24" s="35">
        <v>2985</v>
      </c>
    </row>
    <row r="25" spans="1:2" x14ac:dyDescent="0.25">
      <c r="A25" s="37">
        <v>45627</v>
      </c>
      <c r="B25" s="35">
        <v>3031</v>
      </c>
    </row>
    <row r="26" spans="1:2" x14ac:dyDescent="0.25">
      <c r="A26" s="37">
        <v>45658</v>
      </c>
      <c r="B26" s="35">
        <v>2947</v>
      </c>
    </row>
    <row r="27" spans="1:2" x14ac:dyDescent="0.25">
      <c r="A27" s="37">
        <v>45689</v>
      </c>
      <c r="B27" s="35">
        <v>2965</v>
      </c>
    </row>
    <row r="28" spans="1:2" x14ac:dyDescent="0.25">
      <c r="A28" s="37">
        <v>45717</v>
      </c>
      <c r="B28" s="35">
        <v>3118</v>
      </c>
    </row>
    <row r="29" spans="1:2" x14ac:dyDescent="0.25">
      <c r="A29" s="37">
        <v>45748</v>
      </c>
      <c r="B29" s="35">
        <v>3127</v>
      </c>
    </row>
    <row r="30" spans="1:2" x14ac:dyDescent="0.25">
      <c r="A30" s="37">
        <v>45778</v>
      </c>
      <c r="B30" s="35">
        <v>3016</v>
      </c>
    </row>
    <row r="31" spans="1:2" x14ac:dyDescent="0.25">
      <c r="A31" s="37">
        <v>45809</v>
      </c>
      <c r="B31" s="35">
        <v>3045</v>
      </c>
    </row>
    <row r="32" spans="1:2" x14ac:dyDescent="0.25">
      <c r="A32" s="37">
        <v>45839</v>
      </c>
      <c r="B32" s="35">
        <v>2602</v>
      </c>
    </row>
    <row r="33" spans="1:4" x14ac:dyDescent="0.25">
      <c r="A33" s="37">
        <v>45870</v>
      </c>
      <c r="B33" s="35">
        <v>2500</v>
      </c>
    </row>
    <row r="34" spans="1:4" x14ac:dyDescent="0.25">
      <c r="A34" s="37">
        <v>45901</v>
      </c>
      <c r="B34" s="35">
        <v>2450</v>
      </c>
    </row>
    <row r="35" spans="1:4" x14ac:dyDescent="0.25">
      <c r="A35" s="37">
        <v>45931</v>
      </c>
      <c r="B35" s="35">
        <v>4007</v>
      </c>
    </row>
    <row r="36" spans="1:4" x14ac:dyDescent="0.25">
      <c r="A36" s="37">
        <v>45962</v>
      </c>
      <c r="B36" s="35">
        <v>2724</v>
      </c>
    </row>
    <row r="37" spans="1:4" x14ac:dyDescent="0.25">
      <c r="A37" s="37">
        <v>45992</v>
      </c>
      <c r="C37" s="35">
        <f t="shared" ref="C37:C50" si="0">_xlfn.FORECAST.ETS(A37,$B$2:$B$36,$A$2:$A$36,12,1)</f>
        <v>2868.7399546548263</v>
      </c>
      <c r="D37" s="35">
        <f t="shared" ref="D37:D50" si="1">_xlfn.FORECAST.ETS.CONFINT(A37,$B$2:$B$36,$A$2:$A$36,0.95,12,1)</f>
        <v>1596.2920416142861</v>
      </c>
    </row>
    <row r="38" spans="1:4" x14ac:dyDescent="0.25">
      <c r="A38" s="37">
        <v>46023</v>
      </c>
      <c r="C38" s="35">
        <f t="shared" si="0"/>
        <v>2944.4814117209994</v>
      </c>
      <c r="D38" s="35">
        <f t="shared" si="1"/>
        <v>1996.3232356974886</v>
      </c>
    </row>
    <row r="39" spans="1:4" x14ac:dyDescent="0.25">
      <c r="A39" s="37">
        <v>46054</v>
      </c>
      <c r="C39" s="35">
        <f t="shared" si="0"/>
        <v>3199.4582909817282</v>
      </c>
      <c r="D39" s="35">
        <f t="shared" si="1"/>
        <v>2329.4408143411383</v>
      </c>
    </row>
    <row r="40" spans="1:4" x14ac:dyDescent="0.25">
      <c r="A40" s="37">
        <v>46082</v>
      </c>
      <c r="C40" s="35">
        <f t="shared" si="0"/>
        <v>3427.2912844359325</v>
      </c>
      <c r="D40" s="35">
        <f t="shared" si="1"/>
        <v>2621.2816553769098</v>
      </c>
    </row>
    <row r="41" spans="1:4" x14ac:dyDescent="0.25">
      <c r="A41" s="37">
        <v>46113</v>
      </c>
      <c r="C41" s="35">
        <f t="shared" si="0"/>
        <v>2995.9586145327967</v>
      </c>
      <c r="D41" s="35">
        <f t="shared" si="1"/>
        <v>2884.4029859875459</v>
      </c>
    </row>
    <row r="42" spans="1:4" x14ac:dyDescent="0.25">
      <c r="A42" s="37">
        <v>46143</v>
      </c>
      <c r="C42" s="35">
        <f t="shared" si="0"/>
        <v>3747.5326428277367</v>
      </c>
      <c r="D42" s="35">
        <f t="shared" si="1"/>
        <v>3126.0660277879538</v>
      </c>
    </row>
    <row r="43" spans="1:4" x14ac:dyDescent="0.25">
      <c r="A43" s="37">
        <v>46174</v>
      </c>
      <c r="C43" s="35">
        <f t="shared" si="0"/>
        <v>3218.693910196625</v>
      </c>
      <c r="D43" s="35">
        <f t="shared" si="1"/>
        <v>3350.9173798618676</v>
      </c>
    </row>
    <row r="44" spans="1:4" x14ac:dyDescent="0.25">
      <c r="A44" s="37">
        <v>46204</v>
      </c>
      <c r="C44" s="35">
        <f t="shared" si="0"/>
        <v>2947.2689549552483</v>
      </c>
      <c r="D44" s="35">
        <f t="shared" si="1"/>
        <v>3562.142769679725</v>
      </c>
    </row>
    <row r="45" spans="1:4" x14ac:dyDescent="0.25">
      <c r="A45" s="37">
        <v>46235</v>
      </c>
      <c r="C45" s="35">
        <f t="shared" si="0"/>
        <v>3587.7484293114112</v>
      </c>
      <c r="D45" s="35">
        <f t="shared" si="1"/>
        <v>3762.0387266946327</v>
      </c>
    </row>
    <row r="46" spans="1:4" x14ac:dyDescent="0.25">
      <c r="A46" s="37">
        <v>46266</v>
      </c>
      <c r="C46" s="35">
        <f t="shared" si="0"/>
        <v>3069.3339687472576</v>
      </c>
      <c r="D46" s="35">
        <f t="shared" si="1"/>
        <v>3952.3252892016344</v>
      </c>
    </row>
    <row r="47" spans="1:4" x14ac:dyDescent="0.25">
      <c r="A47" s="37">
        <v>46296</v>
      </c>
      <c r="C47" s="35">
        <f t="shared" si="0"/>
        <v>3289.9859774964625</v>
      </c>
      <c r="D47" s="35">
        <f t="shared" si="1"/>
        <v>4134.3301318854456</v>
      </c>
    </row>
    <row r="48" spans="1:4" x14ac:dyDescent="0.25">
      <c r="A48" s="37">
        <v>46327</v>
      </c>
      <c r="C48" s="35">
        <f t="shared" si="0"/>
        <v>2705.7166212557067</v>
      </c>
      <c r="D48" s="35">
        <f t="shared" si="1"/>
        <v>4309.1033662127656</v>
      </c>
    </row>
    <row r="49" spans="1:4" x14ac:dyDescent="0.25">
      <c r="A49" s="37">
        <v>46357</v>
      </c>
      <c r="C49" s="35">
        <f t="shared" si="0"/>
        <v>2850.456575910533</v>
      </c>
      <c r="D49" s="35">
        <f t="shared" si="1"/>
        <v>4601.4006227426125</v>
      </c>
    </row>
    <row r="50" spans="1:4" x14ac:dyDescent="0.25">
      <c r="A50" s="37">
        <v>46387</v>
      </c>
      <c r="C50" s="35">
        <f t="shared" si="0"/>
        <v>2923.7547601681199</v>
      </c>
      <c r="D50" s="35">
        <f t="shared" si="1"/>
        <v>4754.8383051028859</v>
      </c>
    </row>
    <row r="51" spans="1:4" x14ac:dyDescent="0.25">
      <c r="A51" s="59" t="s">
        <v>1601</v>
      </c>
      <c r="B51" s="35">
        <f>SUBTOTAL(101,Table15[Total_Ticket_Sales])</f>
        <v>3057.8857142857141</v>
      </c>
      <c r="C51" s="35">
        <f>SUBTOTAL(101,Table15[Forecast(Total_Ticket_Sales)])</f>
        <v>3126.8872426568128</v>
      </c>
      <c r="D51" s="35">
        <f>SUBTOTAL(101,Table15[Confidence Interval(Total_Ticket_Sales)])</f>
        <v>3355.7788108704926</v>
      </c>
    </row>
    <row r="53" spans="1:4" x14ac:dyDescent="0.25">
      <c r="A53" s="57" t="s">
        <v>336</v>
      </c>
      <c r="B53" s="58">
        <f>SUM(B2:B36)</f>
        <v>107026</v>
      </c>
      <c r="C53" s="58">
        <f>SUM(C37:C50)</f>
        <v>43776.42139719538</v>
      </c>
      <c r="D53" s="58">
        <f>SUM(D37:D50)</f>
        <v>46980.903352186899</v>
      </c>
    </row>
  </sheetData>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CE6BE3-FD42-456F-8CE8-B2D021F83450}">
  <sheetPr codeName="Sheet9">
    <outlinePr summaryBelow="0"/>
  </sheetPr>
  <dimension ref="B1:J13"/>
  <sheetViews>
    <sheetView showGridLines="0" workbookViewId="0">
      <selection activeCell="J20" sqref="J20"/>
    </sheetView>
  </sheetViews>
  <sheetFormatPr defaultRowHeight="15" outlineLevelRow="1" outlineLevelCol="1" x14ac:dyDescent="0.25"/>
  <cols>
    <col min="3" max="3" width="19.42578125" bestFit="1" customWidth="1"/>
    <col min="4" max="10" width="13.140625" bestFit="1" customWidth="1" outlineLevel="1"/>
  </cols>
  <sheetData>
    <row r="1" spans="2:10" ht="15.75" thickBot="1" x14ac:dyDescent="0.3"/>
    <row r="2" spans="2:10" ht="15.75" x14ac:dyDescent="0.25">
      <c r="B2" s="70" t="s">
        <v>1649</v>
      </c>
      <c r="C2" s="70"/>
      <c r="D2" s="75"/>
      <c r="E2" s="75"/>
      <c r="F2" s="75"/>
      <c r="G2" s="75"/>
      <c r="H2" s="75"/>
      <c r="I2" s="75"/>
      <c r="J2" s="75"/>
    </row>
    <row r="3" spans="2:10" ht="15.75" collapsed="1" x14ac:dyDescent="0.25">
      <c r="B3" s="69"/>
      <c r="C3" s="69"/>
      <c r="D3" s="76" t="s">
        <v>1651</v>
      </c>
      <c r="E3" s="76" t="s">
        <v>1637</v>
      </c>
      <c r="F3" s="76" t="s">
        <v>1639</v>
      </c>
      <c r="G3" s="76" t="s">
        <v>1641</v>
      </c>
      <c r="H3" s="76" t="s">
        <v>1643</v>
      </c>
      <c r="I3" s="76" t="s">
        <v>1645</v>
      </c>
      <c r="J3" s="76" t="s">
        <v>1647</v>
      </c>
    </row>
    <row r="4" spans="2:10" ht="22.5" hidden="1" outlineLevel="1" x14ac:dyDescent="0.25">
      <c r="B4" s="72"/>
      <c r="C4" s="72"/>
      <c r="E4" s="79" t="s">
        <v>1638</v>
      </c>
      <c r="F4" s="79" t="s">
        <v>1640</v>
      </c>
      <c r="G4" s="79" t="s">
        <v>1642</v>
      </c>
      <c r="H4" s="79" t="s">
        <v>1644</v>
      </c>
      <c r="I4" s="79" t="s">
        <v>1646</v>
      </c>
      <c r="J4" s="79" t="s">
        <v>1648</v>
      </c>
    </row>
    <row r="5" spans="2:10" x14ac:dyDescent="0.25">
      <c r="B5" s="73" t="s">
        <v>1650</v>
      </c>
      <c r="C5" s="73"/>
      <c r="D5" s="71"/>
      <c r="E5" s="71"/>
      <c r="F5" s="71"/>
      <c r="G5" s="71"/>
      <c r="H5" s="71"/>
      <c r="I5" s="71"/>
      <c r="J5" s="71"/>
    </row>
    <row r="6" spans="2:10" outlineLevel="1" x14ac:dyDescent="0.25">
      <c r="B6" s="72"/>
      <c r="C6" s="72" t="s">
        <v>1633</v>
      </c>
      <c r="D6" s="35">
        <v>35000</v>
      </c>
      <c r="E6" s="77">
        <v>9500</v>
      </c>
      <c r="F6" s="77">
        <v>9500</v>
      </c>
      <c r="G6" s="77">
        <v>9500</v>
      </c>
      <c r="H6" s="77">
        <v>35000</v>
      </c>
      <c r="I6" s="77">
        <v>35000</v>
      </c>
      <c r="J6" s="77">
        <v>35000</v>
      </c>
    </row>
    <row r="7" spans="2:10" outlineLevel="1" x14ac:dyDescent="0.25">
      <c r="B7" s="72"/>
      <c r="C7" s="72" t="s">
        <v>1634</v>
      </c>
      <c r="D7">
        <v>350</v>
      </c>
      <c r="E7" s="78">
        <v>200</v>
      </c>
      <c r="F7" s="78">
        <v>250</v>
      </c>
      <c r="G7" s="78">
        <v>250</v>
      </c>
      <c r="H7" s="78">
        <v>200</v>
      </c>
      <c r="I7" s="78">
        <v>600</v>
      </c>
      <c r="J7" s="78">
        <v>350</v>
      </c>
    </row>
    <row r="8" spans="2:10" outlineLevel="1" x14ac:dyDescent="0.25">
      <c r="B8" s="72"/>
      <c r="C8" s="72" t="s">
        <v>1635</v>
      </c>
      <c r="D8">
        <v>386</v>
      </c>
      <c r="E8" s="78">
        <v>308</v>
      </c>
      <c r="F8" s="78">
        <v>227</v>
      </c>
      <c r="G8" s="78">
        <v>238</v>
      </c>
      <c r="H8" s="78">
        <v>699</v>
      </c>
      <c r="I8" s="78">
        <v>227</v>
      </c>
      <c r="J8" s="78">
        <v>386</v>
      </c>
    </row>
    <row r="9" spans="2:10" x14ac:dyDescent="0.25">
      <c r="B9" s="73" t="s">
        <v>1652</v>
      </c>
      <c r="C9" s="73"/>
      <c r="D9" s="71"/>
      <c r="E9" s="71"/>
      <c r="F9" s="71"/>
      <c r="G9" s="71"/>
      <c r="H9" s="71"/>
      <c r="I9" s="71"/>
      <c r="J9" s="71"/>
    </row>
    <row r="10" spans="2:10" ht="15.75" outlineLevel="1" thickBot="1" x14ac:dyDescent="0.3">
      <c r="B10" s="74"/>
      <c r="C10" s="74" t="s">
        <v>1636</v>
      </c>
      <c r="D10" s="68">
        <v>100100</v>
      </c>
      <c r="E10" s="68">
        <v>52100</v>
      </c>
      <c r="F10" s="68">
        <v>47250</v>
      </c>
      <c r="G10" s="68">
        <v>50000</v>
      </c>
      <c r="H10" s="68">
        <v>104800</v>
      </c>
      <c r="I10" s="68">
        <v>101200</v>
      </c>
      <c r="J10" s="68">
        <v>100100</v>
      </c>
    </row>
    <row r="11" spans="2:10" x14ac:dyDescent="0.25">
      <c r="B11" t="s">
        <v>1653</v>
      </c>
    </row>
    <row r="12" spans="2:10" x14ac:dyDescent="0.25">
      <c r="B12" t="s">
        <v>1654</v>
      </c>
    </row>
    <row r="13" spans="2:10" x14ac:dyDescent="0.25">
      <c r="B13" t="s">
        <v>1655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940B78-1510-4310-9EF1-9FDC708C24E0}">
  <sheetPr codeName="Sheet7"/>
  <dimension ref="A2:W30"/>
  <sheetViews>
    <sheetView topLeftCell="A25" workbookViewId="0">
      <selection activeCell="F44" sqref="F44"/>
    </sheetView>
  </sheetViews>
  <sheetFormatPr defaultRowHeight="15" x14ac:dyDescent="0.25"/>
  <cols>
    <col min="1" max="1" width="14.7109375" bestFit="1" customWidth="1"/>
    <col min="2" max="2" width="11.7109375" bestFit="1" customWidth="1"/>
    <col min="3" max="3" width="25" bestFit="1" customWidth="1"/>
    <col min="4" max="4" width="18.42578125" bestFit="1" customWidth="1"/>
    <col min="5" max="5" width="12.5703125" bestFit="1" customWidth="1"/>
    <col min="6" max="6" width="23.28515625" bestFit="1" customWidth="1"/>
    <col min="7" max="7" width="11.28515625" bestFit="1" customWidth="1"/>
    <col min="8" max="9" width="11.7109375" bestFit="1" customWidth="1"/>
    <col min="10" max="10" width="6.28515625" bestFit="1" customWidth="1"/>
    <col min="11" max="13" width="11.7109375" bestFit="1" customWidth="1"/>
    <col min="14" max="14" width="3" bestFit="1" customWidth="1"/>
    <col min="15" max="15" width="11.28515625" bestFit="1" customWidth="1"/>
    <col min="16" max="16" width="11.7109375" bestFit="1" customWidth="1"/>
    <col min="17" max="17" width="9.85546875" bestFit="1" customWidth="1"/>
    <col min="18" max="19" width="11.7109375" bestFit="1" customWidth="1"/>
    <col min="20" max="501" width="6.28515625" bestFit="1" customWidth="1"/>
    <col min="502" max="502" width="11.28515625" bestFit="1" customWidth="1"/>
    <col min="503" max="507" width="6.28515625" bestFit="1" customWidth="1"/>
    <col min="508" max="508" width="11.28515625" bestFit="1" customWidth="1"/>
    <col min="509" max="509" width="8.140625" bestFit="1" customWidth="1"/>
    <col min="510" max="510" width="11.140625" bestFit="1" customWidth="1"/>
    <col min="511" max="511" width="9.5703125" bestFit="1" customWidth="1"/>
    <col min="512" max="512" width="11.140625" bestFit="1" customWidth="1"/>
    <col min="513" max="513" width="8.140625" bestFit="1" customWidth="1"/>
    <col min="514" max="514" width="11.140625" bestFit="1" customWidth="1"/>
    <col min="515" max="515" width="9.5703125" bestFit="1" customWidth="1"/>
    <col min="516" max="516" width="11.140625" bestFit="1" customWidth="1"/>
    <col min="517" max="517" width="9.5703125" bestFit="1" customWidth="1"/>
    <col min="518" max="518" width="11.140625" bestFit="1" customWidth="1"/>
    <col min="519" max="519" width="9.5703125" bestFit="1" customWidth="1"/>
    <col min="520" max="520" width="11.140625" bestFit="1" customWidth="1"/>
    <col min="521" max="521" width="9.5703125" bestFit="1" customWidth="1"/>
    <col min="522" max="522" width="11.140625" bestFit="1" customWidth="1"/>
    <col min="523" max="523" width="8.140625" bestFit="1" customWidth="1"/>
    <col min="524" max="524" width="11.140625" bestFit="1" customWidth="1"/>
    <col min="525" max="525" width="9.5703125" bestFit="1" customWidth="1"/>
    <col min="526" max="526" width="11.140625" bestFit="1" customWidth="1"/>
    <col min="527" max="527" width="8.140625" bestFit="1" customWidth="1"/>
    <col min="528" max="528" width="11.140625" bestFit="1" customWidth="1"/>
    <col min="529" max="529" width="9.5703125" bestFit="1" customWidth="1"/>
    <col min="530" max="530" width="11.140625" bestFit="1" customWidth="1"/>
    <col min="531" max="531" width="9.5703125" bestFit="1" customWidth="1"/>
    <col min="532" max="532" width="11.140625" bestFit="1" customWidth="1"/>
    <col min="533" max="533" width="9.5703125" bestFit="1" customWidth="1"/>
    <col min="534" max="534" width="11.140625" bestFit="1" customWidth="1"/>
    <col min="535" max="535" width="8.140625" bestFit="1" customWidth="1"/>
    <col min="536" max="536" width="11.140625" bestFit="1" customWidth="1"/>
    <col min="537" max="537" width="9.5703125" bestFit="1" customWidth="1"/>
    <col min="538" max="538" width="11.140625" bestFit="1" customWidth="1"/>
    <col min="539" max="539" width="9.5703125" bestFit="1" customWidth="1"/>
    <col min="540" max="540" width="11.140625" bestFit="1" customWidth="1"/>
    <col min="541" max="541" width="9.5703125" bestFit="1" customWidth="1"/>
    <col min="542" max="542" width="11.140625" bestFit="1" customWidth="1"/>
    <col min="543" max="543" width="9.5703125" bestFit="1" customWidth="1"/>
    <col min="544" max="544" width="11.140625" bestFit="1" customWidth="1"/>
    <col min="545" max="545" width="8.140625" bestFit="1" customWidth="1"/>
    <col min="546" max="546" width="11.140625" bestFit="1" customWidth="1"/>
    <col min="547" max="547" width="9.5703125" bestFit="1" customWidth="1"/>
    <col min="548" max="548" width="11.140625" bestFit="1" customWidth="1"/>
    <col min="549" max="549" width="8.140625" bestFit="1" customWidth="1"/>
    <col min="550" max="550" width="11.140625" bestFit="1" customWidth="1"/>
    <col min="551" max="551" width="9.5703125" bestFit="1" customWidth="1"/>
    <col min="552" max="552" width="11.140625" bestFit="1" customWidth="1"/>
    <col min="553" max="553" width="9.5703125" bestFit="1" customWidth="1"/>
    <col min="554" max="554" width="11.140625" bestFit="1" customWidth="1"/>
    <col min="555" max="555" width="9.5703125" bestFit="1" customWidth="1"/>
    <col min="556" max="556" width="11.140625" bestFit="1" customWidth="1"/>
    <col min="557" max="557" width="8.140625" bestFit="1" customWidth="1"/>
    <col min="558" max="558" width="11.140625" bestFit="1" customWidth="1"/>
    <col min="559" max="559" width="9.5703125" bestFit="1" customWidth="1"/>
    <col min="560" max="560" width="11.140625" bestFit="1" customWidth="1"/>
    <col min="561" max="561" width="8.140625" bestFit="1" customWidth="1"/>
    <col min="562" max="562" width="11.140625" bestFit="1" customWidth="1"/>
    <col min="563" max="563" width="9.5703125" bestFit="1" customWidth="1"/>
    <col min="564" max="564" width="11.140625" bestFit="1" customWidth="1"/>
    <col min="565" max="565" width="8.140625" bestFit="1" customWidth="1"/>
    <col min="566" max="566" width="11.140625" bestFit="1" customWidth="1"/>
    <col min="567" max="567" width="9.5703125" bestFit="1" customWidth="1"/>
    <col min="568" max="568" width="11.140625" bestFit="1" customWidth="1"/>
    <col min="569" max="569" width="8.140625" bestFit="1" customWidth="1"/>
    <col min="570" max="570" width="11.140625" bestFit="1" customWidth="1"/>
    <col min="571" max="571" width="9.5703125" bestFit="1" customWidth="1"/>
    <col min="572" max="572" width="11.140625" bestFit="1" customWidth="1"/>
    <col min="573" max="573" width="8.140625" bestFit="1" customWidth="1"/>
    <col min="574" max="574" width="11.140625" bestFit="1" customWidth="1"/>
    <col min="575" max="575" width="9.5703125" bestFit="1" customWidth="1"/>
    <col min="576" max="576" width="11.140625" bestFit="1" customWidth="1"/>
    <col min="577" max="577" width="8.140625" bestFit="1" customWidth="1"/>
    <col min="578" max="578" width="11.140625" bestFit="1" customWidth="1"/>
    <col min="579" max="579" width="9.5703125" bestFit="1" customWidth="1"/>
    <col min="580" max="580" width="11.140625" bestFit="1" customWidth="1"/>
    <col min="581" max="581" width="8.140625" bestFit="1" customWidth="1"/>
    <col min="582" max="582" width="11.140625" bestFit="1" customWidth="1"/>
    <col min="583" max="583" width="9.5703125" bestFit="1" customWidth="1"/>
    <col min="584" max="584" width="11.140625" bestFit="1" customWidth="1"/>
    <col min="585" max="585" width="8.140625" bestFit="1" customWidth="1"/>
    <col min="586" max="586" width="11.140625" bestFit="1" customWidth="1"/>
    <col min="587" max="587" width="9.5703125" bestFit="1" customWidth="1"/>
    <col min="588" max="588" width="11.140625" bestFit="1" customWidth="1"/>
    <col min="589" max="589" width="8.140625" bestFit="1" customWidth="1"/>
    <col min="590" max="590" width="11.140625" bestFit="1" customWidth="1"/>
    <col min="591" max="591" width="9.5703125" bestFit="1" customWidth="1"/>
    <col min="592" max="592" width="11.140625" bestFit="1" customWidth="1"/>
    <col min="593" max="593" width="8.140625" bestFit="1" customWidth="1"/>
    <col min="594" max="594" width="11.140625" bestFit="1" customWidth="1"/>
    <col min="595" max="595" width="9.5703125" bestFit="1" customWidth="1"/>
    <col min="596" max="596" width="11.140625" bestFit="1" customWidth="1"/>
    <col min="597" max="597" width="8.140625" bestFit="1" customWidth="1"/>
    <col min="598" max="598" width="11.140625" bestFit="1" customWidth="1"/>
    <col min="599" max="599" width="9.5703125" bestFit="1" customWidth="1"/>
    <col min="600" max="600" width="11.140625" bestFit="1" customWidth="1"/>
    <col min="601" max="601" width="8.140625" bestFit="1" customWidth="1"/>
    <col min="602" max="602" width="11.140625" bestFit="1" customWidth="1"/>
    <col min="603" max="603" width="9.5703125" bestFit="1" customWidth="1"/>
    <col min="604" max="604" width="11.140625" bestFit="1" customWidth="1"/>
    <col min="605" max="605" width="8.140625" bestFit="1" customWidth="1"/>
    <col min="606" max="606" width="11.140625" bestFit="1" customWidth="1"/>
    <col min="607" max="607" width="9.5703125" bestFit="1" customWidth="1"/>
    <col min="608" max="608" width="11.140625" bestFit="1" customWidth="1"/>
    <col min="609" max="609" width="8.140625" bestFit="1" customWidth="1"/>
    <col min="610" max="610" width="11.140625" bestFit="1" customWidth="1"/>
    <col min="611" max="611" width="9.5703125" bestFit="1" customWidth="1"/>
    <col min="612" max="612" width="11.140625" bestFit="1" customWidth="1"/>
    <col min="613" max="613" width="9.5703125" bestFit="1" customWidth="1"/>
    <col min="614" max="614" width="11.140625" bestFit="1" customWidth="1"/>
    <col min="615" max="615" width="9.5703125" bestFit="1" customWidth="1"/>
    <col min="616" max="616" width="11.140625" bestFit="1" customWidth="1"/>
    <col min="617" max="617" width="9.5703125" bestFit="1" customWidth="1"/>
    <col min="618" max="618" width="11.140625" bestFit="1" customWidth="1"/>
    <col min="619" max="619" width="9.5703125" bestFit="1" customWidth="1"/>
    <col min="620" max="620" width="11.140625" bestFit="1" customWidth="1"/>
    <col min="621" max="621" width="9.5703125" bestFit="1" customWidth="1"/>
    <col min="622" max="622" width="11.140625" bestFit="1" customWidth="1"/>
    <col min="623" max="623" width="9.5703125" bestFit="1" customWidth="1"/>
    <col min="624" max="624" width="11.140625" bestFit="1" customWidth="1"/>
    <col min="625" max="625" width="9.5703125" bestFit="1" customWidth="1"/>
    <col min="626" max="626" width="11.140625" bestFit="1" customWidth="1"/>
    <col min="627" max="627" width="9.5703125" bestFit="1" customWidth="1"/>
    <col min="628" max="628" width="11.140625" bestFit="1" customWidth="1"/>
    <col min="629" max="629" width="9.5703125" bestFit="1" customWidth="1"/>
    <col min="630" max="630" width="11.140625" bestFit="1" customWidth="1"/>
    <col min="631" max="631" width="9.5703125" bestFit="1" customWidth="1"/>
    <col min="632" max="632" width="11.140625" bestFit="1" customWidth="1"/>
    <col min="633" max="633" width="9.5703125" bestFit="1" customWidth="1"/>
    <col min="634" max="634" width="11.140625" bestFit="1" customWidth="1"/>
    <col min="635" max="635" width="9.5703125" bestFit="1" customWidth="1"/>
    <col min="636" max="636" width="11.140625" bestFit="1" customWidth="1"/>
    <col min="637" max="637" width="9.5703125" bestFit="1" customWidth="1"/>
    <col min="638" max="638" width="11.140625" bestFit="1" customWidth="1"/>
    <col min="639" max="639" width="9.5703125" bestFit="1" customWidth="1"/>
    <col min="640" max="640" width="11.140625" bestFit="1" customWidth="1"/>
    <col min="641" max="641" width="9.5703125" bestFit="1" customWidth="1"/>
    <col min="642" max="642" width="11.140625" bestFit="1" customWidth="1"/>
    <col min="643" max="643" width="9.5703125" bestFit="1" customWidth="1"/>
    <col min="644" max="644" width="11.140625" bestFit="1" customWidth="1"/>
    <col min="645" max="645" width="9.5703125" bestFit="1" customWidth="1"/>
    <col min="646" max="646" width="11.140625" bestFit="1" customWidth="1"/>
    <col min="647" max="647" width="9.5703125" bestFit="1" customWidth="1"/>
    <col min="648" max="648" width="11.140625" bestFit="1" customWidth="1"/>
    <col min="649" max="649" width="8.140625" bestFit="1" customWidth="1"/>
    <col min="650" max="650" width="11.140625" bestFit="1" customWidth="1"/>
    <col min="651" max="651" width="8.140625" bestFit="1" customWidth="1"/>
    <col min="652" max="652" width="11.140625" bestFit="1" customWidth="1"/>
    <col min="653" max="653" width="8.140625" bestFit="1" customWidth="1"/>
    <col min="654" max="654" width="11.140625" bestFit="1" customWidth="1"/>
    <col min="655" max="655" width="8.140625" bestFit="1" customWidth="1"/>
    <col min="656" max="656" width="11.140625" bestFit="1" customWidth="1"/>
    <col min="657" max="657" width="8.140625" bestFit="1" customWidth="1"/>
    <col min="658" max="658" width="11.140625" bestFit="1" customWidth="1"/>
    <col min="659" max="659" width="8.140625" bestFit="1" customWidth="1"/>
    <col min="660" max="660" width="11.140625" bestFit="1" customWidth="1"/>
    <col min="661" max="661" width="8.140625" bestFit="1" customWidth="1"/>
    <col min="662" max="662" width="11.140625" bestFit="1" customWidth="1"/>
    <col min="663" max="663" width="8.140625" bestFit="1" customWidth="1"/>
    <col min="664" max="664" width="11.140625" bestFit="1" customWidth="1"/>
    <col min="665" max="665" width="8.140625" bestFit="1" customWidth="1"/>
    <col min="666" max="666" width="11.140625" bestFit="1" customWidth="1"/>
    <col min="667" max="667" width="8.140625" bestFit="1" customWidth="1"/>
    <col min="668" max="668" width="11.140625" bestFit="1" customWidth="1"/>
    <col min="669" max="669" width="8.140625" bestFit="1" customWidth="1"/>
    <col min="670" max="670" width="11.140625" bestFit="1" customWidth="1"/>
    <col min="671" max="671" width="8.140625" bestFit="1" customWidth="1"/>
    <col min="672" max="672" width="11.140625" bestFit="1" customWidth="1"/>
    <col min="673" max="673" width="8.140625" bestFit="1" customWidth="1"/>
    <col min="674" max="674" width="11.140625" bestFit="1" customWidth="1"/>
    <col min="675" max="675" width="8.140625" bestFit="1" customWidth="1"/>
    <col min="676" max="676" width="11.140625" bestFit="1" customWidth="1"/>
    <col min="677" max="677" width="8.140625" bestFit="1" customWidth="1"/>
    <col min="678" max="678" width="11.140625" bestFit="1" customWidth="1"/>
    <col min="679" max="679" width="8.140625" bestFit="1" customWidth="1"/>
    <col min="680" max="680" width="11.140625" bestFit="1" customWidth="1"/>
    <col min="681" max="681" width="8.140625" bestFit="1" customWidth="1"/>
    <col min="682" max="682" width="11.140625" bestFit="1" customWidth="1"/>
    <col min="683" max="683" width="8.140625" bestFit="1" customWidth="1"/>
    <col min="684" max="684" width="11.140625" bestFit="1" customWidth="1"/>
    <col min="685" max="685" width="8.140625" bestFit="1" customWidth="1"/>
    <col min="686" max="686" width="11.140625" bestFit="1" customWidth="1"/>
    <col min="687" max="687" width="8.140625" bestFit="1" customWidth="1"/>
    <col min="688" max="688" width="11.140625" bestFit="1" customWidth="1"/>
    <col min="689" max="689" width="8.140625" bestFit="1" customWidth="1"/>
    <col min="690" max="690" width="11.140625" bestFit="1" customWidth="1"/>
    <col min="691" max="691" width="8.140625" bestFit="1" customWidth="1"/>
    <col min="692" max="692" width="11.140625" bestFit="1" customWidth="1"/>
    <col min="693" max="693" width="8.140625" bestFit="1" customWidth="1"/>
    <col min="694" max="694" width="11.140625" bestFit="1" customWidth="1"/>
    <col min="695" max="695" width="8.140625" bestFit="1" customWidth="1"/>
    <col min="696" max="696" width="11.140625" bestFit="1" customWidth="1"/>
    <col min="697" max="697" width="8.140625" bestFit="1" customWidth="1"/>
    <col min="698" max="698" width="11.140625" bestFit="1" customWidth="1"/>
    <col min="699" max="699" width="8.140625" bestFit="1" customWidth="1"/>
    <col min="700" max="700" width="11.140625" bestFit="1" customWidth="1"/>
    <col min="701" max="701" width="8.140625" bestFit="1" customWidth="1"/>
    <col min="702" max="702" width="11.140625" bestFit="1" customWidth="1"/>
    <col min="703" max="703" width="8.140625" bestFit="1" customWidth="1"/>
    <col min="704" max="704" width="11.140625" bestFit="1" customWidth="1"/>
    <col min="705" max="705" width="8.140625" bestFit="1" customWidth="1"/>
    <col min="706" max="706" width="11.140625" bestFit="1" customWidth="1"/>
    <col min="707" max="707" width="8.140625" bestFit="1" customWidth="1"/>
    <col min="708" max="708" width="11.140625" bestFit="1" customWidth="1"/>
    <col min="709" max="709" width="8.140625" bestFit="1" customWidth="1"/>
    <col min="710" max="710" width="11.140625" bestFit="1" customWidth="1"/>
    <col min="711" max="711" width="8.140625" bestFit="1" customWidth="1"/>
    <col min="712" max="712" width="11.140625" bestFit="1" customWidth="1"/>
    <col min="713" max="713" width="9.5703125" bestFit="1" customWidth="1"/>
    <col min="714" max="714" width="11.140625" bestFit="1" customWidth="1"/>
    <col min="715" max="715" width="9.5703125" bestFit="1" customWidth="1"/>
    <col min="716" max="716" width="11.140625" bestFit="1" customWidth="1"/>
    <col min="717" max="717" width="8.140625" bestFit="1" customWidth="1"/>
    <col min="718" max="718" width="11.140625" bestFit="1" customWidth="1"/>
    <col min="719" max="719" width="8.140625" bestFit="1" customWidth="1"/>
    <col min="720" max="720" width="11.140625" bestFit="1" customWidth="1"/>
    <col min="721" max="721" width="8.140625" bestFit="1" customWidth="1"/>
    <col min="722" max="722" width="11.140625" bestFit="1" customWidth="1"/>
    <col min="723" max="723" width="9.5703125" bestFit="1" customWidth="1"/>
    <col min="724" max="724" width="11.140625" bestFit="1" customWidth="1"/>
    <col min="725" max="725" width="8.140625" bestFit="1" customWidth="1"/>
    <col min="726" max="726" width="11.140625" bestFit="1" customWidth="1"/>
    <col min="727" max="727" width="9.5703125" bestFit="1" customWidth="1"/>
    <col min="728" max="728" width="11.140625" bestFit="1" customWidth="1"/>
    <col min="729" max="729" width="9.5703125" bestFit="1" customWidth="1"/>
    <col min="730" max="730" width="11.140625" bestFit="1" customWidth="1"/>
    <col min="731" max="731" width="9.5703125" bestFit="1" customWidth="1"/>
    <col min="732" max="732" width="11.140625" bestFit="1" customWidth="1"/>
    <col min="733" max="733" width="8.140625" bestFit="1" customWidth="1"/>
    <col min="734" max="734" width="11.140625" bestFit="1" customWidth="1"/>
    <col min="735" max="735" width="8.140625" bestFit="1" customWidth="1"/>
    <col min="736" max="736" width="11.140625" bestFit="1" customWidth="1"/>
    <col min="737" max="737" width="8.140625" bestFit="1" customWidth="1"/>
    <col min="738" max="738" width="11.140625" bestFit="1" customWidth="1"/>
    <col min="739" max="739" width="8.140625" bestFit="1" customWidth="1"/>
    <col min="740" max="740" width="11.140625" bestFit="1" customWidth="1"/>
    <col min="741" max="741" width="8.140625" bestFit="1" customWidth="1"/>
    <col min="742" max="742" width="11.140625" bestFit="1" customWidth="1"/>
    <col min="743" max="743" width="8.140625" bestFit="1" customWidth="1"/>
    <col min="744" max="744" width="11.140625" bestFit="1" customWidth="1"/>
    <col min="745" max="745" width="9.5703125" bestFit="1" customWidth="1"/>
    <col min="746" max="746" width="11.140625" bestFit="1" customWidth="1"/>
    <col min="747" max="747" width="9.5703125" bestFit="1" customWidth="1"/>
    <col min="748" max="748" width="11.140625" bestFit="1" customWidth="1"/>
    <col min="749" max="749" width="8.140625" bestFit="1" customWidth="1"/>
    <col min="750" max="750" width="11.140625" bestFit="1" customWidth="1"/>
    <col min="751" max="751" width="8.140625" bestFit="1" customWidth="1"/>
    <col min="752" max="752" width="11.140625" bestFit="1" customWidth="1"/>
    <col min="753" max="753" width="9.5703125" bestFit="1" customWidth="1"/>
    <col min="754" max="754" width="11.140625" bestFit="1" customWidth="1"/>
    <col min="755" max="755" width="9.5703125" bestFit="1" customWidth="1"/>
    <col min="756" max="756" width="11.140625" bestFit="1" customWidth="1"/>
    <col min="757" max="757" width="9.5703125" bestFit="1" customWidth="1"/>
    <col min="758" max="758" width="11.140625" bestFit="1" customWidth="1"/>
    <col min="759" max="759" width="8.140625" bestFit="1" customWidth="1"/>
    <col min="760" max="760" width="11.140625" bestFit="1" customWidth="1"/>
    <col min="761" max="761" width="9.5703125" bestFit="1" customWidth="1"/>
    <col min="762" max="762" width="11.140625" bestFit="1" customWidth="1"/>
    <col min="763" max="763" width="9.5703125" bestFit="1" customWidth="1"/>
    <col min="764" max="764" width="11.140625" bestFit="1" customWidth="1"/>
    <col min="765" max="765" width="8.140625" bestFit="1" customWidth="1"/>
    <col min="766" max="766" width="11.140625" bestFit="1" customWidth="1"/>
    <col min="767" max="767" width="9.5703125" bestFit="1" customWidth="1"/>
    <col min="768" max="768" width="11.140625" bestFit="1" customWidth="1"/>
    <col min="769" max="769" width="8.140625" bestFit="1" customWidth="1"/>
    <col min="770" max="770" width="11.140625" bestFit="1" customWidth="1"/>
    <col min="771" max="771" width="9.5703125" bestFit="1" customWidth="1"/>
    <col min="772" max="772" width="11.140625" bestFit="1" customWidth="1"/>
    <col min="773" max="773" width="8.140625" bestFit="1" customWidth="1"/>
    <col min="774" max="774" width="11.140625" bestFit="1" customWidth="1"/>
    <col min="775" max="775" width="9.5703125" bestFit="1" customWidth="1"/>
    <col min="776" max="776" width="11.140625" bestFit="1" customWidth="1"/>
    <col min="777" max="777" width="8.140625" bestFit="1" customWidth="1"/>
    <col min="778" max="778" width="11.140625" bestFit="1" customWidth="1"/>
    <col min="779" max="779" width="8.140625" bestFit="1" customWidth="1"/>
    <col min="780" max="780" width="11.140625" bestFit="1" customWidth="1"/>
    <col min="781" max="781" width="8.140625" bestFit="1" customWidth="1"/>
    <col min="782" max="782" width="11.140625" bestFit="1" customWidth="1"/>
    <col min="783" max="783" width="9.5703125" bestFit="1" customWidth="1"/>
    <col min="784" max="784" width="11.140625" bestFit="1" customWidth="1"/>
    <col min="785" max="785" width="8.140625" bestFit="1" customWidth="1"/>
    <col min="786" max="786" width="11.140625" bestFit="1" customWidth="1"/>
    <col min="787" max="787" width="9.5703125" bestFit="1" customWidth="1"/>
    <col min="788" max="788" width="11.140625" bestFit="1" customWidth="1"/>
    <col min="789" max="789" width="8.140625" bestFit="1" customWidth="1"/>
    <col min="790" max="790" width="11.140625" bestFit="1" customWidth="1"/>
    <col min="791" max="791" width="9.5703125" bestFit="1" customWidth="1"/>
    <col min="792" max="792" width="11.140625" bestFit="1" customWidth="1"/>
    <col min="793" max="793" width="8.140625" bestFit="1" customWidth="1"/>
    <col min="794" max="794" width="11.140625" bestFit="1" customWidth="1"/>
    <col min="795" max="795" width="9.5703125" bestFit="1" customWidth="1"/>
    <col min="796" max="796" width="11.140625" bestFit="1" customWidth="1"/>
    <col min="797" max="797" width="9.5703125" bestFit="1" customWidth="1"/>
    <col min="798" max="798" width="11.140625" bestFit="1" customWidth="1"/>
    <col min="799" max="799" width="8.140625" bestFit="1" customWidth="1"/>
    <col min="800" max="800" width="11.140625" bestFit="1" customWidth="1"/>
    <col min="801" max="801" width="9.5703125" bestFit="1" customWidth="1"/>
    <col min="802" max="802" width="11.140625" bestFit="1" customWidth="1"/>
    <col min="803" max="803" width="8.140625" bestFit="1" customWidth="1"/>
    <col min="804" max="804" width="11.140625" bestFit="1" customWidth="1"/>
    <col min="805" max="805" width="8.140625" bestFit="1" customWidth="1"/>
    <col min="806" max="806" width="11.140625" bestFit="1" customWidth="1"/>
    <col min="807" max="807" width="9.5703125" bestFit="1" customWidth="1"/>
    <col min="808" max="808" width="11.140625" bestFit="1" customWidth="1"/>
    <col min="809" max="809" width="9.5703125" bestFit="1" customWidth="1"/>
    <col min="810" max="810" width="11.140625" bestFit="1" customWidth="1"/>
    <col min="811" max="811" width="9.5703125" bestFit="1" customWidth="1"/>
    <col min="812" max="812" width="11.140625" bestFit="1" customWidth="1"/>
    <col min="813" max="813" width="9.5703125" bestFit="1" customWidth="1"/>
    <col min="814" max="814" width="11.140625" bestFit="1" customWidth="1"/>
    <col min="815" max="815" width="9.5703125" bestFit="1" customWidth="1"/>
    <col min="816" max="816" width="11.140625" bestFit="1" customWidth="1"/>
    <col min="817" max="817" width="9.5703125" bestFit="1" customWidth="1"/>
    <col min="818" max="818" width="11.140625" bestFit="1" customWidth="1"/>
    <col min="819" max="819" width="8.140625" bestFit="1" customWidth="1"/>
    <col min="820" max="820" width="11.140625" bestFit="1" customWidth="1"/>
    <col min="821" max="821" width="9.5703125" bestFit="1" customWidth="1"/>
    <col min="822" max="822" width="11.140625" bestFit="1" customWidth="1"/>
    <col min="823" max="823" width="9.5703125" bestFit="1" customWidth="1"/>
    <col min="824" max="824" width="11.140625" bestFit="1" customWidth="1"/>
    <col min="825" max="825" width="9.5703125" bestFit="1" customWidth="1"/>
    <col min="826" max="826" width="11.140625" bestFit="1" customWidth="1"/>
    <col min="827" max="827" width="9.5703125" bestFit="1" customWidth="1"/>
    <col min="828" max="828" width="11.140625" bestFit="1" customWidth="1"/>
    <col min="829" max="829" width="8.140625" bestFit="1" customWidth="1"/>
    <col min="830" max="830" width="11.140625" bestFit="1" customWidth="1"/>
    <col min="831" max="831" width="9.5703125" bestFit="1" customWidth="1"/>
    <col min="832" max="832" width="11.140625" bestFit="1" customWidth="1"/>
    <col min="833" max="833" width="8.140625" bestFit="1" customWidth="1"/>
    <col min="834" max="834" width="11.140625" bestFit="1" customWidth="1"/>
    <col min="835" max="835" width="9.5703125" bestFit="1" customWidth="1"/>
    <col min="836" max="836" width="11.140625" bestFit="1" customWidth="1"/>
    <col min="837" max="837" width="8.140625" bestFit="1" customWidth="1"/>
    <col min="838" max="838" width="11.140625" bestFit="1" customWidth="1"/>
    <col min="839" max="839" width="9.5703125" bestFit="1" customWidth="1"/>
    <col min="840" max="840" width="11.140625" bestFit="1" customWidth="1"/>
    <col min="841" max="841" width="8.140625" bestFit="1" customWidth="1"/>
    <col min="842" max="842" width="11.140625" bestFit="1" customWidth="1"/>
    <col min="843" max="843" width="8.140625" bestFit="1" customWidth="1"/>
    <col min="844" max="844" width="11.140625" bestFit="1" customWidth="1"/>
    <col min="845" max="845" width="8.140625" bestFit="1" customWidth="1"/>
    <col min="846" max="846" width="11.140625" bestFit="1" customWidth="1"/>
    <col min="847" max="847" width="9.5703125" bestFit="1" customWidth="1"/>
    <col min="848" max="848" width="11.140625" bestFit="1" customWidth="1"/>
    <col min="849" max="849" width="9.5703125" bestFit="1" customWidth="1"/>
    <col min="850" max="850" width="11.140625" bestFit="1" customWidth="1"/>
    <col min="851" max="851" width="9.5703125" bestFit="1" customWidth="1"/>
    <col min="852" max="852" width="11.140625" bestFit="1" customWidth="1"/>
    <col min="853" max="853" width="9.5703125" bestFit="1" customWidth="1"/>
    <col min="854" max="854" width="11.140625" bestFit="1" customWidth="1"/>
    <col min="855" max="855" width="9.5703125" bestFit="1" customWidth="1"/>
    <col min="856" max="856" width="11.140625" bestFit="1" customWidth="1"/>
    <col min="857" max="857" width="9.5703125" bestFit="1" customWidth="1"/>
    <col min="858" max="858" width="11.140625" bestFit="1" customWidth="1"/>
    <col min="859" max="859" width="8.140625" bestFit="1" customWidth="1"/>
    <col min="860" max="860" width="11.140625" bestFit="1" customWidth="1"/>
    <col min="861" max="861" width="9.5703125" bestFit="1" customWidth="1"/>
    <col min="862" max="862" width="11.140625" bestFit="1" customWidth="1"/>
    <col min="863" max="863" width="8.140625" bestFit="1" customWidth="1"/>
    <col min="864" max="864" width="11.140625" bestFit="1" customWidth="1"/>
    <col min="865" max="865" width="8.140625" bestFit="1" customWidth="1"/>
    <col min="866" max="866" width="11.140625" bestFit="1" customWidth="1"/>
    <col min="867" max="867" width="9.5703125" bestFit="1" customWidth="1"/>
    <col min="868" max="868" width="11.140625" bestFit="1" customWidth="1"/>
    <col min="869" max="869" width="8.140625" bestFit="1" customWidth="1"/>
    <col min="870" max="870" width="11.140625" bestFit="1" customWidth="1"/>
    <col min="871" max="871" width="9.5703125" bestFit="1" customWidth="1"/>
    <col min="872" max="872" width="11.140625" bestFit="1" customWidth="1"/>
    <col min="873" max="873" width="9.5703125" bestFit="1" customWidth="1"/>
    <col min="874" max="874" width="11.140625" bestFit="1" customWidth="1"/>
    <col min="875" max="875" width="9.5703125" bestFit="1" customWidth="1"/>
    <col min="876" max="876" width="11.140625" bestFit="1" customWidth="1"/>
    <col min="877" max="877" width="9.5703125" bestFit="1" customWidth="1"/>
    <col min="878" max="878" width="11.140625" bestFit="1" customWidth="1"/>
    <col min="879" max="879" width="8.140625" bestFit="1" customWidth="1"/>
    <col min="880" max="880" width="11.140625" bestFit="1" customWidth="1"/>
    <col min="881" max="881" width="9.5703125" bestFit="1" customWidth="1"/>
    <col min="882" max="882" width="11.140625" bestFit="1" customWidth="1"/>
    <col min="883" max="883" width="8.140625" bestFit="1" customWidth="1"/>
    <col min="884" max="884" width="11.140625" bestFit="1" customWidth="1"/>
    <col min="885" max="885" width="9.5703125" bestFit="1" customWidth="1"/>
    <col min="886" max="886" width="11.140625" bestFit="1" customWidth="1"/>
    <col min="887" max="887" width="9.5703125" bestFit="1" customWidth="1"/>
    <col min="888" max="888" width="11.140625" bestFit="1" customWidth="1"/>
    <col min="889" max="889" width="9.5703125" bestFit="1" customWidth="1"/>
    <col min="890" max="890" width="11.140625" bestFit="1" customWidth="1"/>
    <col min="891" max="891" width="8.140625" bestFit="1" customWidth="1"/>
    <col min="892" max="892" width="11.140625" bestFit="1" customWidth="1"/>
    <col min="893" max="893" width="9.5703125" bestFit="1" customWidth="1"/>
    <col min="894" max="894" width="11.140625" bestFit="1" customWidth="1"/>
    <col min="895" max="895" width="9.5703125" bestFit="1" customWidth="1"/>
    <col min="896" max="896" width="11.140625" bestFit="1" customWidth="1"/>
    <col min="897" max="897" width="9.5703125" bestFit="1" customWidth="1"/>
    <col min="898" max="898" width="11.140625" bestFit="1" customWidth="1"/>
    <col min="899" max="899" width="9.5703125" bestFit="1" customWidth="1"/>
    <col min="900" max="900" width="11.140625" bestFit="1" customWidth="1"/>
    <col min="901" max="901" width="8.140625" bestFit="1" customWidth="1"/>
    <col min="902" max="902" width="11.140625" bestFit="1" customWidth="1"/>
    <col min="903" max="903" width="9.5703125" bestFit="1" customWidth="1"/>
    <col min="904" max="904" width="11.140625" bestFit="1" customWidth="1"/>
    <col min="905" max="905" width="8.140625" bestFit="1" customWidth="1"/>
    <col min="906" max="906" width="11.140625" bestFit="1" customWidth="1"/>
    <col min="907" max="907" width="9.5703125" bestFit="1" customWidth="1"/>
    <col min="908" max="908" width="11.140625" bestFit="1" customWidth="1"/>
    <col min="909" max="909" width="9.5703125" bestFit="1" customWidth="1"/>
    <col min="910" max="910" width="11.140625" bestFit="1" customWidth="1"/>
    <col min="911" max="911" width="9.5703125" bestFit="1" customWidth="1"/>
    <col min="912" max="912" width="11.140625" bestFit="1" customWidth="1"/>
    <col min="913" max="913" width="8.140625" bestFit="1" customWidth="1"/>
    <col min="914" max="914" width="11.140625" bestFit="1" customWidth="1"/>
    <col min="915" max="915" width="9.5703125" bestFit="1" customWidth="1"/>
    <col min="916" max="916" width="11.140625" bestFit="1" customWidth="1"/>
    <col min="917" max="917" width="8.140625" bestFit="1" customWidth="1"/>
    <col min="918" max="918" width="11.140625" bestFit="1" customWidth="1"/>
    <col min="919" max="919" width="9.5703125" bestFit="1" customWidth="1"/>
    <col min="920" max="920" width="11.140625" bestFit="1" customWidth="1"/>
    <col min="921" max="921" width="8.140625" bestFit="1" customWidth="1"/>
    <col min="922" max="922" width="11.140625" bestFit="1" customWidth="1"/>
    <col min="923" max="923" width="9.5703125" bestFit="1" customWidth="1"/>
    <col min="924" max="924" width="11.140625" bestFit="1" customWidth="1"/>
    <col min="925" max="925" width="8.140625" bestFit="1" customWidth="1"/>
    <col min="926" max="926" width="11.140625" bestFit="1" customWidth="1"/>
    <col min="927" max="927" width="9.5703125" bestFit="1" customWidth="1"/>
    <col min="928" max="928" width="11.140625" bestFit="1" customWidth="1"/>
    <col min="929" max="929" width="8.140625" bestFit="1" customWidth="1"/>
    <col min="930" max="930" width="11.140625" bestFit="1" customWidth="1"/>
    <col min="931" max="931" width="9.5703125" bestFit="1" customWidth="1"/>
    <col min="932" max="932" width="11.140625" bestFit="1" customWidth="1"/>
    <col min="933" max="933" width="8.140625" bestFit="1" customWidth="1"/>
    <col min="934" max="934" width="11.140625" bestFit="1" customWidth="1"/>
    <col min="935" max="935" width="9.5703125" bestFit="1" customWidth="1"/>
    <col min="936" max="936" width="11.140625" bestFit="1" customWidth="1"/>
    <col min="937" max="937" width="8.140625" bestFit="1" customWidth="1"/>
    <col min="938" max="938" width="11.140625" bestFit="1" customWidth="1"/>
    <col min="939" max="939" width="9.5703125" bestFit="1" customWidth="1"/>
    <col min="940" max="940" width="11.140625" bestFit="1" customWidth="1"/>
    <col min="941" max="941" width="8.140625" bestFit="1" customWidth="1"/>
    <col min="942" max="942" width="11.140625" bestFit="1" customWidth="1"/>
    <col min="943" max="943" width="9.5703125" bestFit="1" customWidth="1"/>
    <col min="944" max="944" width="11.140625" bestFit="1" customWidth="1"/>
    <col min="945" max="945" width="8.140625" bestFit="1" customWidth="1"/>
    <col min="946" max="946" width="11.140625" bestFit="1" customWidth="1"/>
    <col min="947" max="947" width="9.5703125" bestFit="1" customWidth="1"/>
    <col min="948" max="948" width="11.140625" bestFit="1" customWidth="1"/>
    <col min="949" max="949" width="8.140625" bestFit="1" customWidth="1"/>
    <col min="950" max="950" width="11.140625" bestFit="1" customWidth="1"/>
    <col min="951" max="951" width="9.5703125" bestFit="1" customWidth="1"/>
    <col min="952" max="952" width="11.140625" bestFit="1" customWidth="1"/>
    <col min="953" max="953" width="8.140625" bestFit="1" customWidth="1"/>
    <col min="954" max="954" width="11.140625" bestFit="1" customWidth="1"/>
    <col min="955" max="955" width="9.5703125" bestFit="1" customWidth="1"/>
    <col min="956" max="956" width="11.140625" bestFit="1" customWidth="1"/>
    <col min="957" max="957" width="8.140625" bestFit="1" customWidth="1"/>
    <col min="958" max="958" width="11.140625" bestFit="1" customWidth="1"/>
    <col min="959" max="959" width="9.5703125" bestFit="1" customWidth="1"/>
    <col min="960" max="960" width="11.140625" bestFit="1" customWidth="1"/>
    <col min="961" max="961" width="8.140625" bestFit="1" customWidth="1"/>
    <col min="962" max="962" width="11.140625" bestFit="1" customWidth="1"/>
    <col min="963" max="963" width="9.5703125" bestFit="1" customWidth="1"/>
    <col min="964" max="964" width="11.140625" bestFit="1" customWidth="1"/>
    <col min="965" max="965" width="8.140625" bestFit="1" customWidth="1"/>
    <col min="966" max="966" width="11.140625" bestFit="1" customWidth="1"/>
    <col min="967" max="967" width="9.5703125" bestFit="1" customWidth="1"/>
    <col min="968" max="968" width="11.140625" bestFit="1" customWidth="1"/>
    <col min="969" max="969" width="9.5703125" bestFit="1" customWidth="1"/>
    <col min="970" max="970" width="11.140625" bestFit="1" customWidth="1"/>
    <col min="971" max="971" width="9.5703125" bestFit="1" customWidth="1"/>
    <col min="972" max="972" width="11.140625" bestFit="1" customWidth="1"/>
    <col min="973" max="973" width="9.5703125" bestFit="1" customWidth="1"/>
    <col min="974" max="974" width="11.140625" bestFit="1" customWidth="1"/>
    <col min="975" max="975" width="9.5703125" bestFit="1" customWidth="1"/>
    <col min="976" max="976" width="11.140625" bestFit="1" customWidth="1"/>
    <col min="977" max="977" width="9.5703125" bestFit="1" customWidth="1"/>
    <col min="978" max="978" width="11.140625" bestFit="1" customWidth="1"/>
    <col min="979" max="979" width="9.5703125" bestFit="1" customWidth="1"/>
    <col min="980" max="980" width="11.140625" bestFit="1" customWidth="1"/>
    <col min="981" max="981" width="9.5703125" bestFit="1" customWidth="1"/>
    <col min="982" max="982" width="11.140625" bestFit="1" customWidth="1"/>
    <col min="983" max="983" width="9.5703125" bestFit="1" customWidth="1"/>
    <col min="984" max="984" width="11.140625" bestFit="1" customWidth="1"/>
    <col min="985" max="985" width="9.5703125" bestFit="1" customWidth="1"/>
    <col min="986" max="986" width="11.140625" bestFit="1" customWidth="1"/>
    <col min="987" max="987" width="9.5703125" bestFit="1" customWidth="1"/>
    <col min="988" max="988" width="11.140625" bestFit="1" customWidth="1"/>
    <col min="989" max="989" width="9.5703125" bestFit="1" customWidth="1"/>
    <col min="990" max="990" width="11.140625" bestFit="1" customWidth="1"/>
    <col min="991" max="991" width="9.5703125" bestFit="1" customWidth="1"/>
    <col min="992" max="992" width="11.140625" bestFit="1" customWidth="1"/>
    <col min="993" max="993" width="9.5703125" bestFit="1" customWidth="1"/>
    <col min="994" max="994" width="11.140625" bestFit="1" customWidth="1"/>
    <col min="995" max="995" width="9.5703125" bestFit="1" customWidth="1"/>
    <col min="996" max="996" width="11.140625" bestFit="1" customWidth="1"/>
    <col min="997" max="997" width="9.5703125" bestFit="1" customWidth="1"/>
    <col min="998" max="998" width="11.140625" bestFit="1" customWidth="1"/>
    <col min="999" max="999" width="9.5703125" bestFit="1" customWidth="1"/>
    <col min="1000" max="1000" width="11.140625" bestFit="1" customWidth="1"/>
    <col min="1001" max="1001" width="11.28515625" bestFit="1" customWidth="1"/>
  </cols>
  <sheetData>
    <row r="2" spans="1:22" x14ac:dyDescent="0.25">
      <c r="A2" s="54" t="s">
        <v>1589</v>
      </c>
      <c r="B2" t="s">
        <v>1586</v>
      </c>
      <c r="G2" s="54" t="s">
        <v>1594</v>
      </c>
      <c r="H2" t="s">
        <v>1593</v>
      </c>
      <c r="I2" t="s">
        <v>1591</v>
      </c>
      <c r="K2" t="s">
        <v>1593</v>
      </c>
      <c r="L2" t="s">
        <v>1591</v>
      </c>
    </row>
    <row r="3" spans="1:22" x14ac:dyDescent="0.25">
      <c r="A3" s="54" t="s">
        <v>1588</v>
      </c>
      <c r="B3" t="s">
        <v>1586</v>
      </c>
      <c r="G3" s="53" t="s">
        <v>1620</v>
      </c>
      <c r="H3" s="98">
        <v>6</v>
      </c>
      <c r="I3" s="35">
        <v>1403</v>
      </c>
      <c r="K3" s="98">
        <v>16</v>
      </c>
      <c r="L3" s="35">
        <v>3801</v>
      </c>
    </row>
    <row r="4" spans="1:22" x14ac:dyDescent="0.25">
      <c r="A4" s="54" t="s">
        <v>1587</v>
      </c>
      <c r="B4" t="s">
        <v>1586</v>
      </c>
      <c r="G4" s="67" t="s">
        <v>1622</v>
      </c>
      <c r="H4" s="98">
        <v>1</v>
      </c>
      <c r="I4" s="35">
        <v>192</v>
      </c>
    </row>
    <row r="5" spans="1:22" x14ac:dyDescent="0.25">
      <c r="A5" s="54" t="s">
        <v>3</v>
      </c>
      <c r="B5" t="s">
        <v>1586</v>
      </c>
      <c r="G5" s="67" t="s">
        <v>1624</v>
      </c>
      <c r="H5" s="98">
        <v>1</v>
      </c>
      <c r="I5" s="35">
        <v>250</v>
      </c>
    </row>
    <row r="6" spans="1:22" x14ac:dyDescent="0.25">
      <c r="G6" s="67" t="s">
        <v>1625</v>
      </c>
      <c r="H6" s="98">
        <v>2</v>
      </c>
      <c r="I6" s="35">
        <v>486</v>
      </c>
    </row>
    <row r="7" spans="1:22" x14ac:dyDescent="0.25">
      <c r="A7" s="54" t="s">
        <v>1584</v>
      </c>
      <c r="B7" t="s">
        <v>1590</v>
      </c>
      <c r="C7" t="s">
        <v>1583</v>
      </c>
      <c r="G7" s="67" t="s">
        <v>1627</v>
      </c>
      <c r="H7" s="98">
        <v>1</v>
      </c>
      <c r="I7" s="35">
        <v>237</v>
      </c>
    </row>
    <row r="8" spans="1:22" x14ac:dyDescent="0.25">
      <c r="A8" s="53" t="s">
        <v>337</v>
      </c>
      <c r="B8" s="98">
        <v>37</v>
      </c>
      <c r="C8" s="35">
        <v>8244</v>
      </c>
      <c r="G8" s="67" t="s">
        <v>1628</v>
      </c>
      <c r="H8" s="98">
        <v>1</v>
      </c>
      <c r="I8" s="35">
        <v>238</v>
      </c>
    </row>
    <row r="9" spans="1:22" x14ac:dyDescent="0.25">
      <c r="A9" s="53" t="s">
        <v>338</v>
      </c>
      <c r="B9" s="98">
        <v>55</v>
      </c>
      <c r="C9" s="35">
        <v>12031</v>
      </c>
      <c r="G9" s="53" t="s">
        <v>1631</v>
      </c>
      <c r="H9" s="98">
        <v>3</v>
      </c>
      <c r="I9" s="35">
        <v>712</v>
      </c>
    </row>
    <row r="10" spans="1:22" x14ac:dyDescent="0.25">
      <c r="A10" s="53" t="s">
        <v>335</v>
      </c>
      <c r="B10" s="98">
        <v>55</v>
      </c>
      <c r="C10" s="35">
        <v>11705</v>
      </c>
      <c r="G10" s="67" t="s">
        <v>1624</v>
      </c>
      <c r="H10" s="98">
        <v>1</v>
      </c>
      <c r="I10" s="35">
        <v>231</v>
      </c>
    </row>
    <row r="11" spans="1:22" x14ac:dyDescent="0.25">
      <c r="A11" s="53" t="s">
        <v>343</v>
      </c>
      <c r="B11" s="98">
        <v>46</v>
      </c>
      <c r="C11" s="35">
        <v>9404</v>
      </c>
      <c r="G11" s="67" t="s">
        <v>1626</v>
      </c>
      <c r="H11" s="98">
        <v>1</v>
      </c>
      <c r="I11" s="35">
        <v>250</v>
      </c>
    </row>
    <row r="12" spans="1:22" x14ac:dyDescent="0.25">
      <c r="A12" s="53" t="s">
        <v>340</v>
      </c>
      <c r="B12" s="98">
        <v>46</v>
      </c>
      <c r="C12" s="35">
        <v>9529</v>
      </c>
      <c r="G12" s="67" t="s">
        <v>1630</v>
      </c>
      <c r="H12" s="98">
        <v>1</v>
      </c>
      <c r="I12" s="35">
        <v>231</v>
      </c>
    </row>
    <row r="13" spans="1:22" x14ac:dyDescent="0.25">
      <c r="A13" s="53" t="s">
        <v>342</v>
      </c>
      <c r="B13" s="98">
        <v>46</v>
      </c>
      <c r="C13" s="35">
        <v>9711</v>
      </c>
      <c r="G13" s="53" t="s">
        <v>1632</v>
      </c>
      <c r="H13" s="98">
        <v>7</v>
      </c>
      <c r="I13" s="35">
        <v>1686</v>
      </c>
    </row>
    <row r="14" spans="1:22" x14ac:dyDescent="0.25">
      <c r="A14" s="53" t="s">
        <v>23</v>
      </c>
      <c r="B14" s="98">
        <v>47</v>
      </c>
      <c r="C14" s="35">
        <v>9945</v>
      </c>
      <c r="G14" s="67" t="s">
        <v>1622</v>
      </c>
      <c r="H14" s="98">
        <v>1</v>
      </c>
      <c r="I14" s="35">
        <v>235</v>
      </c>
    </row>
    <row r="15" spans="1:22" x14ac:dyDescent="0.25">
      <c r="A15" s="53" t="s">
        <v>17</v>
      </c>
      <c r="B15" s="98">
        <v>56</v>
      </c>
      <c r="C15" s="35">
        <v>11972</v>
      </c>
      <c r="G15" s="67" t="s">
        <v>1621</v>
      </c>
      <c r="H15" s="98">
        <v>2</v>
      </c>
      <c r="I15" s="35">
        <v>474</v>
      </c>
      <c r="V15" s="53"/>
    </row>
    <row r="16" spans="1:22" x14ac:dyDescent="0.25">
      <c r="A16" s="53" t="s">
        <v>10</v>
      </c>
      <c r="B16" s="98">
        <v>65</v>
      </c>
      <c r="C16" s="35">
        <v>14381</v>
      </c>
      <c r="G16" s="67" t="s">
        <v>1623</v>
      </c>
      <c r="H16" s="98">
        <v>1</v>
      </c>
      <c r="I16" s="35">
        <v>248</v>
      </c>
      <c r="V16" s="53"/>
    </row>
    <row r="17" spans="1:23" x14ac:dyDescent="0.25">
      <c r="A17" s="53" t="s">
        <v>344</v>
      </c>
      <c r="B17" s="98">
        <v>47</v>
      </c>
      <c r="C17" s="35">
        <v>10104</v>
      </c>
      <c r="G17" s="67" t="s">
        <v>1625</v>
      </c>
      <c r="H17" s="98">
        <v>1</v>
      </c>
      <c r="I17" s="35">
        <v>240</v>
      </c>
      <c r="V17" s="53"/>
      <c r="W17" s="35"/>
    </row>
    <row r="18" spans="1:23" x14ac:dyDescent="0.25">
      <c r="A18" s="53" t="s">
        <v>1585</v>
      </c>
      <c r="B18" s="98">
        <v>500</v>
      </c>
      <c r="C18" s="35">
        <v>107026</v>
      </c>
      <c r="G18" s="67" t="s">
        <v>1628</v>
      </c>
      <c r="H18" s="98">
        <v>1</v>
      </c>
      <c r="I18" s="35">
        <v>241</v>
      </c>
      <c r="V18" s="53"/>
      <c r="W18" s="35"/>
    </row>
    <row r="19" spans="1:23" x14ac:dyDescent="0.25">
      <c r="G19" s="67" t="s">
        <v>1629</v>
      </c>
      <c r="H19" s="98">
        <v>1</v>
      </c>
      <c r="I19" s="35">
        <v>248</v>
      </c>
    </row>
    <row r="20" spans="1:23" x14ac:dyDescent="0.25">
      <c r="G20" s="53" t="s">
        <v>1585</v>
      </c>
      <c r="H20" s="98">
        <v>16</v>
      </c>
      <c r="I20" s="35">
        <v>3801</v>
      </c>
    </row>
    <row r="21" spans="1:23" x14ac:dyDescent="0.25">
      <c r="A21" s="54" t="s">
        <v>1592</v>
      </c>
      <c r="B21" t="s">
        <v>1591</v>
      </c>
      <c r="D21" s="54" t="s">
        <v>3</v>
      </c>
      <c r="E21" t="s">
        <v>1563</v>
      </c>
      <c r="V21" s="53"/>
      <c r="W21" s="35"/>
    </row>
    <row r="22" spans="1:23" x14ac:dyDescent="0.25">
      <c r="A22" s="53" t="s">
        <v>337</v>
      </c>
      <c r="B22" s="35">
        <v>3801</v>
      </c>
      <c r="D22" s="53" t="s">
        <v>11</v>
      </c>
      <c r="E22" s="98">
        <v>16</v>
      </c>
      <c r="V22" s="53"/>
      <c r="W22" s="35"/>
    </row>
    <row r="23" spans="1:23" x14ac:dyDescent="0.25">
      <c r="A23" s="53" t="s">
        <v>1585</v>
      </c>
      <c r="B23" s="35">
        <v>3801</v>
      </c>
      <c r="D23" s="53" t="s">
        <v>1585</v>
      </c>
      <c r="E23" s="98">
        <v>16</v>
      </c>
      <c r="V23" s="53"/>
      <c r="W23" s="35"/>
    </row>
    <row r="27" spans="1:23" x14ac:dyDescent="0.25">
      <c r="D27" t="s">
        <v>1580</v>
      </c>
      <c r="E27" t="s">
        <v>1581</v>
      </c>
    </row>
    <row r="28" spans="1:23" x14ac:dyDescent="0.25">
      <c r="D28" t="s">
        <v>1582</v>
      </c>
      <c r="E28">
        <f>K3</f>
        <v>16</v>
      </c>
    </row>
    <row r="29" spans="1:23" x14ac:dyDescent="0.25">
      <c r="D29" t="s">
        <v>1578</v>
      </c>
      <c r="E29" s="35">
        <f>L3</f>
        <v>3801</v>
      </c>
    </row>
    <row r="30" spans="1:23" x14ac:dyDescent="0.25">
      <c r="D30" t="s">
        <v>1579</v>
      </c>
      <c r="E30" s="35">
        <f>E29-Projections!L23</f>
        <v>-5699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90FA34-4CEE-44B4-B388-8405B1EA9CAB}">
  <sheetPr codeName="Sheet6"/>
  <dimension ref="A1"/>
  <sheetViews>
    <sheetView showGridLines="0" tabSelected="1" workbookViewId="0">
      <selection activeCell="R41" sqref="A1:XFD1048576"/>
    </sheetView>
  </sheetViews>
  <sheetFormatPr defaultRowHeight="15" x14ac:dyDescent="0.25"/>
  <cols>
    <col min="1" max="16384" width="9.140625" style="39"/>
  </cols>
  <sheetData/>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1657C540-AD8C-4D67-93A0-3298586440AB}">
  <ds:schemaRefs/>
</ds:datastoreItem>
</file>

<file path=customXml/itemProps2.xml><?xml version="1.0" encoding="utf-8"?>
<ds:datastoreItem xmlns:ds="http://schemas.openxmlformats.org/officeDocument/2006/customXml" ds:itemID="{7C9EBB4F-5917-4A54-864D-400B5D3FA346}">
  <ds:schemaRefs/>
</ds:datastoreItem>
</file>

<file path=customXml/itemProps3.xml><?xml version="1.0" encoding="utf-8"?>
<ds:datastoreItem xmlns:ds="http://schemas.openxmlformats.org/officeDocument/2006/customXml" ds:itemID="{3401673C-D3D3-4821-9DB7-6042631FF88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5</vt:i4>
      </vt:variant>
    </vt:vector>
  </HeadingPairs>
  <TitlesOfParts>
    <vt:vector size="14" baseType="lpstr">
      <vt:lpstr>Event_Data</vt:lpstr>
      <vt:lpstr>Assumptions</vt:lpstr>
      <vt:lpstr>Conference Attendance</vt:lpstr>
      <vt:lpstr>Event Summary</vt:lpstr>
      <vt:lpstr>Projections</vt:lpstr>
      <vt:lpstr>ForecastTicketSales</vt:lpstr>
      <vt:lpstr>Scenario Summary</vt:lpstr>
      <vt:lpstr>Pivot Data</vt:lpstr>
      <vt:lpstr>Event Dashboard</vt:lpstr>
      <vt:lpstr>ForecastRegistration</vt:lpstr>
      <vt:lpstr>ForecastRevenue</vt:lpstr>
      <vt:lpstr>TargetProfit</vt:lpstr>
      <vt:lpstr>TicketPrice</vt:lpstr>
      <vt:lpstr>TotalCost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Niq Hartley</dc:creator>
  <cp:keywords/>
  <dc:description/>
  <cp:lastModifiedBy>Sriram P</cp:lastModifiedBy>
  <cp:revision/>
  <dcterms:created xsi:type="dcterms:W3CDTF">2024-11-13T21:46:44Z</dcterms:created>
  <dcterms:modified xsi:type="dcterms:W3CDTF">2025-11-20T00:26:45Z</dcterms:modified>
  <cp:category/>
  <cp:contentStatus/>
</cp:coreProperties>
</file>
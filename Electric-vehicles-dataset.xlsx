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80d41073232aeadf/Documents/Coursera/Excel with CoPilot/Graded Projects/Data Cleaning and Processing/"/>
    </mc:Choice>
  </mc:AlternateContent>
  <xr:revisionPtr revIDLastSave="2018" documentId="13_ncr:1_{DEC1D9AB-C57C-4EE5-BE61-0FCAA68C258E}" xr6:coauthVersionLast="47" xr6:coauthVersionMax="47" xr10:uidLastSave="{320A2AD8-C976-4793-BE6B-2B68753CBBBE}"/>
  <bookViews>
    <workbookView xWindow="-120" yWindow="-120" windowWidth="29040" windowHeight="15840" activeTab="1" xr2:uid="{00000000-000D-0000-FFFF-FFFF00000000}"/>
  </bookViews>
  <sheets>
    <sheet name="Electric Vehicles Raw" sheetId="2" r:id="rId1"/>
    <sheet name="Electric Vehicles Processed" sheetId="4" r:id="rId2"/>
    <sheet name="Electric Vehicles Pivot Table" sheetId="7" r:id="rId3"/>
  </sheets>
  <definedNames>
    <definedName name="_xlnm._FilterDatabase" localSheetId="2" hidden="1">'Electric Vehicles Pivot Table'!#REF!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mU7HUradDqG8Ol9nJdRJtbk9kyKu4ILcLIiEFR4Yu8="/>
    </ext>
  </extLst>
</workbook>
</file>

<file path=xl/calcChain.xml><?xml version="1.0" encoding="utf-8"?>
<calcChain xmlns="http://schemas.openxmlformats.org/spreadsheetml/2006/main">
  <c r="X3" i="4" l="1" a="1"/>
  <c r="X3" i="4" s="1"/>
  <c r="X4" i="4" a="1"/>
  <c r="X4" i="4" s="1"/>
  <c r="X5" i="4" a="1"/>
  <c r="X5" i="4" s="1"/>
  <c r="X6" i="4" a="1"/>
  <c r="X6" i="4" s="1"/>
  <c r="X7" i="4" a="1"/>
  <c r="X7" i="4" s="1"/>
  <c r="X8" i="4" a="1"/>
  <c r="X8" i="4" s="1"/>
  <c r="X9" i="4" a="1"/>
  <c r="X9" i="4" s="1"/>
  <c r="X10" i="4" a="1"/>
  <c r="X10" i="4" s="1"/>
  <c r="X11" i="4" a="1"/>
  <c r="X11" i="4" s="1"/>
  <c r="X12" i="4" a="1"/>
  <c r="X12" i="4" s="1"/>
  <c r="X13" i="4" a="1"/>
  <c r="X13" i="4" s="1"/>
  <c r="X14" i="4" a="1"/>
  <c r="X14" i="4" s="1"/>
  <c r="X15" i="4" a="1"/>
  <c r="X15" i="4" s="1"/>
  <c r="X16" i="4" a="1"/>
  <c r="X16" i="4" s="1"/>
  <c r="X17" i="4" a="1"/>
  <c r="X17" i="4" s="1"/>
  <c r="X18" i="4" a="1"/>
  <c r="X18" i="4" s="1"/>
  <c r="X19" i="4" a="1"/>
  <c r="X19" i="4" s="1"/>
  <c r="X20" i="4" a="1"/>
  <c r="X20" i="4" s="1"/>
  <c r="X21" i="4" a="1"/>
  <c r="X21" i="4" s="1"/>
  <c r="X22" i="4" a="1"/>
  <c r="X22" i="4" s="1"/>
  <c r="X23" i="4" a="1"/>
  <c r="X23" i="4" s="1"/>
  <c r="X24" i="4" a="1"/>
  <c r="X24" i="4" s="1"/>
  <c r="X25" i="4" a="1"/>
  <c r="X25" i="4" s="1"/>
  <c r="X26" i="4" a="1"/>
  <c r="X26" i="4" s="1"/>
  <c r="X27" i="4" a="1"/>
  <c r="X27" i="4" s="1"/>
  <c r="X28" i="4" a="1"/>
  <c r="X28" i="4" s="1"/>
  <c r="X29" i="4" a="1"/>
  <c r="X29" i="4" s="1"/>
  <c r="X30" i="4" a="1"/>
  <c r="X30" i="4" s="1"/>
  <c r="X31" i="4" a="1"/>
  <c r="X31" i="4" s="1"/>
  <c r="X32" i="4" a="1"/>
  <c r="X32" i="4" s="1"/>
  <c r="X33" i="4" a="1"/>
  <c r="X33" i="4" s="1"/>
  <c r="X34" i="4" a="1"/>
  <c r="X34" i="4" s="1"/>
  <c r="X35" i="4" a="1"/>
  <c r="X35" i="4" s="1"/>
  <c r="X36" i="4" a="1"/>
  <c r="X36" i="4" s="1"/>
  <c r="X37" i="4" a="1"/>
  <c r="X37" i="4" s="1"/>
  <c r="X38" i="4" a="1"/>
  <c r="X38" i="4" s="1"/>
  <c r="X39" i="4" a="1"/>
  <c r="X39" i="4" s="1"/>
  <c r="X40" i="4" a="1"/>
  <c r="X40" i="4" s="1"/>
  <c r="X41" i="4" a="1"/>
  <c r="X41" i="4" s="1"/>
  <c r="X42" i="4" a="1"/>
  <c r="X42" i="4" s="1"/>
  <c r="X43" i="4" a="1"/>
  <c r="X43" i="4" s="1"/>
  <c r="X44" i="4" a="1"/>
  <c r="X44" i="4" s="1"/>
  <c r="X45" i="4" a="1"/>
  <c r="X45" i="4" s="1"/>
  <c r="X46" i="4" a="1"/>
  <c r="X46" i="4" s="1"/>
  <c r="X47" i="4" a="1"/>
  <c r="X47" i="4" s="1"/>
  <c r="X48" i="4" a="1"/>
  <c r="X48" i="4" s="1"/>
  <c r="X49" i="4" a="1"/>
  <c r="X49" i="4" s="1"/>
  <c r="X50" i="4" a="1"/>
  <c r="X50" i="4" s="1"/>
  <c r="X51" i="4" a="1"/>
  <c r="X51" i="4" s="1"/>
  <c r="X52" i="4" a="1"/>
  <c r="X52" i="4" s="1"/>
  <c r="X53" i="4" a="1"/>
  <c r="X53" i="4" s="1"/>
  <c r="X54" i="4" a="1"/>
  <c r="X54" i="4" s="1"/>
  <c r="X55" i="4" a="1"/>
  <c r="X55" i="4" s="1"/>
  <c r="X56" i="4" a="1"/>
  <c r="X56" i="4" s="1"/>
  <c r="X57" i="4" a="1"/>
  <c r="X57" i="4" s="1"/>
  <c r="X58" i="4" a="1"/>
  <c r="X58" i="4" s="1"/>
  <c r="X59" i="4" a="1"/>
  <c r="X59" i="4" s="1"/>
  <c r="X60" i="4" a="1"/>
  <c r="X60" i="4" s="1"/>
  <c r="X61" i="4" a="1"/>
  <c r="X61" i="4" s="1"/>
  <c r="X62" i="4" a="1"/>
  <c r="X62" i="4" s="1"/>
  <c r="X63" i="4" a="1"/>
  <c r="X63" i="4" s="1"/>
  <c r="X64" i="4" a="1"/>
  <c r="X64" i="4" s="1"/>
  <c r="X65" i="4" a="1"/>
  <c r="X65" i="4" s="1"/>
  <c r="X66" i="4" a="1"/>
  <c r="X66" i="4" s="1"/>
  <c r="X67" i="4" a="1"/>
  <c r="X67" i="4" s="1"/>
  <c r="X68" i="4" a="1"/>
  <c r="X68" i="4" s="1"/>
  <c r="X69" i="4" a="1"/>
  <c r="X69" i="4" s="1"/>
  <c r="X70" i="4" a="1"/>
  <c r="X70" i="4" s="1"/>
  <c r="X71" i="4" a="1"/>
  <c r="X71" i="4" s="1"/>
  <c r="X72" i="4" a="1"/>
  <c r="X72" i="4" s="1"/>
  <c r="X73" i="4" a="1"/>
  <c r="X73" i="4" s="1"/>
  <c r="X74" i="4" a="1"/>
  <c r="X74" i="4" s="1"/>
  <c r="X75" i="4" a="1"/>
  <c r="X75" i="4" s="1"/>
  <c r="X76" i="4" a="1"/>
  <c r="X76" i="4" s="1"/>
  <c r="X77" i="4" a="1"/>
  <c r="X77" i="4" s="1"/>
  <c r="X78" i="4" a="1"/>
  <c r="X78" i="4" s="1"/>
  <c r="X79" i="4" a="1"/>
  <c r="X79" i="4" s="1"/>
  <c r="X80" i="4" a="1"/>
  <c r="X80" i="4" s="1"/>
  <c r="X81" i="4" a="1"/>
  <c r="X81" i="4" s="1"/>
  <c r="X82" i="4" a="1"/>
  <c r="X82" i="4" s="1"/>
  <c r="X83" i="4" a="1"/>
  <c r="X83" i="4" s="1"/>
  <c r="X84" i="4" a="1"/>
  <c r="X84" i="4" s="1"/>
  <c r="X85" i="4" a="1"/>
  <c r="X85" i="4" s="1"/>
  <c r="X86" i="4" a="1"/>
  <c r="X86" i="4" s="1"/>
  <c r="X87" i="4" a="1"/>
  <c r="X87" i="4" s="1"/>
  <c r="X88" i="4" a="1"/>
  <c r="X88" i="4" s="1"/>
  <c r="X89" i="4" a="1"/>
  <c r="X89" i="4" s="1"/>
  <c r="X90" i="4" a="1"/>
  <c r="X90" i="4" s="1"/>
  <c r="X91" i="4" a="1"/>
  <c r="X91" i="4" s="1"/>
  <c r="X92" i="4" a="1"/>
  <c r="X92" i="4" s="1"/>
  <c r="X93" i="4" a="1"/>
  <c r="X93" i="4" s="1"/>
  <c r="X94" i="4" a="1"/>
  <c r="X94" i="4" s="1"/>
  <c r="X95" i="4" a="1"/>
  <c r="X95" i="4" s="1"/>
  <c r="X96" i="4" a="1"/>
  <c r="X96" i="4" s="1"/>
  <c r="X97" i="4" a="1"/>
  <c r="X97" i="4" s="1"/>
  <c r="X98" i="4" a="1"/>
  <c r="X98" i="4" s="1"/>
  <c r="X99" i="4" a="1"/>
  <c r="X99" i="4" s="1"/>
  <c r="X100" i="4" a="1"/>
  <c r="X100" i="4" s="1"/>
  <c r="X101" i="4" a="1"/>
  <c r="X101" i="4" s="1"/>
  <c r="X102" i="4" a="1"/>
  <c r="X102" i="4" s="1"/>
  <c r="X103" i="4" a="1"/>
  <c r="X103" i="4" s="1"/>
  <c r="X104" i="4" a="1"/>
  <c r="X104" i="4" s="1"/>
  <c r="X105" i="4" a="1"/>
  <c r="X105" i="4" s="1"/>
  <c r="X106" i="4" a="1"/>
  <c r="X106" i="4" s="1"/>
  <c r="X107" i="4" a="1"/>
  <c r="X107" i="4" s="1"/>
  <c r="X108" i="4" a="1"/>
  <c r="X108" i="4" s="1"/>
  <c r="X109" i="4" a="1"/>
  <c r="X109" i="4" s="1"/>
  <c r="X110" i="4" a="1"/>
  <c r="X110" i="4" s="1"/>
  <c r="X111" i="4" a="1"/>
  <c r="X111" i="4" s="1"/>
  <c r="X112" i="4" a="1"/>
  <c r="X112" i="4" s="1"/>
  <c r="X113" i="4" a="1"/>
  <c r="X113" i="4" s="1"/>
  <c r="X114" i="4" a="1"/>
  <c r="X114" i="4" s="1"/>
  <c r="X115" i="4" a="1"/>
  <c r="X115" i="4" s="1"/>
  <c r="X116" i="4" a="1"/>
  <c r="X116" i="4" s="1"/>
  <c r="X117" i="4" a="1"/>
  <c r="X117" i="4" s="1"/>
  <c r="X118" i="4" a="1"/>
  <c r="X118" i="4" s="1"/>
  <c r="X119" i="4" a="1"/>
  <c r="X119" i="4" s="1"/>
  <c r="X120" i="4" a="1"/>
  <c r="X120" i="4" s="1"/>
  <c r="X121" i="4" a="1"/>
  <c r="X121" i="4" s="1"/>
  <c r="X122" i="4" a="1"/>
  <c r="X122" i="4" s="1"/>
  <c r="X123" i="4" a="1"/>
  <c r="X123" i="4" s="1"/>
  <c r="X124" i="4" a="1"/>
  <c r="X124" i="4" s="1"/>
  <c r="X125" i="4" a="1"/>
  <c r="X125" i="4" s="1"/>
  <c r="X126" i="4" a="1"/>
  <c r="X126" i="4" s="1"/>
  <c r="X127" i="4" a="1"/>
  <c r="X127" i="4" s="1"/>
  <c r="X128" i="4" a="1"/>
  <c r="X128" i="4" s="1"/>
  <c r="X129" i="4" a="1"/>
  <c r="X129" i="4" s="1"/>
  <c r="X130" i="4" a="1"/>
  <c r="X130" i="4" s="1"/>
  <c r="X131" i="4" a="1"/>
  <c r="X131" i="4" s="1"/>
  <c r="X132" i="4" a="1"/>
  <c r="X132" i="4" s="1"/>
  <c r="X133" i="4" a="1"/>
  <c r="X133" i="4" s="1"/>
  <c r="X134" i="4" a="1"/>
  <c r="X134" i="4" s="1"/>
  <c r="X135" i="4" a="1"/>
  <c r="X135" i="4" s="1"/>
  <c r="X136" i="4" a="1"/>
  <c r="X136" i="4" s="1"/>
  <c r="X137" i="4" a="1"/>
  <c r="X137" i="4" s="1"/>
  <c r="X138" i="4" a="1"/>
  <c r="X138" i="4" s="1"/>
  <c r="X139" i="4" a="1"/>
  <c r="X139" i="4" s="1"/>
  <c r="X140" i="4" a="1"/>
  <c r="X140" i="4" s="1"/>
  <c r="X141" i="4" a="1"/>
  <c r="X141" i="4" s="1"/>
  <c r="X142" i="4" a="1"/>
  <c r="X142" i="4" s="1"/>
  <c r="X143" i="4" a="1"/>
  <c r="X143" i="4" s="1"/>
  <c r="X144" i="4" a="1"/>
  <c r="X144" i="4" s="1"/>
  <c r="X145" i="4" a="1"/>
  <c r="X145" i="4" s="1"/>
  <c r="X146" i="4" a="1"/>
  <c r="X146" i="4" s="1"/>
  <c r="X147" i="4" a="1"/>
  <c r="X147" i="4" s="1"/>
  <c r="X148" i="4" a="1"/>
  <c r="X148" i="4" s="1"/>
  <c r="X149" i="4" a="1"/>
  <c r="X149" i="4" s="1"/>
  <c r="X150" i="4" a="1"/>
  <c r="X150" i="4" s="1"/>
  <c r="X151" i="4" a="1"/>
  <c r="X151" i="4" s="1"/>
  <c r="X2" i="4" a="1"/>
  <c r="X2" i="4" s="1"/>
  <c r="W3" i="4" a="1"/>
  <c r="W3" i="4" s="1"/>
  <c r="W4" i="4" a="1"/>
  <c r="W4" i="4" s="1"/>
  <c r="W5" i="4" a="1"/>
  <c r="W5" i="4" s="1"/>
  <c r="W6" i="4" a="1"/>
  <c r="W6" i="4" s="1"/>
  <c r="W7" i="4" a="1"/>
  <c r="W7" i="4" s="1"/>
  <c r="W8" i="4" a="1"/>
  <c r="W8" i="4" s="1"/>
  <c r="W9" i="4" a="1"/>
  <c r="W9" i="4" s="1"/>
  <c r="W10" i="4" a="1"/>
  <c r="W10" i="4" s="1"/>
  <c r="W11" i="4" a="1"/>
  <c r="W11" i="4" s="1"/>
  <c r="W12" i="4" a="1"/>
  <c r="W12" i="4" s="1"/>
  <c r="W13" i="4" a="1"/>
  <c r="W13" i="4" s="1"/>
  <c r="W14" i="4" a="1"/>
  <c r="W14" i="4" s="1"/>
  <c r="W15" i="4" a="1"/>
  <c r="W15" i="4" s="1"/>
  <c r="W16" i="4" a="1"/>
  <c r="W16" i="4" s="1"/>
  <c r="W17" i="4" a="1"/>
  <c r="W17" i="4" s="1"/>
  <c r="W18" i="4" a="1"/>
  <c r="W18" i="4" s="1"/>
  <c r="W19" i="4" a="1"/>
  <c r="W19" i="4" s="1"/>
  <c r="W20" i="4" a="1"/>
  <c r="W20" i="4" s="1"/>
  <c r="W21" i="4" a="1"/>
  <c r="W21" i="4" s="1"/>
  <c r="W22" i="4" a="1"/>
  <c r="W22" i="4" s="1"/>
  <c r="W23" i="4" a="1"/>
  <c r="W23" i="4" s="1"/>
  <c r="W24" i="4" a="1"/>
  <c r="W24" i="4" s="1"/>
  <c r="W25" i="4" a="1"/>
  <c r="W25" i="4" s="1"/>
  <c r="W26" i="4" a="1"/>
  <c r="W26" i="4" s="1"/>
  <c r="W27" i="4" a="1"/>
  <c r="W27" i="4" s="1"/>
  <c r="W28" i="4" a="1"/>
  <c r="W28" i="4" s="1"/>
  <c r="W29" i="4" a="1"/>
  <c r="W29" i="4" s="1"/>
  <c r="W30" i="4" a="1"/>
  <c r="W30" i="4" s="1"/>
  <c r="W31" i="4" a="1"/>
  <c r="W31" i="4" s="1"/>
  <c r="W32" i="4" a="1"/>
  <c r="W32" i="4" s="1"/>
  <c r="W33" i="4" a="1"/>
  <c r="W33" i="4" s="1"/>
  <c r="W34" i="4" a="1"/>
  <c r="W34" i="4" s="1"/>
  <c r="W35" i="4" a="1"/>
  <c r="W35" i="4" s="1"/>
  <c r="W36" i="4" a="1"/>
  <c r="W36" i="4" s="1"/>
  <c r="W37" i="4" a="1"/>
  <c r="W37" i="4" s="1"/>
  <c r="W38" i="4" a="1"/>
  <c r="W38" i="4" s="1"/>
  <c r="W39" i="4" a="1"/>
  <c r="W39" i="4" s="1"/>
  <c r="W40" i="4" a="1"/>
  <c r="W40" i="4" s="1"/>
  <c r="W41" i="4" a="1"/>
  <c r="W41" i="4" s="1"/>
  <c r="W42" i="4" a="1"/>
  <c r="W42" i="4" s="1"/>
  <c r="W43" i="4" a="1"/>
  <c r="W43" i="4" s="1"/>
  <c r="W44" i="4" a="1"/>
  <c r="W44" i="4" s="1"/>
  <c r="W45" i="4" a="1"/>
  <c r="W45" i="4" s="1"/>
  <c r="W46" i="4" a="1"/>
  <c r="W46" i="4" s="1"/>
  <c r="W47" i="4" a="1"/>
  <c r="W47" i="4" s="1"/>
  <c r="W48" i="4" a="1"/>
  <c r="W48" i="4" s="1"/>
  <c r="W49" i="4" a="1"/>
  <c r="W49" i="4" s="1"/>
  <c r="W50" i="4" a="1"/>
  <c r="W50" i="4" s="1"/>
  <c r="W51" i="4" a="1"/>
  <c r="W51" i="4" s="1"/>
  <c r="W52" i="4" a="1"/>
  <c r="W52" i="4" s="1"/>
  <c r="W53" i="4" a="1"/>
  <c r="W53" i="4" s="1"/>
  <c r="W54" i="4" a="1"/>
  <c r="W54" i="4" s="1"/>
  <c r="W55" i="4" a="1"/>
  <c r="W55" i="4" s="1"/>
  <c r="W56" i="4" a="1"/>
  <c r="W56" i="4" s="1"/>
  <c r="W57" i="4" a="1"/>
  <c r="W57" i="4" s="1"/>
  <c r="W58" i="4" a="1"/>
  <c r="W58" i="4" s="1"/>
  <c r="W59" i="4" a="1"/>
  <c r="W59" i="4" s="1"/>
  <c r="W60" i="4" a="1"/>
  <c r="W60" i="4" s="1"/>
  <c r="W61" i="4" a="1"/>
  <c r="W61" i="4" s="1"/>
  <c r="W62" i="4" a="1"/>
  <c r="W62" i="4" s="1"/>
  <c r="W63" i="4" a="1"/>
  <c r="W63" i="4" s="1"/>
  <c r="W64" i="4" a="1"/>
  <c r="W64" i="4" s="1"/>
  <c r="W65" i="4" a="1"/>
  <c r="W65" i="4" s="1"/>
  <c r="W66" i="4" a="1"/>
  <c r="W66" i="4" s="1"/>
  <c r="W67" i="4" a="1"/>
  <c r="W67" i="4" s="1"/>
  <c r="W68" i="4" a="1"/>
  <c r="W68" i="4"/>
  <c r="W69" i="4" a="1"/>
  <c r="W69" i="4" s="1"/>
  <c r="W70" i="4" a="1"/>
  <c r="W70" i="4" s="1"/>
  <c r="W71" i="4" a="1"/>
  <c r="W71" i="4" s="1"/>
  <c r="W72" i="4" a="1"/>
  <c r="W72" i="4" s="1"/>
  <c r="W73" i="4" a="1"/>
  <c r="W73" i="4" s="1"/>
  <c r="W74" i="4" a="1"/>
  <c r="W74" i="4" s="1"/>
  <c r="W75" i="4" a="1"/>
  <c r="W75" i="4" s="1"/>
  <c r="W76" i="4" a="1"/>
  <c r="W76" i="4" s="1"/>
  <c r="W77" i="4" a="1"/>
  <c r="W77" i="4" s="1"/>
  <c r="W78" i="4" a="1"/>
  <c r="W78" i="4" s="1"/>
  <c r="W79" i="4" a="1"/>
  <c r="W79" i="4" s="1"/>
  <c r="W80" i="4" a="1"/>
  <c r="W80" i="4" s="1"/>
  <c r="W81" i="4" a="1"/>
  <c r="W81" i="4" s="1"/>
  <c r="W82" i="4" a="1"/>
  <c r="W82" i="4" s="1"/>
  <c r="W83" i="4" a="1"/>
  <c r="W83" i="4" s="1"/>
  <c r="W84" i="4" a="1"/>
  <c r="W84" i="4" s="1"/>
  <c r="W85" i="4" a="1"/>
  <c r="W85" i="4" s="1"/>
  <c r="W86" i="4" a="1"/>
  <c r="W86" i="4" s="1"/>
  <c r="W87" i="4" a="1"/>
  <c r="W87" i="4" s="1"/>
  <c r="W88" i="4" a="1"/>
  <c r="W88" i="4" s="1"/>
  <c r="W89" i="4" a="1"/>
  <c r="W89" i="4" s="1"/>
  <c r="W90" i="4" a="1"/>
  <c r="W90" i="4" s="1"/>
  <c r="W91" i="4" a="1"/>
  <c r="W91" i="4" s="1"/>
  <c r="W92" i="4" a="1"/>
  <c r="W92" i="4" s="1"/>
  <c r="W93" i="4" a="1"/>
  <c r="W93" i="4" s="1"/>
  <c r="W94" i="4" a="1"/>
  <c r="W94" i="4" s="1"/>
  <c r="W95" i="4" a="1"/>
  <c r="W95" i="4" s="1"/>
  <c r="W96" i="4" a="1"/>
  <c r="W96" i="4" s="1"/>
  <c r="W97" i="4" a="1"/>
  <c r="W97" i="4" s="1"/>
  <c r="W98" i="4" a="1"/>
  <c r="W98" i="4" s="1"/>
  <c r="W99" i="4" a="1"/>
  <c r="W99" i="4" s="1"/>
  <c r="W100" i="4" a="1"/>
  <c r="W100" i="4" s="1"/>
  <c r="W101" i="4" a="1"/>
  <c r="W101" i="4" s="1"/>
  <c r="W102" i="4" a="1"/>
  <c r="W102" i="4" s="1"/>
  <c r="W103" i="4" a="1"/>
  <c r="W103" i="4" s="1"/>
  <c r="W104" i="4" a="1"/>
  <c r="W104" i="4" s="1"/>
  <c r="W105" i="4" a="1"/>
  <c r="W105" i="4" s="1"/>
  <c r="W106" i="4" a="1"/>
  <c r="W106" i="4" s="1"/>
  <c r="W107" i="4" a="1"/>
  <c r="W107" i="4" s="1"/>
  <c r="W108" i="4" a="1"/>
  <c r="W108" i="4" s="1"/>
  <c r="W109" i="4" a="1"/>
  <c r="W109" i="4" s="1"/>
  <c r="W110" i="4" a="1"/>
  <c r="W110" i="4" s="1"/>
  <c r="W111" i="4" a="1"/>
  <c r="W111" i="4" s="1"/>
  <c r="W112" i="4" a="1"/>
  <c r="W112" i="4" s="1"/>
  <c r="W113" i="4" a="1"/>
  <c r="W113" i="4" s="1"/>
  <c r="W114" i="4" a="1"/>
  <c r="W114" i="4" s="1"/>
  <c r="W115" i="4" a="1"/>
  <c r="W115" i="4" s="1"/>
  <c r="W116" i="4" a="1"/>
  <c r="W116" i="4" s="1"/>
  <c r="W117" i="4" a="1"/>
  <c r="W117" i="4" s="1"/>
  <c r="W118" i="4" a="1"/>
  <c r="W118" i="4" s="1"/>
  <c r="W119" i="4" a="1"/>
  <c r="W119" i="4" s="1"/>
  <c r="W120" i="4" a="1"/>
  <c r="W120" i="4" s="1"/>
  <c r="W121" i="4" a="1"/>
  <c r="W121" i="4" s="1"/>
  <c r="W122" i="4" a="1"/>
  <c r="W122" i="4" s="1"/>
  <c r="W123" i="4" a="1"/>
  <c r="W123" i="4" s="1"/>
  <c r="W124" i="4" a="1"/>
  <c r="W124" i="4" s="1"/>
  <c r="W125" i="4" a="1"/>
  <c r="W125" i="4" s="1"/>
  <c r="W126" i="4" a="1"/>
  <c r="W126" i="4" s="1"/>
  <c r="W127" i="4" a="1"/>
  <c r="W127" i="4" s="1"/>
  <c r="W128" i="4" a="1"/>
  <c r="W128" i="4" s="1"/>
  <c r="W129" i="4" a="1"/>
  <c r="W129" i="4" s="1"/>
  <c r="W130" i="4" a="1"/>
  <c r="W130" i="4" s="1"/>
  <c r="W131" i="4" a="1"/>
  <c r="W131" i="4" s="1"/>
  <c r="W132" i="4" a="1"/>
  <c r="W132" i="4" s="1"/>
  <c r="W133" i="4" a="1"/>
  <c r="W133" i="4" s="1"/>
  <c r="W134" i="4" a="1"/>
  <c r="W134" i="4" s="1"/>
  <c r="W135" i="4" a="1"/>
  <c r="W135" i="4" s="1"/>
  <c r="W136" i="4" a="1"/>
  <c r="W136" i="4" s="1"/>
  <c r="W137" i="4" a="1"/>
  <c r="W137" i="4" s="1"/>
  <c r="W138" i="4" a="1"/>
  <c r="W138" i="4" s="1"/>
  <c r="W139" i="4" a="1"/>
  <c r="W139" i="4" s="1"/>
  <c r="W140" i="4" a="1"/>
  <c r="W140" i="4" s="1"/>
  <c r="W141" i="4" a="1"/>
  <c r="W141" i="4" s="1"/>
  <c r="W142" i="4" a="1"/>
  <c r="W142" i="4" s="1"/>
  <c r="W143" i="4" a="1"/>
  <c r="W143" i="4" s="1"/>
  <c r="W144" i="4" a="1"/>
  <c r="W144" i="4" s="1"/>
  <c r="W145" i="4" a="1"/>
  <c r="W145" i="4" s="1"/>
  <c r="W146" i="4" a="1"/>
  <c r="W146" i="4" s="1"/>
  <c r="W147" i="4" a="1"/>
  <c r="W147" i="4" s="1"/>
  <c r="W148" i="4" a="1"/>
  <c r="W148" i="4" s="1"/>
  <c r="W149" i="4" a="1"/>
  <c r="W149" i="4" s="1"/>
  <c r="W150" i="4" a="1"/>
  <c r="W150" i="4" s="1"/>
  <c r="W151" i="4" a="1"/>
  <c r="W151" i="4" s="1"/>
  <c r="W2" i="4" a="1"/>
  <c r="W2" i="4" s="1"/>
  <c r="AL13" i="4" a="1"/>
  <c r="AL13" i="4" s="1"/>
  <c r="AL12" i="4" a="1"/>
  <c r="AL12" i="4" s="1"/>
  <c r="AL11" i="4" a="1"/>
  <c r="AL11" i="4" s="1"/>
  <c r="AL10" i="4" a="1"/>
  <c r="AL10" i="4" s="1"/>
  <c r="AL9" i="4" a="1"/>
  <c r="AL9" i="4" s="1"/>
  <c r="AL8" i="4" a="1"/>
  <c r="AL8" i="4" s="1"/>
  <c r="AL7" i="4" a="1"/>
  <c r="AL7" i="4" s="1"/>
  <c r="AL6" i="4" a="1"/>
  <c r="AL6" i="4" s="1"/>
  <c r="AL5" i="4" a="1"/>
  <c r="AL5" i="4" s="1"/>
  <c r="AL4" i="4" a="1"/>
  <c r="AL4" i="4" s="1"/>
  <c r="U3" i="4" a="1"/>
  <c r="U3" i="4" s="1"/>
  <c r="U4" i="4" a="1"/>
  <c r="U4" i="4" s="1"/>
  <c r="U5" i="4" a="1"/>
  <c r="U5" i="4" s="1"/>
  <c r="U6" i="4" a="1"/>
  <c r="U6" i="4" s="1"/>
  <c r="U7" i="4" a="1"/>
  <c r="U7" i="4" s="1"/>
  <c r="U8" i="4" a="1"/>
  <c r="U8" i="4" s="1"/>
  <c r="U9" i="4" a="1"/>
  <c r="U9" i="4" s="1"/>
  <c r="U10" i="4" a="1"/>
  <c r="U10" i="4" s="1"/>
  <c r="U11" i="4" a="1"/>
  <c r="U11" i="4" s="1"/>
  <c r="U12" i="4" a="1"/>
  <c r="U12" i="4" s="1"/>
  <c r="U13" i="4" a="1"/>
  <c r="U13" i="4" s="1"/>
  <c r="U14" i="4" a="1"/>
  <c r="U14" i="4" s="1"/>
  <c r="U15" i="4" a="1"/>
  <c r="U15" i="4" s="1"/>
  <c r="U16" i="4" a="1"/>
  <c r="U16" i="4" s="1"/>
  <c r="U17" i="4" a="1"/>
  <c r="U17" i="4" s="1"/>
  <c r="U18" i="4" a="1"/>
  <c r="U18" i="4" s="1"/>
  <c r="U19" i="4" a="1"/>
  <c r="U19" i="4" s="1"/>
  <c r="U20" i="4" a="1"/>
  <c r="U20" i="4" s="1"/>
  <c r="U21" i="4" a="1"/>
  <c r="U21" i="4" s="1"/>
  <c r="U22" i="4" a="1"/>
  <c r="U22" i="4" s="1"/>
  <c r="U23" i="4" a="1"/>
  <c r="U23" i="4" s="1"/>
  <c r="U24" i="4" a="1"/>
  <c r="U24" i="4" s="1"/>
  <c r="U25" i="4" a="1"/>
  <c r="U25" i="4" s="1"/>
  <c r="U26" i="4" a="1"/>
  <c r="U26" i="4" s="1"/>
  <c r="U27" i="4" a="1"/>
  <c r="U27" i="4" s="1"/>
  <c r="U28" i="4" a="1"/>
  <c r="U28" i="4" s="1"/>
  <c r="U29" i="4" a="1"/>
  <c r="U29" i="4" s="1"/>
  <c r="U30" i="4" a="1"/>
  <c r="U30" i="4" s="1"/>
  <c r="U31" i="4" a="1"/>
  <c r="U31" i="4" s="1"/>
  <c r="U32" i="4" a="1"/>
  <c r="U32" i="4" s="1"/>
  <c r="U33" i="4" a="1"/>
  <c r="U33" i="4" s="1"/>
  <c r="U34" i="4" a="1"/>
  <c r="U34" i="4" s="1"/>
  <c r="U35" i="4" a="1"/>
  <c r="U35" i="4" s="1"/>
  <c r="U36" i="4" a="1"/>
  <c r="U36" i="4" s="1"/>
  <c r="U37" i="4" a="1"/>
  <c r="U37" i="4" s="1"/>
  <c r="U38" i="4" a="1"/>
  <c r="U38" i="4" s="1"/>
  <c r="U39" i="4" a="1"/>
  <c r="U39" i="4" s="1"/>
  <c r="U40" i="4" a="1"/>
  <c r="U40" i="4" s="1"/>
  <c r="U41" i="4" a="1"/>
  <c r="U41" i="4" s="1"/>
  <c r="U42" i="4" a="1"/>
  <c r="U42" i="4" s="1"/>
  <c r="U43" i="4" a="1"/>
  <c r="U43" i="4" s="1"/>
  <c r="U44" i="4" a="1"/>
  <c r="U44" i="4" s="1"/>
  <c r="U45" i="4" a="1"/>
  <c r="U45" i="4" s="1"/>
  <c r="U46" i="4" a="1"/>
  <c r="U46" i="4" s="1"/>
  <c r="U47" i="4" a="1"/>
  <c r="U47" i="4" s="1"/>
  <c r="U48" i="4" a="1"/>
  <c r="U48" i="4" s="1"/>
  <c r="U49" i="4" a="1"/>
  <c r="U49" i="4" s="1"/>
  <c r="U50" i="4" a="1"/>
  <c r="U50" i="4" s="1"/>
  <c r="U51" i="4" a="1"/>
  <c r="U51" i="4" s="1"/>
  <c r="U52" i="4" a="1"/>
  <c r="U52" i="4" s="1"/>
  <c r="U53" i="4" a="1"/>
  <c r="U53" i="4" s="1"/>
  <c r="U54" i="4" a="1"/>
  <c r="U54" i="4" s="1"/>
  <c r="U55" i="4" a="1"/>
  <c r="U55" i="4" s="1"/>
  <c r="U56" i="4" a="1"/>
  <c r="U56" i="4" s="1"/>
  <c r="U57" i="4" a="1"/>
  <c r="U57" i="4" s="1"/>
  <c r="U58" i="4" a="1"/>
  <c r="U58" i="4" s="1"/>
  <c r="U59" i="4" a="1"/>
  <c r="U59" i="4" s="1"/>
  <c r="U60" i="4" a="1"/>
  <c r="U60" i="4" s="1"/>
  <c r="U61" i="4" a="1"/>
  <c r="U61" i="4" s="1"/>
  <c r="U62" i="4" a="1"/>
  <c r="U62" i="4" s="1"/>
  <c r="U63" i="4" a="1"/>
  <c r="U63" i="4" s="1"/>
  <c r="U64" i="4" a="1"/>
  <c r="U64" i="4" s="1"/>
  <c r="U65" i="4" a="1"/>
  <c r="U65" i="4" s="1"/>
  <c r="U66" i="4" a="1"/>
  <c r="U66" i="4" s="1"/>
  <c r="U67" i="4" a="1"/>
  <c r="U67" i="4" s="1"/>
  <c r="U68" i="4" a="1"/>
  <c r="U68" i="4" s="1"/>
  <c r="U69" i="4" a="1"/>
  <c r="U69" i="4" s="1"/>
  <c r="U70" i="4" a="1"/>
  <c r="U70" i="4" s="1"/>
  <c r="U71" i="4" a="1"/>
  <c r="U71" i="4" s="1"/>
  <c r="U72" i="4" a="1"/>
  <c r="U72" i="4" s="1"/>
  <c r="U73" i="4" a="1"/>
  <c r="U73" i="4" s="1"/>
  <c r="U74" i="4" a="1"/>
  <c r="U74" i="4" s="1"/>
  <c r="U75" i="4" a="1"/>
  <c r="U75" i="4" s="1"/>
  <c r="U76" i="4" a="1"/>
  <c r="U76" i="4" s="1"/>
  <c r="U77" i="4" a="1"/>
  <c r="U77" i="4" s="1"/>
  <c r="U78" i="4" a="1"/>
  <c r="U78" i="4" s="1"/>
  <c r="U79" i="4" a="1"/>
  <c r="U79" i="4" s="1"/>
  <c r="U80" i="4" a="1"/>
  <c r="U80" i="4" s="1"/>
  <c r="U81" i="4" a="1"/>
  <c r="U81" i="4" s="1"/>
  <c r="U82" i="4" a="1"/>
  <c r="U82" i="4" s="1"/>
  <c r="U83" i="4" a="1"/>
  <c r="U83" i="4" s="1"/>
  <c r="U84" i="4" a="1"/>
  <c r="U84" i="4" s="1"/>
  <c r="U85" i="4" a="1"/>
  <c r="U85" i="4" s="1"/>
  <c r="U86" i="4" a="1"/>
  <c r="U86" i="4" s="1"/>
  <c r="U87" i="4" a="1"/>
  <c r="U87" i="4" s="1"/>
  <c r="U88" i="4" a="1"/>
  <c r="U88" i="4" s="1"/>
  <c r="U89" i="4" a="1"/>
  <c r="U89" i="4" s="1"/>
  <c r="U90" i="4" a="1"/>
  <c r="U90" i="4" s="1"/>
  <c r="U91" i="4" a="1"/>
  <c r="U91" i="4" s="1"/>
  <c r="U92" i="4" a="1"/>
  <c r="U92" i="4" s="1"/>
  <c r="U93" i="4" a="1"/>
  <c r="U93" i="4" s="1"/>
  <c r="U94" i="4" a="1"/>
  <c r="U94" i="4" s="1"/>
  <c r="U95" i="4" a="1"/>
  <c r="U95" i="4" s="1"/>
  <c r="U96" i="4" a="1"/>
  <c r="U96" i="4" s="1"/>
  <c r="U97" i="4" a="1"/>
  <c r="U97" i="4" s="1"/>
  <c r="U98" i="4" a="1"/>
  <c r="U98" i="4" s="1"/>
  <c r="U99" i="4" a="1"/>
  <c r="U99" i="4" s="1"/>
  <c r="U100" i="4" a="1"/>
  <c r="U100" i="4" s="1"/>
  <c r="U101" i="4" a="1"/>
  <c r="U101" i="4" s="1"/>
  <c r="U102" i="4" a="1"/>
  <c r="U102" i="4" s="1"/>
  <c r="U103" i="4" a="1"/>
  <c r="U103" i="4" s="1"/>
  <c r="U104" i="4" a="1"/>
  <c r="U104" i="4" s="1"/>
  <c r="U105" i="4" a="1"/>
  <c r="U105" i="4" s="1"/>
  <c r="U106" i="4" a="1"/>
  <c r="U106" i="4" s="1"/>
  <c r="U107" i="4" a="1"/>
  <c r="U107" i="4" s="1"/>
  <c r="U108" i="4" a="1"/>
  <c r="U108" i="4" s="1"/>
  <c r="U109" i="4" a="1"/>
  <c r="U109" i="4" s="1"/>
  <c r="U110" i="4" a="1"/>
  <c r="U110" i="4" s="1"/>
  <c r="U111" i="4" a="1"/>
  <c r="U111" i="4" s="1"/>
  <c r="U112" i="4" a="1"/>
  <c r="U112" i="4" s="1"/>
  <c r="U113" i="4" a="1"/>
  <c r="U113" i="4" s="1"/>
  <c r="U114" i="4" a="1"/>
  <c r="U114" i="4" s="1"/>
  <c r="U115" i="4" a="1"/>
  <c r="U115" i="4" s="1"/>
  <c r="U116" i="4" a="1"/>
  <c r="U116" i="4" s="1"/>
  <c r="U117" i="4" a="1"/>
  <c r="U117" i="4" s="1"/>
  <c r="U118" i="4" a="1"/>
  <c r="U118" i="4" s="1"/>
  <c r="U119" i="4" a="1"/>
  <c r="U119" i="4" s="1"/>
  <c r="U120" i="4" a="1"/>
  <c r="U120" i="4" s="1"/>
  <c r="U121" i="4" a="1"/>
  <c r="U121" i="4" s="1"/>
  <c r="U122" i="4" a="1"/>
  <c r="U122" i="4" s="1"/>
  <c r="U123" i="4" a="1"/>
  <c r="U123" i="4" s="1"/>
  <c r="U124" i="4" a="1"/>
  <c r="U124" i="4" s="1"/>
  <c r="U125" i="4" a="1"/>
  <c r="U125" i="4" s="1"/>
  <c r="U126" i="4" a="1"/>
  <c r="U126" i="4" s="1"/>
  <c r="U127" i="4" a="1"/>
  <c r="U127" i="4" s="1"/>
  <c r="U128" i="4" a="1"/>
  <c r="U128" i="4" s="1"/>
  <c r="U129" i="4" a="1"/>
  <c r="U129" i="4" s="1"/>
  <c r="U130" i="4" a="1"/>
  <c r="U130" i="4" s="1"/>
  <c r="U131" i="4" a="1"/>
  <c r="U131" i="4" s="1"/>
  <c r="U132" i="4" a="1"/>
  <c r="U132" i="4" s="1"/>
  <c r="U133" i="4" a="1"/>
  <c r="U133" i="4" s="1"/>
  <c r="U134" i="4" a="1"/>
  <c r="U134" i="4" s="1"/>
  <c r="U135" i="4" a="1"/>
  <c r="U135" i="4" s="1"/>
  <c r="U136" i="4" a="1"/>
  <c r="U136" i="4" s="1"/>
  <c r="U137" i="4" a="1"/>
  <c r="U137" i="4" s="1"/>
  <c r="U138" i="4" a="1"/>
  <c r="U138" i="4" s="1"/>
  <c r="U139" i="4" a="1"/>
  <c r="U139" i="4" s="1"/>
  <c r="U140" i="4" a="1"/>
  <c r="U140" i="4" s="1"/>
  <c r="U141" i="4" a="1"/>
  <c r="U141" i="4" s="1"/>
  <c r="U142" i="4" a="1"/>
  <c r="U142" i="4" s="1"/>
  <c r="U143" i="4" a="1"/>
  <c r="U143" i="4" s="1"/>
  <c r="U144" i="4" a="1"/>
  <c r="U144" i="4" s="1"/>
  <c r="U145" i="4" a="1"/>
  <c r="U145" i="4" s="1"/>
  <c r="U146" i="4" a="1"/>
  <c r="U146" i="4" s="1"/>
  <c r="U147" i="4" a="1"/>
  <c r="U147" i="4" s="1"/>
  <c r="U148" i="4" a="1"/>
  <c r="U148" i="4" s="1"/>
  <c r="U149" i="4" a="1"/>
  <c r="U149" i="4" s="1"/>
  <c r="U150" i="4" a="1"/>
  <c r="U150" i="4" s="1"/>
  <c r="U151" i="4" a="1"/>
  <c r="U151" i="4" s="1"/>
  <c r="U2" i="4" a="1"/>
  <c r="U2" i="4" s="1"/>
  <c r="T3" i="4" a="1"/>
  <c r="T3" i="4" s="1"/>
  <c r="T4" i="4" a="1"/>
  <c r="T4" i="4" s="1"/>
  <c r="T5" i="4" a="1"/>
  <c r="T5" i="4" s="1"/>
  <c r="T6" i="4" a="1"/>
  <c r="T6" i="4" s="1"/>
  <c r="T7" i="4" a="1"/>
  <c r="T7" i="4" s="1"/>
  <c r="T8" i="4" a="1"/>
  <c r="T8" i="4" s="1"/>
  <c r="T9" i="4" a="1"/>
  <c r="T9" i="4" s="1"/>
  <c r="T10" i="4" a="1"/>
  <c r="T10" i="4" s="1"/>
  <c r="T11" i="4" a="1"/>
  <c r="T11" i="4" s="1"/>
  <c r="T12" i="4" a="1"/>
  <c r="T12" i="4" s="1"/>
  <c r="T13" i="4" a="1"/>
  <c r="T13" i="4" s="1"/>
  <c r="T14" i="4" a="1"/>
  <c r="T14" i="4" s="1"/>
  <c r="T15" i="4" a="1"/>
  <c r="T15" i="4" s="1"/>
  <c r="T16" i="4" a="1"/>
  <c r="T16" i="4" s="1"/>
  <c r="T17" i="4" a="1"/>
  <c r="T17" i="4" s="1"/>
  <c r="T18" i="4" a="1"/>
  <c r="T18" i="4" s="1"/>
  <c r="T19" i="4" a="1"/>
  <c r="T19" i="4" s="1"/>
  <c r="T20" i="4" a="1"/>
  <c r="T20" i="4" s="1"/>
  <c r="T21" i="4" a="1"/>
  <c r="T21" i="4" s="1"/>
  <c r="T22" i="4" a="1"/>
  <c r="T22" i="4" s="1"/>
  <c r="T23" i="4" a="1"/>
  <c r="T23" i="4" s="1"/>
  <c r="T24" i="4" a="1"/>
  <c r="T24" i="4" s="1"/>
  <c r="T25" i="4" a="1"/>
  <c r="T25" i="4" s="1"/>
  <c r="T26" i="4" a="1"/>
  <c r="T26" i="4" s="1"/>
  <c r="T27" i="4" a="1"/>
  <c r="T27" i="4" s="1"/>
  <c r="T28" i="4" a="1"/>
  <c r="T28" i="4" s="1"/>
  <c r="T29" i="4" a="1"/>
  <c r="T29" i="4" s="1"/>
  <c r="T30" i="4" a="1"/>
  <c r="T30" i="4" s="1"/>
  <c r="T31" i="4" a="1"/>
  <c r="T31" i="4" s="1"/>
  <c r="T32" i="4" a="1"/>
  <c r="T32" i="4" s="1"/>
  <c r="T33" i="4" a="1"/>
  <c r="T33" i="4" s="1"/>
  <c r="T34" i="4" a="1"/>
  <c r="T34" i="4" s="1"/>
  <c r="T35" i="4" a="1"/>
  <c r="T35" i="4" s="1"/>
  <c r="T36" i="4" a="1"/>
  <c r="T36" i="4" s="1"/>
  <c r="T37" i="4" a="1"/>
  <c r="T37" i="4" s="1"/>
  <c r="T38" i="4" a="1"/>
  <c r="T38" i="4" s="1"/>
  <c r="T39" i="4" a="1"/>
  <c r="T39" i="4" s="1"/>
  <c r="T40" i="4" a="1"/>
  <c r="T40" i="4" s="1"/>
  <c r="T41" i="4" a="1"/>
  <c r="T41" i="4" s="1"/>
  <c r="T42" i="4" a="1"/>
  <c r="T42" i="4" s="1"/>
  <c r="T43" i="4" a="1"/>
  <c r="T43" i="4" s="1"/>
  <c r="T44" i="4" a="1"/>
  <c r="T44" i="4" s="1"/>
  <c r="T45" i="4" a="1"/>
  <c r="T45" i="4" s="1"/>
  <c r="T46" i="4" a="1"/>
  <c r="T46" i="4" s="1"/>
  <c r="T47" i="4" a="1"/>
  <c r="T47" i="4" s="1"/>
  <c r="T48" i="4" a="1"/>
  <c r="T48" i="4" s="1"/>
  <c r="T49" i="4" a="1"/>
  <c r="T49" i="4" s="1"/>
  <c r="T50" i="4" a="1"/>
  <c r="T50" i="4" s="1"/>
  <c r="T51" i="4" a="1"/>
  <c r="T51" i="4" s="1"/>
  <c r="T52" i="4" a="1"/>
  <c r="T52" i="4" s="1"/>
  <c r="T53" i="4" a="1"/>
  <c r="T53" i="4" s="1"/>
  <c r="T54" i="4" a="1"/>
  <c r="T54" i="4" s="1"/>
  <c r="T55" i="4" a="1"/>
  <c r="T55" i="4" s="1"/>
  <c r="T56" i="4" a="1"/>
  <c r="T56" i="4" s="1"/>
  <c r="T57" i="4" a="1"/>
  <c r="T57" i="4" s="1"/>
  <c r="T58" i="4" a="1"/>
  <c r="T58" i="4" s="1"/>
  <c r="T59" i="4" a="1"/>
  <c r="T59" i="4" s="1"/>
  <c r="T60" i="4" a="1"/>
  <c r="T60" i="4" s="1"/>
  <c r="T61" i="4" a="1"/>
  <c r="T61" i="4" s="1"/>
  <c r="T62" i="4" a="1"/>
  <c r="T62" i="4" s="1"/>
  <c r="T63" i="4" a="1"/>
  <c r="T63" i="4" s="1"/>
  <c r="T64" i="4" a="1"/>
  <c r="T64" i="4" s="1"/>
  <c r="T65" i="4" a="1"/>
  <c r="T65" i="4" s="1"/>
  <c r="T66" i="4" a="1"/>
  <c r="T66" i="4" s="1"/>
  <c r="T67" i="4" a="1"/>
  <c r="T67" i="4" s="1"/>
  <c r="T68" i="4" a="1"/>
  <c r="T68" i="4" s="1"/>
  <c r="T69" i="4" a="1"/>
  <c r="T69" i="4" s="1"/>
  <c r="T70" i="4" a="1"/>
  <c r="T70" i="4" s="1"/>
  <c r="T71" i="4" a="1"/>
  <c r="T71" i="4" s="1"/>
  <c r="T72" i="4" a="1"/>
  <c r="T72" i="4" s="1"/>
  <c r="T73" i="4" a="1"/>
  <c r="T73" i="4" s="1"/>
  <c r="T74" i="4" a="1"/>
  <c r="T74" i="4" s="1"/>
  <c r="T75" i="4" a="1"/>
  <c r="T75" i="4" s="1"/>
  <c r="T76" i="4" a="1"/>
  <c r="T76" i="4" s="1"/>
  <c r="T77" i="4" a="1"/>
  <c r="T77" i="4" s="1"/>
  <c r="T78" i="4" a="1"/>
  <c r="T78" i="4" s="1"/>
  <c r="T79" i="4" a="1"/>
  <c r="T79" i="4" s="1"/>
  <c r="T80" i="4" a="1"/>
  <c r="T80" i="4" s="1"/>
  <c r="T81" i="4" a="1"/>
  <c r="T81" i="4" s="1"/>
  <c r="T82" i="4" a="1"/>
  <c r="T82" i="4" s="1"/>
  <c r="T83" i="4" a="1"/>
  <c r="T83" i="4" s="1"/>
  <c r="T84" i="4" a="1"/>
  <c r="T84" i="4" s="1"/>
  <c r="T85" i="4" a="1"/>
  <c r="T85" i="4" s="1"/>
  <c r="T86" i="4" a="1"/>
  <c r="T86" i="4" s="1"/>
  <c r="T87" i="4" a="1"/>
  <c r="T87" i="4" s="1"/>
  <c r="T88" i="4" a="1"/>
  <c r="T88" i="4" s="1"/>
  <c r="T89" i="4" a="1"/>
  <c r="T89" i="4" s="1"/>
  <c r="T90" i="4" a="1"/>
  <c r="T90" i="4" s="1"/>
  <c r="T91" i="4" a="1"/>
  <c r="T91" i="4" s="1"/>
  <c r="T92" i="4" a="1"/>
  <c r="T92" i="4" s="1"/>
  <c r="T93" i="4" a="1"/>
  <c r="T93" i="4" s="1"/>
  <c r="T94" i="4" a="1"/>
  <c r="T94" i="4" s="1"/>
  <c r="T95" i="4" a="1"/>
  <c r="T95" i="4" s="1"/>
  <c r="T96" i="4" a="1"/>
  <c r="T96" i="4" s="1"/>
  <c r="T97" i="4" a="1"/>
  <c r="T97" i="4" s="1"/>
  <c r="T98" i="4" a="1"/>
  <c r="T98" i="4" s="1"/>
  <c r="T99" i="4" a="1"/>
  <c r="T99" i="4" s="1"/>
  <c r="T100" i="4" a="1"/>
  <c r="T100" i="4" s="1"/>
  <c r="T101" i="4" a="1"/>
  <c r="T101" i="4" s="1"/>
  <c r="T102" i="4" a="1"/>
  <c r="T102" i="4" s="1"/>
  <c r="T103" i="4" a="1"/>
  <c r="T103" i="4" s="1"/>
  <c r="T104" i="4" a="1"/>
  <c r="T104" i="4" s="1"/>
  <c r="T105" i="4" a="1"/>
  <c r="T105" i="4" s="1"/>
  <c r="T106" i="4" a="1"/>
  <c r="T106" i="4" s="1"/>
  <c r="T107" i="4" a="1"/>
  <c r="T107" i="4" s="1"/>
  <c r="T108" i="4" a="1"/>
  <c r="T108" i="4" s="1"/>
  <c r="T109" i="4" a="1"/>
  <c r="T109" i="4" s="1"/>
  <c r="T110" i="4" a="1"/>
  <c r="T110" i="4" s="1"/>
  <c r="T111" i="4" a="1"/>
  <c r="T111" i="4" s="1"/>
  <c r="T112" i="4" a="1"/>
  <c r="T112" i="4" s="1"/>
  <c r="T113" i="4" a="1"/>
  <c r="T113" i="4" s="1"/>
  <c r="T114" i="4" a="1"/>
  <c r="T114" i="4" s="1"/>
  <c r="T115" i="4" a="1"/>
  <c r="T115" i="4" s="1"/>
  <c r="T116" i="4" a="1"/>
  <c r="T116" i="4" s="1"/>
  <c r="T117" i="4" a="1"/>
  <c r="T117" i="4" s="1"/>
  <c r="T118" i="4" a="1"/>
  <c r="T118" i="4" s="1"/>
  <c r="T119" i="4" a="1"/>
  <c r="T119" i="4" s="1"/>
  <c r="T120" i="4" a="1"/>
  <c r="T120" i="4" s="1"/>
  <c r="T121" i="4" a="1"/>
  <c r="T121" i="4" s="1"/>
  <c r="T122" i="4" a="1"/>
  <c r="T122" i="4" s="1"/>
  <c r="T123" i="4" a="1"/>
  <c r="T123" i="4" s="1"/>
  <c r="T124" i="4" a="1"/>
  <c r="T124" i="4" s="1"/>
  <c r="T125" i="4" a="1"/>
  <c r="T125" i="4" s="1"/>
  <c r="T126" i="4" a="1"/>
  <c r="T126" i="4" s="1"/>
  <c r="T127" i="4" a="1"/>
  <c r="T127" i="4" s="1"/>
  <c r="T128" i="4" a="1"/>
  <c r="T128" i="4" s="1"/>
  <c r="T129" i="4" a="1"/>
  <c r="T129" i="4" s="1"/>
  <c r="T130" i="4" a="1"/>
  <c r="T130" i="4" s="1"/>
  <c r="T131" i="4" a="1"/>
  <c r="T131" i="4" s="1"/>
  <c r="T132" i="4" a="1"/>
  <c r="T132" i="4" s="1"/>
  <c r="T133" i="4" a="1"/>
  <c r="T133" i="4" s="1"/>
  <c r="T134" i="4" a="1"/>
  <c r="T134" i="4" s="1"/>
  <c r="T135" i="4" a="1"/>
  <c r="T135" i="4" s="1"/>
  <c r="T136" i="4" a="1"/>
  <c r="T136" i="4" s="1"/>
  <c r="T137" i="4" a="1"/>
  <c r="T137" i="4" s="1"/>
  <c r="T138" i="4" a="1"/>
  <c r="T138" i="4" s="1"/>
  <c r="T139" i="4" a="1"/>
  <c r="T139" i="4" s="1"/>
  <c r="T140" i="4" a="1"/>
  <c r="T140" i="4" s="1"/>
  <c r="T141" i="4" a="1"/>
  <c r="T141" i="4" s="1"/>
  <c r="T142" i="4" a="1"/>
  <c r="T142" i="4" s="1"/>
  <c r="T143" i="4" a="1"/>
  <c r="T143" i="4" s="1"/>
  <c r="T144" i="4" a="1"/>
  <c r="T144" i="4" s="1"/>
  <c r="T145" i="4" a="1"/>
  <c r="T145" i="4" s="1"/>
  <c r="T146" i="4" a="1"/>
  <c r="T146" i="4" s="1"/>
  <c r="T147" i="4" a="1"/>
  <c r="T147" i="4" s="1"/>
  <c r="T148" i="4" a="1"/>
  <c r="T148" i="4" s="1"/>
  <c r="T149" i="4" a="1"/>
  <c r="T149" i="4" s="1"/>
  <c r="T150" i="4" a="1"/>
  <c r="T150" i="4" s="1"/>
  <c r="T151" i="4" a="1"/>
  <c r="T151" i="4" s="1"/>
  <c r="T2" i="4" a="1"/>
  <c r="T2" i="4" s="1"/>
  <c r="S3" i="4" a="1"/>
  <c r="S3" i="4" s="1"/>
  <c r="S4" i="4" a="1"/>
  <c r="S4" i="4" s="1"/>
  <c r="S5" i="4" a="1"/>
  <c r="S5" i="4" s="1"/>
  <c r="S6" i="4" a="1"/>
  <c r="S6" i="4" s="1"/>
  <c r="S7" i="4" a="1"/>
  <c r="S7" i="4" s="1"/>
  <c r="S8" i="4" a="1"/>
  <c r="S8" i="4" s="1"/>
  <c r="S9" i="4" a="1"/>
  <c r="S9" i="4" s="1"/>
  <c r="S10" i="4" a="1"/>
  <c r="S10" i="4" s="1"/>
  <c r="S11" i="4" a="1"/>
  <c r="S11" i="4" s="1"/>
  <c r="S12" i="4" a="1"/>
  <c r="S12" i="4" s="1"/>
  <c r="S13" i="4" a="1"/>
  <c r="S13" i="4" s="1"/>
  <c r="S14" i="4" a="1"/>
  <c r="S14" i="4" s="1"/>
  <c r="S15" i="4" a="1"/>
  <c r="S15" i="4" s="1"/>
  <c r="S16" i="4" a="1"/>
  <c r="S16" i="4" s="1"/>
  <c r="S17" i="4" a="1"/>
  <c r="S17" i="4" s="1"/>
  <c r="S18" i="4" a="1"/>
  <c r="S18" i="4" s="1"/>
  <c r="S19" i="4" a="1"/>
  <c r="S19" i="4" s="1"/>
  <c r="S20" i="4" a="1"/>
  <c r="S20" i="4" s="1"/>
  <c r="S21" i="4" a="1"/>
  <c r="S21" i="4" s="1"/>
  <c r="S22" i="4" a="1"/>
  <c r="S22" i="4" s="1"/>
  <c r="S23" i="4" a="1"/>
  <c r="S23" i="4" s="1"/>
  <c r="S24" i="4" a="1"/>
  <c r="S24" i="4" s="1"/>
  <c r="S25" i="4" a="1"/>
  <c r="S25" i="4" s="1"/>
  <c r="S26" i="4" a="1"/>
  <c r="S26" i="4" s="1"/>
  <c r="S27" i="4" a="1"/>
  <c r="S27" i="4" s="1"/>
  <c r="S28" i="4" a="1"/>
  <c r="S28" i="4" s="1"/>
  <c r="S29" i="4" a="1"/>
  <c r="S29" i="4" s="1"/>
  <c r="S30" i="4" a="1"/>
  <c r="S30" i="4" s="1"/>
  <c r="S31" i="4" a="1"/>
  <c r="S31" i="4" s="1"/>
  <c r="S32" i="4" a="1"/>
  <c r="S32" i="4" s="1"/>
  <c r="S33" i="4" a="1"/>
  <c r="S33" i="4" s="1"/>
  <c r="S34" i="4" a="1"/>
  <c r="S34" i="4" s="1"/>
  <c r="S35" i="4" a="1"/>
  <c r="S35" i="4" s="1"/>
  <c r="S36" i="4" a="1"/>
  <c r="S36" i="4" s="1"/>
  <c r="S37" i="4" a="1"/>
  <c r="S37" i="4" s="1"/>
  <c r="S38" i="4" a="1"/>
  <c r="S38" i="4" s="1"/>
  <c r="S39" i="4" a="1"/>
  <c r="S39" i="4" s="1"/>
  <c r="S40" i="4" a="1"/>
  <c r="S40" i="4" s="1"/>
  <c r="S41" i="4" a="1"/>
  <c r="S41" i="4" s="1"/>
  <c r="S42" i="4" a="1"/>
  <c r="S42" i="4" s="1"/>
  <c r="S43" i="4" a="1"/>
  <c r="S43" i="4" s="1"/>
  <c r="S44" i="4" a="1"/>
  <c r="S44" i="4" s="1"/>
  <c r="S45" i="4" a="1"/>
  <c r="S45" i="4" s="1"/>
  <c r="S46" i="4" a="1"/>
  <c r="S46" i="4" s="1"/>
  <c r="S47" i="4" a="1"/>
  <c r="S47" i="4" s="1"/>
  <c r="S48" i="4" a="1"/>
  <c r="S48" i="4" s="1"/>
  <c r="S49" i="4" a="1"/>
  <c r="S49" i="4" s="1"/>
  <c r="S50" i="4" a="1"/>
  <c r="S50" i="4" s="1"/>
  <c r="S51" i="4" a="1"/>
  <c r="S51" i="4" s="1"/>
  <c r="S52" i="4" a="1"/>
  <c r="S52" i="4" s="1"/>
  <c r="S53" i="4" a="1"/>
  <c r="S53" i="4" s="1"/>
  <c r="S54" i="4" a="1"/>
  <c r="S54" i="4" s="1"/>
  <c r="S55" i="4" a="1"/>
  <c r="S55" i="4" s="1"/>
  <c r="S56" i="4" a="1"/>
  <c r="S56" i="4" s="1"/>
  <c r="S57" i="4" a="1"/>
  <c r="S57" i="4" s="1"/>
  <c r="S58" i="4" a="1"/>
  <c r="S58" i="4" s="1"/>
  <c r="S59" i="4" a="1"/>
  <c r="S59" i="4" s="1"/>
  <c r="S60" i="4" a="1"/>
  <c r="S60" i="4" s="1"/>
  <c r="S61" i="4" a="1"/>
  <c r="S61" i="4" s="1"/>
  <c r="S62" i="4" a="1"/>
  <c r="S62" i="4" s="1"/>
  <c r="S63" i="4" a="1"/>
  <c r="S63" i="4" s="1"/>
  <c r="S64" i="4" a="1"/>
  <c r="S64" i="4" s="1"/>
  <c r="S65" i="4" a="1"/>
  <c r="S65" i="4" s="1"/>
  <c r="S66" i="4" a="1"/>
  <c r="S66" i="4" s="1"/>
  <c r="S67" i="4" a="1"/>
  <c r="S67" i="4" s="1"/>
  <c r="S68" i="4" a="1"/>
  <c r="S68" i="4" s="1"/>
  <c r="S69" i="4" a="1"/>
  <c r="S69" i="4" s="1"/>
  <c r="S70" i="4" a="1"/>
  <c r="S70" i="4" s="1"/>
  <c r="S71" i="4" a="1"/>
  <c r="S71" i="4" s="1"/>
  <c r="S72" i="4" a="1"/>
  <c r="S72" i="4" s="1"/>
  <c r="S73" i="4" a="1"/>
  <c r="S73" i="4" s="1"/>
  <c r="S74" i="4" a="1"/>
  <c r="S74" i="4" s="1"/>
  <c r="S75" i="4" a="1"/>
  <c r="S75" i="4" s="1"/>
  <c r="S76" i="4" a="1"/>
  <c r="S76" i="4" s="1"/>
  <c r="S77" i="4" a="1"/>
  <c r="S77" i="4" s="1"/>
  <c r="S78" i="4" a="1"/>
  <c r="S78" i="4" s="1"/>
  <c r="S79" i="4" a="1"/>
  <c r="S79" i="4" s="1"/>
  <c r="S80" i="4" a="1"/>
  <c r="S80" i="4" s="1"/>
  <c r="S81" i="4" a="1"/>
  <c r="S81" i="4" s="1"/>
  <c r="S82" i="4" a="1"/>
  <c r="S82" i="4" s="1"/>
  <c r="S83" i="4" a="1"/>
  <c r="S83" i="4" s="1"/>
  <c r="S84" i="4" a="1"/>
  <c r="S84" i="4" s="1"/>
  <c r="S85" i="4" a="1"/>
  <c r="S85" i="4" s="1"/>
  <c r="S86" i="4" a="1"/>
  <c r="S86" i="4" s="1"/>
  <c r="S87" i="4" a="1"/>
  <c r="S87" i="4" s="1"/>
  <c r="S88" i="4" a="1"/>
  <c r="S88" i="4" s="1"/>
  <c r="S89" i="4" a="1"/>
  <c r="S89" i="4" s="1"/>
  <c r="S90" i="4" a="1"/>
  <c r="S90" i="4" s="1"/>
  <c r="S91" i="4" a="1"/>
  <c r="S91" i="4" s="1"/>
  <c r="S92" i="4" a="1"/>
  <c r="S92" i="4" s="1"/>
  <c r="S93" i="4" a="1"/>
  <c r="S93" i="4" s="1"/>
  <c r="S94" i="4" a="1"/>
  <c r="S94" i="4" s="1"/>
  <c r="S95" i="4" a="1"/>
  <c r="S95" i="4" s="1"/>
  <c r="S96" i="4" a="1"/>
  <c r="S96" i="4" s="1"/>
  <c r="S97" i="4" a="1"/>
  <c r="S97" i="4" s="1"/>
  <c r="S98" i="4" a="1"/>
  <c r="S98" i="4" s="1"/>
  <c r="S99" i="4" a="1"/>
  <c r="S99" i="4" s="1"/>
  <c r="S100" i="4" a="1"/>
  <c r="S100" i="4" s="1"/>
  <c r="S101" i="4" a="1"/>
  <c r="S101" i="4" s="1"/>
  <c r="S102" i="4" a="1"/>
  <c r="S102" i="4" s="1"/>
  <c r="S103" i="4" a="1"/>
  <c r="S103" i="4" s="1"/>
  <c r="S104" i="4" a="1"/>
  <c r="S104" i="4" s="1"/>
  <c r="S105" i="4" a="1"/>
  <c r="S105" i="4" s="1"/>
  <c r="S106" i="4" a="1"/>
  <c r="S106" i="4" s="1"/>
  <c r="S107" i="4" a="1"/>
  <c r="S107" i="4" s="1"/>
  <c r="S108" i="4" a="1"/>
  <c r="S108" i="4" s="1"/>
  <c r="S109" i="4" a="1"/>
  <c r="S109" i="4" s="1"/>
  <c r="S110" i="4" a="1"/>
  <c r="S110" i="4" s="1"/>
  <c r="S111" i="4" a="1"/>
  <c r="S111" i="4" s="1"/>
  <c r="S112" i="4" a="1"/>
  <c r="S112" i="4" s="1"/>
  <c r="S113" i="4" a="1"/>
  <c r="S113" i="4" s="1"/>
  <c r="S114" i="4" a="1"/>
  <c r="S114" i="4" s="1"/>
  <c r="S115" i="4" a="1"/>
  <c r="S115" i="4" s="1"/>
  <c r="S116" i="4" a="1"/>
  <c r="S116" i="4" s="1"/>
  <c r="S117" i="4" a="1"/>
  <c r="S117" i="4" s="1"/>
  <c r="S118" i="4" a="1"/>
  <c r="S118" i="4" s="1"/>
  <c r="S119" i="4" a="1"/>
  <c r="S119" i="4" s="1"/>
  <c r="S120" i="4" a="1"/>
  <c r="S120" i="4" s="1"/>
  <c r="S121" i="4" a="1"/>
  <c r="S121" i="4" s="1"/>
  <c r="S122" i="4" a="1"/>
  <c r="S122" i="4" s="1"/>
  <c r="S123" i="4" a="1"/>
  <c r="S123" i="4" s="1"/>
  <c r="S124" i="4" a="1"/>
  <c r="S124" i="4" s="1"/>
  <c r="S125" i="4" a="1"/>
  <c r="S125" i="4" s="1"/>
  <c r="S126" i="4" a="1"/>
  <c r="S126" i="4" s="1"/>
  <c r="S127" i="4" a="1"/>
  <c r="S127" i="4" s="1"/>
  <c r="S128" i="4" a="1"/>
  <c r="S128" i="4" s="1"/>
  <c r="S129" i="4" a="1"/>
  <c r="S129" i="4" s="1"/>
  <c r="S130" i="4" a="1"/>
  <c r="S130" i="4" s="1"/>
  <c r="S131" i="4" a="1"/>
  <c r="S131" i="4" s="1"/>
  <c r="S132" i="4" a="1"/>
  <c r="S132" i="4" s="1"/>
  <c r="S133" i="4" a="1"/>
  <c r="S133" i="4" s="1"/>
  <c r="S134" i="4" a="1"/>
  <c r="S134" i="4" s="1"/>
  <c r="S135" i="4" a="1"/>
  <c r="S135" i="4" s="1"/>
  <c r="S136" i="4" a="1"/>
  <c r="S136" i="4" s="1"/>
  <c r="S137" i="4" a="1"/>
  <c r="S137" i="4" s="1"/>
  <c r="S138" i="4" a="1"/>
  <c r="S138" i="4" s="1"/>
  <c r="S139" i="4" a="1"/>
  <c r="S139" i="4" s="1"/>
  <c r="S140" i="4" a="1"/>
  <c r="S140" i="4" s="1"/>
  <c r="S141" i="4" a="1"/>
  <c r="S141" i="4" s="1"/>
  <c r="S142" i="4" a="1"/>
  <c r="S142" i="4" s="1"/>
  <c r="S143" i="4" a="1"/>
  <c r="S143" i="4" s="1"/>
  <c r="S144" i="4" a="1"/>
  <c r="S144" i="4" s="1"/>
  <c r="S145" i="4" a="1"/>
  <c r="S145" i="4" s="1"/>
  <c r="S146" i="4" a="1"/>
  <c r="S146" i="4" s="1"/>
  <c r="S147" i="4" a="1"/>
  <c r="S147" i="4" s="1"/>
  <c r="S148" i="4" a="1"/>
  <c r="S148" i="4" s="1"/>
  <c r="S149" i="4" a="1"/>
  <c r="S149" i="4" s="1"/>
  <c r="S150" i="4" a="1"/>
  <c r="S150" i="4" s="1"/>
  <c r="S151" i="4" a="1"/>
  <c r="S151" i="4" s="1"/>
  <c r="S2" i="4" a="1"/>
  <c r="S2" i="4" s="1"/>
  <c r="AE7" i="4"/>
  <c r="AE8" i="4"/>
  <c r="AE19" i="4"/>
  <c r="AE20" i="4"/>
  <c r="AE21" i="4"/>
  <c r="AE22" i="4"/>
  <c r="AE33" i="4"/>
  <c r="AE34" i="4"/>
  <c r="AE35" i="4"/>
  <c r="AE36" i="4"/>
  <c r="AE46" i="4"/>
  <c r="AE47" i="4"/>
  <c r="AE48" i="4"/>
  <c r="AE59" i="4"/>
  <c r="AE60" i="4"/>
  <c r="AE61" i="4"/>
  <c r="AE62" i="4"/>
  <c r="AE72" i="4"/>
  <c r="AE73" i="4"/>
  <c r="AE74" i="4"/>
  <c r="AE86" i="4"/>
  <c r="AE87" i="4"/>
  <c r="AE88" i="4"/>
  <c r="AE99" i="4"/>
  <c r="AE100" i="4"/>
  <c r="AE101" i="4"/>
  <c r="AE112" i="4"/>
  <c r="AE113" i="4"/>
  <c r="AE114" i="4"/>
  <c r="AE125" i="4"/>
  <c r="AE126" i="4"/>
  <c r="AE127" i="4"/>
  <c r="AE138" i="4"/>
  <c r="AE139" i="4"/>
  <c r="AE140" i="4"/>
  <c r="AE9" i="4"/>
  <c r="AE10" i="4"/>
  <c r="AE11" i="4"/>
  <c r="AE12" i="4"/>
  <c r="AE23" i="4"/>
  <c r="AE24" i="4"/>
  <c r="AE25" i="4"/>
  <c r="AE37" i="4"/>
  <c r="AE38" i="4"/>
  <c r="AE39" i="4"/>
  <c r="AE49" i="4"/>
  <c r="AE50" i="4"/>
  <c r="AE51" i="4"/>
  <c r="AE52" i="4"/>
  <c r="AE63" i="4"/>
  <c r="AE64" i="4"/>
  <c r="AE65" i="4"/>
  <c r="AE75" i="4"/>
  <c r="AE76" i="4"/>
  <c r="AE77" i="4"/>
  <c r="AE89" i="4"/>
  <c r="AE90" i="4"/>
  <c r="AE91" i="4"/>
  <c r="AE102" i="4"/>
  <c r="AE103" i="4"/>
  <c r="AE104" i="4"/>
  <c r="AE105" i="4"/>
  <c r="AE115" i="4"/>
  <c r="AE116" i="4"/>
  <c r="AE117" i="4"/>
  <c r="AE118" i="4"/>
  <c r="AE128" i="4"/>
  <c r="AE129" i="4"/>
  <c r="AE130" i="4"/>
  <c r="AE141" i="4"/>
  <c r="AE142" i="4"/>
  <c r="AE143" i="4"/>
  <c r="AE2" i="4"/>
  <c r="AE3" i="4"/>
  <c r="AE4" i="4"/>
  <c r="AE5" i="4"/>
  <c r="AE16" i="4"/>
  <c r="AE17" i="4"/>
  <c r="AE18" i="4"/>
  <c r="AE30" i="4"/>
  <c r="AE31" i="4"/>
  <c r="AE32" i="4"/>
  <c r="AE43" i="4"/>
  <c r="AE44" i="4"/>
  <c r="AE45" i="4"/>
  <c r="AE56" i="4"/>
  <c r="AE57" i="4"/>
  <c r="AE58" i="4"/>
  <c r="AE69" i="4"/>
  <c r="AE70" i="4"/>
  <c r="AE71" i="4"/>
  <c r="AE83" i="4"/>
  <c r="AE84" i="4"/>
  <c r="AE85" i="4"/>
  <c r="AE95" i="4"/>
  <c r="AE96" i="4"/>
  <c r="AE97" i="4"/>
  <c r="AE98" i="4"/>
  <c r="AE109" i="4"/>
  <c r="AE110" i="4"/>
  <c r="AE111" i="4"/>
  <c r="AE122" i="4"/>
  <c r="AE123" i="4"/>
  <c r="AE124" i="4"/>
  <c r="AE135" i="4"/>
  <c r="AE136" i="4"/>
  <c r="AE137" i="4"/>
  <c r="AE148" i="4"/>
  <c r="AE149" i="4"/>
  <c r="AE150" i="4"/>
  <c r="AE151" i="4"/>
  <c r="AE13" i="4"/>
  <c r="AE14" i="4"/>
  <c r="AE15" i="4"/>
  <c r="AE26" i="4"/>
  <c r="AE27" i="4"/>
  <c r="AE28" i="4"/>
  <c r="AE29" i="4"/>
  <c r="AE40" i="4"/>
  <c r="AE41" i="4"/>
  <c r="AE42" i="4"/>
  <c r="AE53" i="4"/>
  <c r="AE54" i="4"/>
  <c r="AE55" i="4"/>
  <c r="AE66" i="4"/>
  <c r="AE67" i="4"/>
  <c r="AE68" i="4"/>
  <c r="AE78" i="4"/>
  <c r="AE79" i="4"/>
  <c r="AE80" i="4"/>
  <c r="AE81" i="4"/>
  <c r="AE82" i="4"/>
  <c r="AE92" i="4"/>
  <c r="AE93" i="4"/>
  <c r="AE94" i="4"/>
  <c r="AE106" i="4"/>
  <c r="AE107" i="4"/>
  <c r="AE108" i="4"/>
  <c r="AE119" i="4"/>
  <c r="AE120" i="4"/>
  <c r="AE121" i="4"/>
  <c r="AE131" i="4"/>
  <c r="AE132" i="4"/>
  <c r="AE133" i="4"/>
  <c r="AE134" i="4"/>
  <c r="AE144" i="4"/>
  <c r="AE145" i="4"/>
  <c r="AE146" i="4"/>
  <c r="AE147" i="4"/>
  <c r="AE6" i="4"/>
  <c r="D73" i="4"/>
  <c r="F73" i="4"/>
  <c r="I73" i="4"/>
  <c r="J73" i="4" s="1"/>
  <c r="L73" i="4"/>
  <c r="M73" i="4"/>
  <c r="O73" i="4"/>
  <c r="Q73" i="4" s="1"/>
  <c r="Z73" i="4"/>
  <c r="AA73" i="4"/>
  <c r="D66" i="4"/>
  <c r="F66" i="4"/>
  <c r="I66" i="4"/>
  <c r="J66" i="4"/>
  <c r="L66" i="4"/>
  <c r="M66" i="4"/>
  <c r="O66" i="4"/>
  <c r="Q66" i="4" s="1"/>
  <c r="Z66" i="4"/>
  <c r="AA66" i="4"/>
  <c r="D133" i="4"/>
  <c r="F133" i="4"/>
  <c r="I133" i="4"/>
  <c r="J133" i="4" s="1"/>
  <c r="L133" i="4"/>
  <c r="M133" i="4"/>
  <c r="O133" i="4"/>
  <c r="Q133" i="4" s="1"/>
  <c r="Z133" i="4"/>
  <c r="AA133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7" i="4"/>
  <c r="AA68" i="4"/>
  <c r="AA69" i="4"/>
  <c r="AA70" i="4"/>
  <c r="AA71" i="4"/>
  <c r="AA72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7" i="4"/>
  <c r="Z68" i="4"/>
  <c r="Z69" i="4"/>
  <c r="Z70" i="4"/>
  <c r="Z71" i="4"/>
  <c r="Z72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2" i="4"/>
  <c r="O3" i="4"/>
  <c r="Q3" i="4" s="1"/>
  <c r="O4" i="4"/>
  <c r="Q4" i="4" s="1"/>
  <c r="O5" i="4"/>
  <c r="O6" i="4"/>
  <c r="Q6" i="4" s="1"/>
  <c r="O7" i="4"/>
  <c r="Q7" i="4" s="1"/>
  <c r="O8" i="4"/>
  <c r="Q8" i="4" s="1"/>
  <c r="O9" i="4"/>
  <c r="Q9" i="4" s="1"/>
  <c r="O10" i="4"/>
  <c r="Q10" i="4" s="1"/>
  <c r="O11" i="4"/>
  <c r="Q11" i="4" s="1"/>
  <c r="O12" i="4"/>
  <c r="O13" i="4"/>
  <c r="Q13" i="4" s="1"/>
  <c r="O14" i="4"/>
  <c r="Q14" i="4" s="1"/>
  <c r="O15" i="4"/>
  <c r="Q15" i="4" s="1"/>
  <c r="O16" i="4"/>
  <c r="Q16" i="4" s="1"/>
  <c r="O17" i="4"/>
  <c r="Q17" i="4" s="1"/>
  <c r="O18" i="4"/>
  <c r="Q18" i="4" s="1"/>
  <c r="O19" i="4"/>
  <c r="Q19" i="4" s="1"/>
  <c r="O20" i="4"/>
  <c r="Q20" i="4" s="1"/>
  <c r="O21" i="4"/>
  <c r="Q21" i="4" s="1"/>
  <c r="O22" i="4"/>
  <c r="Q22" i="4" s="1"/>
  <c r="O23" i="4"/>
  <c r="Q23" i="4" s="1"/>
  <c r="O24" i="4"/>
  <c r="Q24" i="4" s="1"/>
  <c r="O25" i="4"/>
  <c r="Q25" i="4" s="1"/>
  <c r="O26" i="4"/>
  <c r="Q26" i="4" s="1"/>
  <c r="O27" i="4"/>
  <c r="Q27" i="4" s="1"/>
  <c r="O28" i="4"/>
  <c r="Q28" i="4" s="1"/>
  <c r="O29" i="4"/>
  <c r="O30" i="4"/>
  <c r="Q30" i="4" s="1"/>
  <c r="O31" i="4"/>
  <c r="Q31" i="4" s="1"/>
  <c r="O32" i="4"/>
  <c r="Q32" i="4" s="1"/>
  <c r="O33" i="4"/>
  <c r="Q33" i="4" s="1"/>
  <c r="O34" i="4"/>
  <c r="Q34" i="4" s="1"/>
  <c r="O35" i="4"/>
  <c r="Q35" i="4" s="1"/>
  <c r="O36" i="4"/>
  <c r="Q36" i="4" s="1"/>
  <c r="O37" i="4"/>
  <c r="Q37" i="4" s="1"/>
  <c r="O38" i="4"/>
  <c r="Q38" i="4" s="1"/>
  <c r="O39" i="4"/>
  <c r="Q39" i="4" s="1"/>
  <c r="O40" i="4"/>
  <c r="Q40" i="4" s="1"/>
  <c r="O41" i="4"/>
  <c r="Q41" i="4" s="1"/>
  <c r="O42" i="4"/>
  <c r="Q42" i="4" s="1"/>
  <c r="O43" i="4"/>
  <c r="Q43" i="4" s="1"/>
  <c r="O44" i="4"/>
  <c r="O45" i="4"/>
  <c r="Q45" i="4" s="1"/>
  <c r="O46" i="4"/>
  <c r="Q46" i="4" s="1"/>
  <c r="O47" i="4"/>
  <c r="Q47" i="4" s="1"/>
  <c r="O48" i="4"/>
  <c r="Q48" i="4" s="1"/>
  <c r="O49" i="4"/>
  <c r="Q49" i="4" s="1"/>
  <c r="O50" i="4"/>
  <c r="Q50" i="4" s="1"/>
  <c r="O51" i="4"/>
  <c r="Q51" i="4" s="1"/>
  <c r="O52" i="4"/>
  <c r="Q52" i="4" s="1"/>
  <c r="O53" i="4"/>
  <c r="Q53" i="4" s="1"/>
  <c r="O54" i="4"/>
  <c r="Q54" i="4" s="1"/>
  <c r="O55" i="4"/>
  <c r="Q55" i="4" s="1"/>
  <c r="O56" i="4"/>
  <c r="Q56" i="4" s="1"/>
  <c r="O57" i="4"/>
  <c r="Q57" i="4" s="1"/>
  <c r="O58" i="4"/>
  <c r="Q58" i="4" s="1"/>
  <c r="O59" i="4"/>
  <c r="Q59" i="4" s="1"/>
  <c r="O60" i="4"/>
  <c r="Q60" i="4" s="1"/>
  <c r="O61" i="4"/>
  <c r="Q61" i="4" s="1"/>
  <c r="O62" i="4"/>
  <c r="Q62" i="4" s="1"/>
  <c r="O63" i="4"/>
  <c r="Q63" i="4" s="1"/>
  <c r="O64" i="4"/>
  <c r="Q64" i="4" s="1"/>
  <c r="O65" i="4"/>
  <c r="Q65" i="4" s="1"/>
  <c r="O67" i="4"/>
  <c r="Q67" i="4" s="1"/>
  <c r="O68" i="4"/>
  <c r="Q68" i="4" s="1"/>
  <c r="O69" i="4"/>
  <c r="Q69" i="4" s="1"/>
  <c r="O70" i="4"/>
  <c r="Q70" i="4" s="1"/>
  <c r="O71" i="4"/>
  <c r="O72" i="4"/>
  <c r="Q72" i="4" s="1"/>
  <c r="O74" i="4"/>
  <c r="Q74" i="4" s="1"/>
  <c r="O75" i="4"/>
  <c r="Q75" i="4" s="1"/>
  <c r="O76" i="4"/>
  <c r="Q76" i="4" s="1"/>
  <c r="O77" i="4"/>
  <c r="Q77" i="4" s="1"/>
  <c r="O78" i="4"/>
  <c r="Q78" i="4" s="1"/>
  <c r="O79" i="4"/>
  <c r="Q79" i="4" s="1"/>
  <c r="O80" i="4"/>
  <c r="Q80" i="4" s="1"/>
  <c r="O81" i="4"/>
  <c r="Q81" i="4" s="1"/>
  <c r="O82" i="4"/>
  <c r="Q82" i="4" s="1"/>
  <c r="O83" i="4"/>
  <c r="Q83" i="4" s="1"/>
  <c r="O84" i="4"/>
  <c r="Q84" i="4" s="1"/>
  <c r="O85" i="4"/>
  <c r="Q85" i="4" s="1"/>
  <c r="O86" i="4"/>
  <c r="Q86" i="4" s="1"/>
  <c r="O87" i="4"/>
  <c r="Q87" i="4" s="1"/>
  <c r="O88" i="4"/>
  <c r="Q88" i="4" s="1"/>
  <c r="O89" i="4"/>
  <c r="Q89" i="4" s="1"/>
  <c r="O90" i="4"/>
  <c r="Q90" i="4" s="1"/>
  <c r="O91" i="4"/>
  <c r="Q91" i="4" s="1"/>
  <c r="O92" i="4"/>
  <c r="Q92" i="4" s="1"/>
  <c r="O93" i="4"/>
  <c r="O94" i="4"/>
  <c r="Q94" i="4" s="1"/>
  <c r="O95" i="4"/>
  <c r="Q95" i="4" s="1"/>
  <c r="O96" i="4"/>
  <c r="Q96" i="4" s="1"/>
  <c r="O97" i="4"/>
  <c r="Q97" i="4" s="1"/>
  <c r="O98" i="4"/>
  <c r="Q98" i="4" s="1"/>
  <c r="O99" i="4"/>
  <c r="Q99" i="4" s="1"/>
  <c r="O100" i="4"/>
  <c r="Q100" i="4" s="1"/>
  <c r="O101" i="4"/>
  <c r="Q101" i="4" s="1"/>
  <c r="O102" i="4"/>
  <c r="Q102" i="4" s="1"/>
  <c r="O103" i="4"/>
  <c r="Q103" i="4" s="1"/>
  <c r="O104" i="4"/>
  <c r="Q104" i="4" s="1"/>
  <c r="O105" i="4"/>
  <c r="Q105" i="4" s="1"/>
  <c r="O106" i="4"/>
  <c r="Q106" i="4" s="1"/>
  <c r="O107" i="4"/>
  <c r="Q107" i="4" s="1"/>
  <c r="O108" i="4"/>
  <c r="Q108" i="4" s="1"/>
  <c r="O109" i="4"/>
  <c r="Q109" i="4" s="1"/>
  <c r="O110" i="4"/>
  <c r="Q110" i="4" s="1"/>
  <c r="O111" i="4"/>
  <c r="Q111" i="4" s="1"/>
  <c r="O112" i="4"/>
  <c r="Q112" i="4" s="1"/>
  <c r="O113" i="4"/>
  <c r="Q113" i="4" s="1"/>
  <c r="O114" i="4"/>
  <c r="Q114" i="4" s="1"/>
  <c r="O115" i="4"/>
  <c r="Q115" i="4" s="1"/>
  <c r="O116" i="4"/>
  <c r="Q116" i="4" s="1"/>
  <c r="O117" i="4"/>
  <c r="Q117" i="4" s="1"/>
  <c r="O118" i="4"/>
  <c r="Q118" i="4" s="1"/>
  <c r="O119" i="4"/>
  <c r="Q119" i="4" s="1"/>
  <c r="O120" i="4"/>
  <c r="Q120" i="4" s="1"/>
  <c r="O121" i="4"/>
  <c r="Q121" i="4" s="1"/>
  <c r="O122" i="4"/>
  <c r="Q122" i="4" s="1"/>
  <c r="O123" i="4"/>
  <c r="Q123" i="4" s="1"/>
  <c r="O124" i="4"/>
  <c r="Q124" i="4" s="1"/>
  <c r="O125" i="4"/>
  <c r="Q125" i="4" s="1"/>
  <c r="O126" i="4"/>
  <c r="Q126" i="4" s="1"/>
  <c r="O127" i="4"/>
  <c r="Q127" i="4" s="1"/>
  <c r="O128" i="4"/>
  <c r="Q128" i="4" s="1"/>
  <c r="O129" i="4"/>
  <c r="Q129" i="4" s="1"/>
  <c r="O130" i="4"/>
  <c r="Q130" i="4" s="1"/>
  <c r="O131" i="4"/>
  <c r="Q131" i="4" s="1"/>
  <c r="O132" i="4"/>
  <c r="Q132" i="4" s="1"/>
  <c r="O134" i="4"/>
  <c r="Q134" i="4" s="1"/>
  <c r="O135" i="4"/>
  <c r="Q135" i="4" s="1"/>
  <c r="O136" i="4"/>
  <c r="Q136" i="4" s="1"/>
  <c r="O137" i="4"/>
  <c r="Q137" i="4" s="1"/>
  <c r="O138" i="4"/>
  <c r="Q138" i="4" s="1"/>
  <c r="O139" i="4"/>
  <c r="Q139" i="4" s="1"/>
  <c r="O140" i="4"/>
  <c r="Q140" i="4" s="1"/>
  <c r="O141" i="4"/>
  <c r="Q141" i="4" s="1"/>
  <c r="O142" i="4"/>
  <c r="Q142" i="4" s="1"/>
  <c r="O143" i="4"/>
  <c r="Q143" i="4" s="1"/>
  <c r="O144" i="4"/>
  <c r="Q144" i="4" s="1"/>
  <c r="O145" i="4"/>
  <c r="Q145" i="4" s="1"/>
  <c r="O146" i="4"/>
  <c r="Q146" i="4" s="1"/>
  <c r="O147" i="4"/>
  <c r="Q147" i="4" s="1"/>
  <c r="O148" i="4"/>
  <c r="Q148" i="4" s="1"/>
  <c r="O149" i="4"/>
  <c r="Q149" i="4" s="1"/>
  <c r="O150" i="4"/>
  <c r="Q150" i="4" s="1"/>
  <c r="O151" i="4"/>
  <c r="Q151" i="4" s="1"/>
  <c r="O2" i="4"/>
  <c r="Q2" i="4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7" i="4"/>
  <c r="M68" i="4"/>
  <c r="M69" i="4"/>
  <c r="M70" i="4"/>
  <c r="M71" i="4"/>
  <c r="M72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2" i="4"/>
  <c r="J3" i="4"/>
  <c r="J4" i="4"/>
  <c r="J6" i="4"/>
  <c r="J8" i="4"/>
  <c r="J12" i="4"/>
  <c r="J13" i="4"/>
  <c r="J15" i="4"/>
  <c r="J17" i="4"/>
  <c r="J19" i="4"/>
  <c r="J20" i="4"/>
  <c r="J23" i="4"/>
  <c r="J24" i="4"/>
  <c r="J27" i="4"/>
  <c r="J28" i="4"/>
  <c r="J29" i="4"/>
  <c r="J30" i="4"/>
  <c r="J33" i="4"/>
  <c r="J34" i="4"/>
  <c r="J37" i="4"/>
  <c r="J39" i="4"/>
  <c r="J40" i="4"/>
  <c r="J42" i="4"/>
  <c r="J44" i="4"/>
  <c r="J48" i="4"/>
  <c r="J52" i="4"/>
  <c r="J53" i="4"/>
  <c r="J54" i="4"/>
  <c r="J56" i="4"/>
  <c r="J58" i="4"/>
  <c r="J60" i="4"/>
  <c r="J61" i="4"/>
  <c r="J62" i="4"/>
  <c r="J63" i="4"/>
  <c r="J64" i="4"/>
  <c r="J65" i="4"/>
  <c r="J68" i="4"/>
  <c r="J70" i="4"/>
  <c r="J71" i="4"/>
  <c r="J75" i="4"/>
  <c r="J76" i="4"/>
  <c r="J80" i="4"/>
  <c r="J83" i="4"/>
  <c r="J86" i="4"/>
  <c r="J87" i="4"/>
  <c r="J91" i="4"/>
  <c r="J92" i="4"/>
  <c r="J93" i="4"/>
  <c r="J95" i="4"/>
  <c r="J96" i="4"/>
  <c r="J97" i="4"/>
  <c r="J98" i="4"/>
  <c r="J100" i="4"/>
  <c r="J103" i="4"/>
  <c r="J104" i="4"/>
  <c r="J110" i="4"/>
  <c r="J111" i="4"/>
  <c r="J113" i="4"/>
  <c r="J114" i="4"/>
  <c r="J115" i="4"/>
  <c r="J116" i="4"/>
  <c r="J118" i="4"/>
  <c r="J121" i="4"/>
  <c r="J123" i="4"/>
  <c r="J124" i="4"/>
  <c r="J125" i="4"/>
  <c r="J127" i="4"/>
  <c r="J128" i="4"/>
  <c r="J129" i="4"/>
  <c r="J130" i="4"/>
  <c r="J135" i="4"/>
  <c r="J136" i="4"/>
  <c r="J141" i="4"/>
  <c r="J142" i="4"/>
  <c r="J143" i="4"/>
  <c r="J145" i="4"/>
  <c r="J146" i="4"/>
  <c r="J148" i="4"/>
  <c r="J150" i="4"/>
  <c r="J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2" i="4"/>
  <c r="I3" i="4"/>
  <c r="I4" i="4"/>
  <c r="I5" i="4"/>
  <c r="J5" i="4" s="1"/>
  <c r="I6" i="4"/>
  <c r="P6" i="4" s="1"/>
  <c r="I7" i="4"/>
  <c r="J7" i="4" s="1"/>
  <c r="I8" i="4"/>
  <c r="I9" i="4"/>
  <c r="J9" i="4" s="1"/>
  <c r="I10" i="4"/>
  <c r="J10" i="4" s="1"/>
  <c r="I11" i="4"/>
  <c r="J11" i="4" s="1"/>
  <c r="I12" i="4"/>
  <c r="I13" i="4"/>
  <c r="I14" i="4"/>
  <c r="J14" i="4" s="1"/>
  <c r="I15" i="4"/>
  <c r="I16" i="4"/>
  <c r="J16" i="4" s="1"/>
  <c r="I17" i="4"/>
  <c r="P17" i="4" s="1"/>
  <c r="I18" i="4"/>
  <c r="J18" i="4" s="1"/>
  <c r="I19" i="4"/>
  <c r="I20" i="4"/>
  <c r="I21" i="4"/>
  <c r="J21" i="4" s="1"/>
  <c r="I22" i="4"/>
  <c r="J22" i="4" s="1"/>
  <c r="I23" i="4"/>
  <c r="I24" i="4"/>
  <c r="I25" i="4"/>
  <c r="J25" i="4" s="1"/>
  <c r="I26" i="4"/>
  <c r="J26" i="4" s="1"/>
  <c r="I27" i="4"/>
  <c r="I28" i="4"/>
  <c r="I29" i="4"/>
  <c r="I30" i="4"/>
  <c r="P30" i="4" s="1"/>
  <c r="I31" i="4"/>
  <c r="J31" i="4" s="1"/>
  <c r="I32" i="4"/>
  <c r="J32" i="4" s="1"/>
  <c r="I33" i="4"/>
  <c r="I34" i="4"/>
  <c r="P34" i="4" s="1"/>
  <c r="I35" i="4"/>
  <c r="J35" i="4" s="1"/>
  <c r="I36" i="4"/>
  <c r="J36" i="4" s="1"/>
  <c r="I37" i="4"/>
  <c r="I38" i="4"/>
  <c r="J38" i="4" s="1"/>
  <c r="I39" i="4"/>
  <c r="I40" i="4"/>
  <c r="I41" i="4"/>
  <c r="J41" i="4" s="1"/>
  <c r="I42" i="4"/>
  <c r="P42" i="4" s="1"/>
  <c r="I43" i="4"/>
  <c r="J43" i="4" s="1"/>
  <c r="I44" i="4"/>
  <c r="I45" i="4"/>
  <c r="J45" i="4" s="1"/>
  <c r="I46" i="4"/>
  <c r="J46" i="4" s="1"/>
  <c r="I47" i="4"/>
  <c r="J47" i="4" s="1"/>
  <c r="I48" i="4"/>
  <c r="I49" i="4"/>
  <c r="J49" i="4" s="1"/>
  <c r="I50" i="4"/>
  <c r="J50" i="4" s="1"/>
  <c r="I51" i="4"/>
  <c r="J51" i="4" s="1"/>
  <c r="I52" i="4"/>
  <c r="I53" i="4"/>
  <c r="I54" i="4"/>
  <c r="P54" i="4" s="1"/>
  <c r="I55" i="4"/>
  <c r="J55" i="4" s="1"/>
  <c r="I56" i="4"/>
  <c r="I57" i="4"/>
  <c r="J57" i="4" s="1"/>
  <c r="I58" i="4"/>
  <c r="P58" i="4" s="1"/>
  <c r="I59" i="4"/>
  <c r="J59" i="4" s="1"/>
  <c r="I60" i="4"/>
  <c r="I61" i="4"/>
  <c r="I62" i="4"/>
  <c r="P62" i="4" s="1"/>
  <c r="I63" i="4"/>
  <c r="I64" i="4"/>
  <c r="I65" i="4"/>
  <c r="I67" i="4"/>
  <c r="J67" i="4" s="1"/>
  <c r="I68" i="4"/>
  <c r="I69" i="4"/>
  <c r="J69" i="4" s="1"/>
  <c r="I70" i="4"/>
  <c r="I71" i="4"/>
  <c r="P71" i="4" s="1"/>
  <c r="I72" i="4"/>
  <c r="J72" i="4" s="1"/>
  <c r="I74" i="4"/>
  <c r="J74" i="4" s="1"/>
  <c r="I75" i="4"/>
  <c r="I76" i="4"/>
  <c r="I77" i="4"/>
  <c r="J77" i="4" s="1"/>
  <c r="I78" i="4"/>
  <c r="J78" i="4" s="1"/>
  <c r="I79" i="4"/>
  <c r="J79" i="4" s="1"/>
  <c r="I80" i="4"/>
  <c r="I81" i="4"/>
  <c r="J81" i="4" s="1"/>
  <c r="I82" i="4"/>
  <c r="J82" i="4" s="1"/>
  <c r="I83" i="4"/>
  <c r="I84" i="4"/>
  <c r="J84" i="4" s="1"/>
  <c r="I85" i="4"/>
  <c r="J85" i="4" s="1"/>
  <c r="I86" i="4"/>
  <c r="I87" i="4"/>
  <c r="I88" i="4"/>
  <c r="J88" i="4" s="1"/>
  <c r="I89" i="4"/>
  <c r="J89" i="4" s="1"/>
  <c r="I90" i="4"/>
  <c r="J90" i="4" s="1"/>
  <c r="I91" i="4"/>
  <c r="I92" i="4"/>
  <c r="I93" i="4"/>
  <c r="I94" i="4"/>
  <c r="J94" i="4" s="1"/>
  <c r="I95" i="4"/>
  <c r="I96" i="4"/>
  <c r="I97" i="4"/>
  <c r="I98" i="4"/>
  <c r="I99" i="4"/>
  <c r="J99" i="4" s="1"/>
  <c r="I100" i="4"/>
  <c r="I101" i="4"/>
  <c r="J101" i="4" s="1"/>
  <c r="I102" i="4"/>
  <c r="J102" i="4" s="1"/>
  <c r="I103" i="4"/>
  <c r="I104" i="4"/>
  <c r="I105" i="4"/>
  <c r="J105" i="4" s="1"/>
  <c r="I106" i="4"/>
  <c r="J106" i="4" s="1"/>
  <c r="I107" i="4"/>
  <c r="J107" i="4" s="1"/>
  <c r="I108" i="4"/>
  <c r="J108" i="4" s="1"/>
  <c r="I109" i="4"/>
  <c r="J109" i="4" s="1"/>
  <c r="I110" i="4"/>
  <c r="I111" i="4"/>
  <c r="I112" i="4"/>
  <c r="J112" i="4" s="1"/>
  <c r="I113" i="4"/>
  <c r="I114" i="4"/>
  <c r="I115" i="4"/>
  <c r="I116" i="4"/>
  <c r="I117" i="4"/>
  <c r="J117" i="4" s="1"/>
  <c r="I118" i="4"/>
  <c r="I119" i="4"/>
  <c r="J119" i="4" s="1"/>
  <c r="I120" i="4"/>
  <c r="J120" i="4" s="1"/>
  <c r="I121" i="4"/>
  <c r="I122" i="4"/>
  <c r="J122" i="4" s="1"/>
  <c r="I123" i="4"/>
  <c r="I124" i="4"/>
  <c r="I125" i="4"/>
  <c r="I126" i="4"/>
  <c r="J126" i="4" s="1"/>
  <c r="I127" i="4"/>
  <c r="I128" i="4"/>
  <c r="I129" i="4"/>
  <c r="I130" i="4"/>
  <c r="I131" i="4"/>
  <c r="J131" i="4" s="1"/>
  <c r="I132" i="4"/>
  <c r="J132" i="4" s="1"/>
  <c r="I134" i="4"/>
  <c r="J134" i="4" s="1"/>
  <c r="I135" i="4"/>
  <c r="I136" i="4"/>
  <c r="I137" i="4"/>
  <c r="J137" i="4" s="1"/>
  <c r="I138" i="4"/>
  <c r="J138" i="4" s="1"/>
  <c r="I139" i="4"/>
  <c r="J139" i="4" s="1"/>
  <c r="I140" i="4"/>
  <c r="J140" i="4" s="1"/>
  <c r="I141" i="4"/>
  <c r="P141" i="4" s="1"/>
  <c r="I142" i="4"/>
  <c r="I143" i="4"/>
  <c r="I144" i="4"/>
  <c r="J144" i="4" s="1"/>
  <c r="I145" i="4"/>
  <c r="P145" i="4" s="1"/>
  <c r="I146" i="4"/>
  <c r="I147" i="4"/>
  <c r="J147" i="4" s="1"/>
  <c r="I148" i="4"/>
  <c r="I149" i="4"/>
  <c r="J149" i="4" s="1"/>
  <c r="I150" i="4"/>
  <c r="I151" i="4"/>
  <c r="J151" i="4" s="1"/>
  <c r="I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7" i="4"/>
  <c r="F68" i="4"/>
  <c r="F69" i="4"/>
  <c r="F70" i="4"/>
  <c r="F71" i="4"/>
  <c r="F72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2" i="4"/>
  <c r="D8" i="4"/>
  <c r="D3" i="4"/>
  <c r="D4" i="4"/>
  <c r="D5" i="4"/>
  <c r="D6" i="4"/>
  <c r="D7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7" i="4"/>
  <c r="D68" i="4"/>
  <c r="D69" i="4"/>
  <c r="D70" i="4"/>
  <c r="D71" i="4"/>
  <c r="D72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2" i="4"/>
  <c r="P150" i="4" l="1"/>
  <c r="P146" i="4"/>
  <c r="P142" i="4"/>
  <c r="P68" i="4"/>
  <c r="P63" i="4"/>
  <c r="P39" i="4"/>
  <c r="P27" i="4"/>
  <c r="P23" i="4"/>
  <c r="P19" i="4"/>
  <c r="P15" i="4"/>
  <c r="P3" i="4"/>
  <c r="P148" i="4"/>
  <c r="P140" i="4"/>
  <c r="P65" i="4"/>
  <c r="P49" i="4"/>
  <c r="P33" i="4"/>
  <c r="P66" i="4"/>
  <c r="P136" i="4"/>
  <c r="P61" i="4"/>
  <c r="P53" i="4"/>
  <c r="P37" i="4"/>
  <c r="P29" i="4"/>
  <c r="P13" i="4"/>
  <c r="P137" i="4"/>
  <c r="P45" i="4"/>
  <c r="P2" i="4"/>
  <c r="P123" i="4"/>
  <c r="P111" i="4"/>
  <c r="P103" i="4"/>
  <c r="P91" i="4"/>
  <c r="P83" i="4"/>
  <c r="P75" i="4"/>
  <c r="P143" i="4"/>
  <c r="P135" i="4"/>
  <c r="P130" i="4"/>
  <c r="P118" i="4"/>
  <c r="P114" i="4"/>
  <c r="P110" i="4"/>
  <c r="P98" i="4"/>
  <c r="P86" i="4"/>
  <c r="P64" i="4"/>
  <c r="P60" i="4"/>
  <c r="P56" i="4"/>
  <c r="P52" i="4"/>
  <c r="P48" i="4"/>
  <c r="P44" i="4"/>
  <c r="P40" i="4"/>
  <c r="P28" i="4"/>
  <c r="P24" i="4"/>
  <c r="P20" i="4"/>
  <c r="P12" i="4"/>
  <c r="P8" i="4"/>
  <c r="P4" i="4"/>
  <c r="P129" i="4"/>
  <c r="P125" i="4"/>
  <c r="P121" i="4"/>
  <c r="P117" i="4"/>
  <c r="P113" i="4"/>
  <c r="P109" i="4"/>
  <c r="P105" i="4"/>
  <c r="P101" i="4"/>
  <c r="P97" i="4"/>
  <c r="P93" i="4"/>
  <c r="P89" i="4"/>
  <c r="P85" i="4"/>
  <c r="P81" i="4"/>
  <c r="P77" i="4"/>
  <c r="P133" i="4"/>
  <c r="P144" i="4"/>
  <c r="P57" i="4"/>
  <c r="P41" i="4"/>
  <c r="P25" i="4"/>
  <c r="P9" i="4"/>
  <c r="P127" i="4"/>
  <c r="P115" i="4"/>
  <c r="P95" i="4"/>
  <c r="P87" i="4"/>
  <c r="P70" i="4"/>
  <c r="P132" i="4"/>
  <c r="P128" i="4"/>
  <c r="P124" i="4"/>
  <c r="P120" i="4"/>
  <c r="P116" i="4"/>
  <c r="P112" i="4"/>
  <c r="P108" i="4"/>
  <c r="P104" i="4"/>
  <c r="P100" i="4"/>
  <c r="P96" i="4"/>
  <c r="P92" i="4"/>
  <c r="P88" i="4"/>
  <c r="P84" i="4"/>
  <c r="P80" i="4"/>
  <c r="P76" i="4"/>
  <c r="P149" i="4"/>
  <c r="P73" i="4"/>
  <c r="P21" i="4"/>
  <c r="P5" i="4"/>
  <c r="P69" i="4"/>
  <c r="P72" i="4"/>
  <c r="P36" i="4"/>
  <c r="P32" i="4"/>
  <c r="P16" i="4"/>
  <c r="P151" i="4"/>
  <c r="P147" i="4"/>
  <c r="P139" i="4"/>
  <c r="P131" i="4"/>
  <c r="P119" i="4"/>
  <c r="P107" i="4"/>
  <c r="P99" i="4"/>
  <c r="P79" i="4"/>
  <c r="P67" i="4"/>
  <c r="P59" i="4"/>
  <c r="P55" i="4"/>
  <c r="P51" i="4"/>
  <c r="P47" i="4"/>
  <c r="P43" i="4"/>
  <c r="P35" i="4"/>
  <c r="P31" i="4"/>
  <c r="P11" i="4"/>
  <c r="P7" i="4"/>
  <c r="P138" i="4"/>
  <c r="P134" i="4"/>
  <c r="P126" i="4"/>
  <c r="P122" i="4"/>
  <c r="P106" i="4"/>
  <c r="P102" i="4"/>
  <c r="P94" i="4"/>
  <c r="P90" i="4"/>
  <c r="P82" i="4"/>
  <c r="P78" i="4"/>
  <c r="P74" i="4"/>
  <c r="P50" i="4"/>
  <c r="P46" i="4"/>
  <c r="P38" i="4"/>
  <c r="P26" i="4"/>
  <c r="P22" i="4"/>
  <c r="P18" i="4"/>
  <c r="P14" i="4"/>
  <c r="P10" i="4"/>
  <c r="AB73" i="4" a="1"/>
  <c r="AB73" i="4" s="1"/>
  <c r="AF73" i="4" s="1"/>
  <c r="AG73" i="4" s="1"/>
  <c r="AB133" i="4" a="1"/>
  <c r="AB133" i="4" s="1"/>
  <c r="AF133" i="4" s="1"/>
  <c r="AG133" i="4" s="1"/>
  <c r="AB66" i="4" a="1"/>
  <c r="AB66" i="4" s="1"/>
  <c r="AF66" i="4" s="1"/>
  <c r="AG66" i="4" s="1"/>
  <c r="AB68" i="4" a="1"/>
  <c r="AB68" i="4" s="1"/>
  <c r="AF68" i="4" s="1"/>
  <c r="AG68" i="4" s="1"/>
  <c r="AB132" i="4" a="1"/>
  <c r="AB132" i="4" s="1"/>
  <c r="AF132" i="4" s="1"/>
  <c r="AG132" i="4" s="1"/>
  <c r="AB108" i="4" a="1"/>
  <c r="AB108" i="4" s="1"/>
  <c r="AF108" i="4" s="1"/>
  <c r="AG108" i="4" s="1"/>
  <c r="AB36" i="4" a="1"/>
  <c r="AB36" i="4" s="1"/>
  <c r="AF36" i="4" s="1"/>
  <c r="AG36" i="4" s="1"/>
  <c r="AB136" i="4" a="1"/>
  <c r="AB136" i="4" s="1"/>
  <c r="AF136" i="4" s="1"/>
  <c r="AG136" i="4" s="1"/>
  <c r="AB150" i="4" a="1"/>
  <c r="AB150" i="4" s="1"/>
  <c r="AF150" i="4" s="1"/>
  <c r="AG150" i="4" s="1"/>
  <c r="AB146" i="4" a="1"/>
  <c r="AB146" i="4" s="1"/>
  <c r="AF146" i="4" s="1"/>
  <c r="AG146" i="4" s="1"/>
  <c r="AB142" i="4" a="1"/>
  <c r="AB142" i="4" s="1"/>
  <c r="AF142" i="4" s="1"/>
  <c r="AG142" i="4" s="1"/>
  <c r="AB138" i="4" a="1"/>
  <c r="AB138" i="4" s="1"/>
  <c r="AF138" i="4" s="1"/>
  <c r="AG138" i="4" s="1"/>
  <c r="AB134" i="4" a="1"/>
  <c r="AB134" i="4" s="1"/>
  <c r="AF134" i="4" s="1"/>
  <c r="AG134" i="4" s="1"/>
  <c r="AB130" i="4" a="1"/>
  <c r="AB130" i="4" s="1"/>
  <c r="AF130" i="4" s="1"/>
  <c r="AG130" i="4" s="1"/>
  <c r="AB126" i="4" a="1"/>
  <c r="AB126" i="4" s="1"/>
  <c r="AF126" i="4" s="1"/>
  <c r="AG126" i="4" s="1"/>
  <c r="AB122" i="4" a="1"/>
  <c r="AB122" i="4" s="1"/>
  <c r="AF122" i="4" s="1"/>
  <c r="AG122" i="4" s="1"/>
  <c r="AB118" i="4" a="1"/>
  <c r="AB118" i="4" s="1"/>
  <c r="AF118" i="4" s="1"/>
  <c r="AG118" i="4" s="1"/>
  <c r="AB114" i="4" a="1"/>
  <c r="AB114" i="4" s="1"/>
  <c r="AF114" i="4" s="1"/>
  <c r="AG114" i="4" s="1"/>
  <c r="AB110" i="4" a="1"/>
  <c r="AB110" i="4" s="1"/>
  <c r="AF110" i="4" s="1"/>
  <c r="AG110" i="4" s="1"/>
  <c r="AB106" i="4" a="1"/>
  <c r="AB106" i="4" s="1"/>
  <c r="AF106" i="4" s="1"/>
  <c r="AG106" i="4" s="1"/>
  <c r="AB102" i="4" a="1"/>
  <c r="AB102" i="4" s="1"/>
  <c r="AF102" i="4" s="1"/>
  <c r="AG102" i="4" s="1"/>
  <c r="AB98" i="4" a="1"/>
  <c r="AB98" i="4" s="1"/>
  <c r="AF98" i="4" s="1"/>
  <c r="AG98" i="4" s="1"/>
  <c r="AB94" i="4" a="1"/>
  <c r="AB94" i="4" s="1"/>
  <c r="AF94" i="4" s="1"/>
  <c r="AG94" i="4" s="1"/>
  <c r="AB149" i="4" a="1"/>
  <c r="AB149" i="4" s="1"/>
  <c r="AF149" i="4" s="1"/>
  <c r="AG149" i="4" s="1"/>
  <c r="AB145" i="4" a="1"/>
  <c r="AB145" i="4" s="1"/>
  <c r="AF145" i="4" s="1"/>
  <c r="AG145" i="4" s="1"/>
  <c r="AB141" i="4" a="1"/>
  <c r="AB141" i="4" s="1"/>
  <c r="AF141" i="4" s="1"/>
  <c r="AG141" i="4" s="1"/>
  <c r="AB137" i="4" a="1"/>
  <c r="AB137" i="4" s="1"/>
  <c r="AF137" i="4" s="1"/>
  <c r="AG137" i="4" s="1"/>
  <c r="AB125" i="4" a="1"/>
  <c r="AB125" i="4" s="1"/>
  <c r="AF125" i="4" s="1"/>
  <c r="AG125" i="4" s="1"/>
  <c r="AB121" i="4" a="1"/>
  <c r="AB121" i="4" s="1"/>
  <c r="AF121" i="4" s="1"/>
  <c r="AG121" i="4" s="1"/>
  <c r="AB109" i="4" a="1"/>
  <c r="AB109" i="4" s="1"/>
  <c r="AF109" i="4" s="1"/>
  <c r="AG109" i="4" s="1"/>
  <c r="AB105" i="4" a="1"/>
  <c r="AB105" i="4" s="1"/>
  <c r="AF105" i="4" s="1"/>
  <c r="AG105" i="4" s="1"/>
  <c r="AB93" i="4" a="1"/>
  <c r="AB93" i="4" s="1"/>
  <c r="AF93" i="4" s="1"/>
  <c r="AG93" i="4" s="1"/>
  <c r="AB89" i="4" a="1"/>
  <c r="AB89" i="4" s="1"/>
  <c r="AF89" i="4" s="1"/>
  <c r="AG89" i="4" s="1"/>
  <c r="AB85" i="4" a="1"/>
  <c r="AB85" i="4" s="1"/>
  <c r="AF85" i="4" s="1"/>
  <c r="AG85" i="4" s="1"/>
  <c r="AB81" i="4" a="1"/>
  <c r="AB81" i="4" s="1"/>
  <c r="AF81" i="4" s="1"/>
  <c r="AG81" i="4" s="1"/>
  <c r="AB61" i="4" a="1"/>
  <c r="AB61" i="4" s="1"/>
  <c r="AF61" i="4" s="1"/>
  <c r="AG61" i="4" s="1"/>
  <c r="AB49" i="4" a="1"/>
  <c r="AB49" i="4" s="1"/>
  <c r="AF49" i="4" s="1"/>
  <c r="AG49" i="4" s="1"/>
  <c r="AB45" i="4" a="1"/>
  <c r="AB45" i="4" s="1"/>
  <c r="AF45" i="4" s="1"/>
  <c r="AG45" i="4" s="1"/>
  <c r="AB41" i="4" a="1"/>
  <c r="AB41" i="4" s="1"/>
  <c r="AF41" i="4" s="1"/>
  <c r="AG41" i="4" s="1"/>
  <c r="AB37" i="4" a="1"/>
  <c r="AB37" i="4" s="1"/>
  <c r="AF37" i="4" s="1"/>
  <c r="AG37" i="4" s="1"/>
  <c r="AB33" i="4" a="1"/>
  <c r="AB33" i="4" s="1"/>
  <c r="AF33" i="4" s="1"/>
  <c r="AG33" i="4" s="1"/>
  <c r="AB29" i="4" a="1"/>
  <c r="AB29" i="4" s="1"/>
  <c r="AF29" i="4" s="1"/>
  <c r="AG29" i="4" s="1"/>
  <c r="AB25" i="4" a="1"/>
  <c r="AB25" i="4" s="1"/>
  <c r="AF25" i="4" s="1"/>
  <c r="AG25" i="4" s="1"/>
  <c r="AB21" i="4" a="1"/>
  <c r="AB21" i="4" s="1"/>
  <c r="AF21" i="4" s="1"/>
  <c r="AG21" i="4" s="1"/>
  <c r="AB17" i="4" a="1"/>
  <c r="AB17" i="4" s="1"/>
  <c r="AF17" i="4" s="1"/>
  <c r="AG17" i="4" s="1"/>
  <c r="AB13" i="4" a="1"/>
  <c r="AB13" i="4" s="1"/>
  <c r="AF13" i="4" s="1"/>
  <c r="AG13" i="4" s="1"/>
  <c r="AB151" i="4" a="1"/>
  <c r="AB151" i="4" s="1"/>
  <c r="AF151" i="4" s="1"/>
  <c r="AG151" i="4" s="1"/>
  <c r="AB147" i="4" a="1"/>
  <c r="AB147" i="4" s="1"/>
  <c r="AF147" i="4" s="1"/>
  <c r="AG147" i="4" s="1"/>
  <c r="AB143" i="4" a="1"/>
  <c r="AB143" i="4" s="1"/>
  <c r="AF143" i="4" s="1"/>
  <c r="AG143" i="4" s="1"/>
  <c r="AB139" i="4" a="1"/>
  <c r="AB139" i="4" s="1"/>
  <c r="AF139" i="4" s="1"/>
  <c r="AG139" i="4" s="1"/>
  <c r="AB135" i="4" a="1"/>
  <c r="AB135" i="4" s="1"/>
  <c r="AF135" i="4" s="1"/>
  <c r="AG135" i="4" s="1"/>
  <c r="AB131" i="4" a="1"/>
  <c r="AB131" i="4" s="1"/>
  <c r="AF131" i="4" s="1"/>
  <c r="AG131" i="4" s="1"/>
  <c r="AB127" i="4" a="1"/>
  <c r="AB127" i="4" s="1"/>
  <c r="AF127" i="4" s="1"/>
  <c r="AG127" i="4" s="1"/>
  <c r="AB123" i="4" a="1"/>
  <c r="AB123" i="4" s="1"/>
  <c r="AF123" i="4" s="1"/>
  <c r="AG123" i="4" s="1"/>
  <c r="AB119" i="4" a="1"/>
  <c r="AB119" i="4" s="1"/>
  <c r="AF119" i="4" s="1"/>
  <c r="AG119" i="4" s="1"/>
  <c r="AB115" i="4" a="1"/>
  <c r="AB115" i="4" s="1"/>
  <c r="AF115" i="4" s="1"/>
  <c r="AG115" i="4" s="1"/>
  <c r="AB111" i="4" a="1"/>
  <c r="AB111" i="4" s="1"/>
  <c r="AF111" i="4" s="1"/>
  <c r="AG111" i="4" s="1"/>
  <c r="AB107" i="4" a="1"/>
  <c r="AB107" i="4" s="1"/>
  <c r="AF107" i="4" s="1"/>
  <c r="AG107" i="4" s="1"/>
  <c r="AB103" i="4" a="1"/>
  <c r="AB103" i="4" s="1"/>
  <c r="AF103" i="4" s="1"/>
  <c r="AG103" i="4" s="1"/>
  <c r="AB99" i="4" a="1"/>
  <c r="AB99" i="4" s="1"/>
  <c r="AF99" i="4" s="1"/>
  <c r="AG99" i="4" s="1"/>
  <c r="AB95" i="4" a="1"/>
  <c r="AB95" i="4" s="1"/>
  <c r="AF95" i="4" s="1"/>
  <c r="AG95" i="4" s="1"/>
  <c r="AB91" i="4" a="1"/>
  <c r="AB91" i="4" s="1"/>
  <c r="AF91" i="4" s="1"/>
  <c r="AG91" i="4" s="1"/>
  <c r="AB87" i="4" a="1"/>
  <c r="AB87" i="4" s="1"/>
  <c r="AF87" i="4" s="1"/>
  <c r="AG87" i="4" s="1"/>
  <c r="AB83" i="4" a="1"/>
  <c r="AB83" i="4" s="1"/>
  <c r="AF83" i="4" s="1"/>
  <c r="AG83" i="4" s="1"/>
  <c r="AB79" i="4" a="1"/>
  <c r="AB79" i="4" s="1"/>
  <c r="AF79" i="4" s="1"/>
  <c r="AG79" i="4" s="1"/>
  <c r="AB75" i="4" a="1"/>
  <c r="AB75" i="4" s="1"/>
  <c r="AF75" i="4" s="1"/>
  <c r="AG75" i="4" s="1"/>
  <c r="AB71" i="4" a="1"/>
  <c r="AB71" i="4" s="1"/>
  <c r="AF71" i="4" s="1"/>
  <c r="AG71" i="4" s="1"/>
  <c r="AB67" i="4" a="1"/>
  <c r="AB67" i="4" s="1"/>
  <c r="AF67" i="4" s="1"/>
  <c r="AG67" i="4" s="1"/>
  <c r="AB63" i="4" a="1"/>
  <c r="AB63" i="4" s="1"/>
  <c r="AF63" i="4" s="1"/>
  <c r="AG63" i="4" s="1"/>
  <c r="AB59" i="4" a="1"/>
  <c r="AB59" i="4" s="1"/>
  <c r="AF59" i="4" s="1"/>
  <c r="AG59" i="4" s="1"/>
  <c r="AB55" i="4" a="1"/>
  <c r="AB55" i="4" s="1"/>
  <c r="AF55" i="4" s="1"/>
  <c r="AG55" i="4" s="1"/>
  <c r="AB51" i="4" a="1"/>
  <c r="AB51" i="4" s="1"/>
  <c r="AF51" i="4" s="1"/>
  <c r="AG51" i="4" s="1"/>
  <c r="AB47" i="4" a="1"/>
  <c r="AB47" i="4" s="1"/>
  <c r="AF47" i="4" s="1"/>
  <c r="AG47" i="4" s="1"/>
  <c r="AB43" i="4" a="1"/>
  <c r="AB43" i="4" s="1"/>
  <c r="AF43" i="4" s="1"/>
  <c r="AG43" i="4" s="1"/>
  <c r="AB39" i="4" a="1"/>
  <c r="AB39" i="4" s="1"/>
  <c r="AF39" i="4" s="1"/>
  <c r="AG39" i="4" s="1"/>
  <c r="AB35" i="4" a="1"/>
  <c r="AB35" i="4" s="1"/>
  <c r="AF35" i="4" s="1"/>
  <c r="AG35" i="4" s="1"/>
  <c r="AB31" i="4" a="1"/>
  <c r="AB31" i="4" s="1"/>
  <c r="AF31" i="4" s="1"/>
  <c r="AG31" i="4" s="1"/>
  <c r="AB27" i="4" a="1"/>
  <c r="AB27" i="4" s="1"/>
  <c r="AF27" i="4" s="1"/>
  <c r="AG27" i="4" s="1"/>
  <c r="AB23" i="4" a="1"/>
  <c r="AB23" i="4" s="1"/>
  <c r="AF23" i="4" s="1"/>
  <c r="AG23" i="4" s="1"/>
  <c r="AB19" i="4" a="1"/>
  <c r="AB19" i="4" s="1"/>
  <c r="AF19" i="4" s="1"/>
  <c r="AG19" i="4" s="1"/>
  <c r="AB15" i="4" a="1"/>
  <c r="AB15" i="4" s="1"/>
  <c r="AF15" i="4" s="1"/>
  <c r="AG15" i="4" s="1"/>
  <c r="AB11" i="4" a="1"/>
  <c r="AB11" i="4" s="1"/>
  <c r="AF11" i="4" s="1"/>
  <c r="AG11" i="4" s="1"/>
  <c r="AB7" i="4" a="1"/>
  <c r="AB7" i="4" s="1"/>
  <c r="AF7" i="4" s="1"/>
  <c r="AG7" i="4" s="1"/>
  <c r="AB3" i="4" a="1"/>
  <c r="AB3" i="4" s="1"/>
  <c r="AF3" i="4" s="1"/>
  <c r="AG3" i="4" s="1"/>
  <c r="AB90" i="4" a="1"/>
  <c r="AB90" i="4" s="1"/>
  <c r="AF90" i="4" s="1"/>
  <c r="AG90" i="4" s="1"/>
  <c r="AB86" i="4" a="1"/>
  <c r="AB86" i="4" s="1"/>
  <c r="AF86" i="4" s="1"/>
  <c r="AG86" i="4" s="1"/>
  <c r="AB82" i="4" a="1"/>
  <c r="AB82" i="4" s="1"/>
  <c r="AF82" i="4" s="1"/>
  <c r="AG82" i="4" s="1"/>
  <c r="AB78" i="4" a="1"/>
  <c r="AB78" i="4" s="1"/>
  <c r="AF78" i="4" s="1"/>
  <c r="AG78" i="4" s="1"/>
  <c r="AB74" i="4" a="1"/>
  <c r="AB74" i="4" s="1"/>
  <c r="AF74" i="4" s="1"/>
  <c r="AG74" i="4" s="1"/>
  <c r="AB70" i="4" a="1"/>
  <c r="AB70" i="4" s="1"/>
  <c r="AF70" i="4" s="1"/>
  <c r="AG70" i="4" s="1"/>
  <c r="AB62" i="4" a="1"/>
  <c r="AB62" i="4" s="1"/>
  <c r="AF62" i="4" s="1"/>
  <c r="AG62" i="4" s="1"/>
  <c r="AB58" i="4" a="1"/>
  <c r="AB58" i="4" s="1"/>
  <c r="AF58" i="4" s="1"/>
  <c r="AG58" i="4" s="1"/>
  <c r="AB54" i="4" a="1"/>
  <c r="AB54" i="4" s="1"/>
  <c r="AF54" i="4" s="1"/>
  <c r="AG54" i="4" s="1"/>
  <c r="AB50" i="4" a="1"/>
  <c r="AB50" i="4" s="1"/>
  <c r="AF50" i="4" s="1"/>
  <c r="AG50" i="4" s="1"/>
  <c r="AB46" i="4" a="1"/>
  <c r="AB46" i="4" s="1"/>
  <c r="AF46" i="4" s="1"/>
  <c r="AG46" i="4" s="1"/>
  <c r="AB42" i="4" a="1"/>
  <c r="AB42" i="4" s="1"/>
  <c r="AF42" i="4" s="1"/>
  <c r="AG42" i="4" s="1"/>
  <c r="AB38" i="4" a="1"/>
  <c r="AB38" i="4" s="1"/>
  <c r="AF38" i="4" s="1"/>
  <c r="AG38" i="4" s="1"/>
  <c r="AB34" i="4" a="1"/>
  <c r="AB34" i="4" s="1"/>
  <c r="AF34" i="4" s="1"/>
  <c r="AG34" i="4" s="1"/>
  <c r="AB30" i="4" a="1"/>
  <c r="AB30" i="4" s="1"/>
  <c r="AF30" i="4" s="1"/>
  <c r="AG30" i="4" s="1"/>
  <c r="AB26" i="4" a="1"/>
  <c r="AB26" i="4" s="1"/>
  <c r="AF26" i="4" s="1"/>
  <c r="AG26" i="4" s="1"/>
  <c r="AB22" i="4" a="1"/>
  <c r="AB22" i="4" s="1"/>
  <c r="AF22" i="4" s="1"/>
  <c r="AG22" i="4" s="1"/>
  <c r="AB18" i="4" a="1"/>
  <c r="AB18" i="4" s="1"/>
  <c r="AF18" i="4" s="1"/>
  <c r="AG18" i="4" s="1"/>
  <c r="AB14" i="4" a="1"/>
  <c r="AB14" i="4" s="1"/>
  <c r="AF14" i="4" s="1"/>
  <c r="AG14" i="4" s="1"/>
  <c r="AB10" i="4" a="1"/>
  <c r="AB10" i="4" s="1"/>
  <c r="AF10" i="4" s="1"/>
  <c r="AG10" i="4" s="1"/>
  <c r="AB6" i="4" a="1"/>
  <c r="AB6" i="4" s="1"/>
  <c r="AF6" i="4" s="1"/>
  <c r="AG6" i="4" s="1"/>
  <c r="AB2" i="4" a="1"/>
  <c r="AB2" i="4" s="1"/>
  <c r="AF2" i="4" s="1"/>
  <c r="AG2" i="4" s="1"/>
  <c r="AB148" i="4" a="1"/>
  <c r="AB148" i="4" s="1"/>
  <c r="AF148" i="4" s="1"/>
  <c r="AG148" i="4" s="1"/>
  <c r="AB144" i="4" a="1"/>
  <c r="AB144" i="4" s="1"/>
  <c r="AF144" i="4" s="1"/>
  <c r="AG144" i="4" s="1"/>
  <c r="AB120" i="4" a="1"/>
  <c r="AB120" i="4" s="1"/>
  <c r="AF120" i="4" s="1"/>
  <c r="AG120" i="4" s="1"/>
  <c r="AB100" i="4" a="1"/>
  <c r="AB100" i="4" s="1"/>
  <c r="AF100" i="4" s="1"/>
  <c r="AG100" i="4" s="1"/>
  <c r="AB88" i="4" a="1"/>
  <c r="AB88" i="4" s="1"/>
  <c r="AF88" i="4" s="1"/>
  <c r="AG88" i="4" s="1"/>
  <c r="AB80" i="4" a="1"/>
  <c r="AB80" i="4" s="1"/>
  <c r="AF80" i="4" s="1"/>
  <c r="AG80" i="4" s="1"/>
  <c r="AB72" i="4" a="1"/>
  <c r="AB72" i="4" s="1"/>
  <c r="AF72" i="4" s="1"/>
  <c r="AG72" i="4" s="1"/>
  <c r="AB60" i="4" a="1"/>
  <c r="AB60" i="4" s="1"/>
  <c r="AF60" i="4" s="1"/>
  <c r="AG60" i="4" s="1"/>
  <c r="AB52" i="4" a="1"/>
  <c r="AB52" i="4" s="1"/>
  <c r="AF52" i="4" s="1"/>
  <c r="AG52" i="4" s="1"/>
  <c r="AB44" i="4" a="1"/>
  <c r="AB44" i="4" s="1"/>
  <c r="AF44" i="4" s="1"/>
  <c r="AG44" i="4" s="1"/>
  <c r="AB40" i="4" a="1"/>
  <c r="AB40" i="4" s="1"/>
  <c r="AF40" i="4" s="1"/>
  <c r="AG40" i="4" s="1"/>
  <c r="AB32" i="4" a="1"/>
  <c r="AB32" i="4" s="1"/>
  <c r="AF32" i="4" s="1"/>
  <c r="AG32" i="4" s="1"/>
  <c r="AB24" i="4" a="1"/>
  <c r="AB24" i="4" s="1"/>
  <c r="AF24" i="4" s="1"/>
  <c r="AG24" i="4" s="1"/>
  <c r="AB20" i="4" a="1"/>
  <c r="AB20" i="4" s="1"/>
  <c r="AF20" i="4" s="1"/>
  <c r="AG20" i="4" s="1"/>
  <c r="AB12" i="4" a="1"/>
  <c r="AB12" i="4" s="1"/>
  <c r="AF12" i="4" s="1"/>
  <c r="AG12" i="4" s="1"/>
  <c r="AB8" i="4" a="1"/>
  <c r="AB8" i="4" s="1"/>
  <c r="AF8" i="4" s="1"/>
  <c r="AG8" i="4" s="1"/>
  <c r="AB140" i="4" a="1"/>
  <c r="AB140" i="4" s="1"/>
  <c r="AF140" i="4" s="1"/>
  <c r="AG140" i="4" s="1"/>
  <c r="AB128" i="4" a="1"/>
  <c r="AB128" i="4" s="1"/>
  <c r="AF128" i="4" s="1"/>
  <c r="AG128" i="4" s="1"/>
  <c r="AB124" i="4" a="1"/>
  <c r="AB124" i="4" s="1"/>
  <c r="AF124" i="4" s="1"/>
  <c r="AG124" i="4" s="1"/>
  <c r="AB116" i="4" a="1"/>
  <c r="AB116" i="4" s="1"/>
  <c r="AF116" i="4" s="1"/>
  <c r="AG116" i="4" s="1"/>
  <c r="AB112" i="4" a="1"/>
  <c r="AB112" i="4" s="1"/>
  <c r="AF112" i="4" s="1"/>
  <c r="AG112" i="4" s="1"/>
  <c r="AB104" i="4" a="1"/>
  <c r="AB104" i="4" s="1"/>
  <c r="AF104" i="4" s="1"/>
  <c r="AG104" i="4" s="1"/>
  <c r="AB96" i="4" a="1"/>
  <c r="AB96" i="4" s="1"/>
  <c r="AF96" i="4" s="1"/>
  <c r="AG96" i="4" s="1"/>
  <c r="AB92" i="4" a="1"/>
  <c r="AB92" i="4" s="1"/>
  <c r="AF92" i="4" s="1"/>
  <c r="AG92" i="4" s="1"/>
  <c r="AB84" i="4" a="1"/>
  <c r="AB84" i="4" s="1"/>
  <c r="AF84" i="4" s="1"/>
  <c r="AG84" i="4" s="1"/>
  <c r="AB76" i="4" a="1"/>
  <c r="AB76" i="4" s="1"/>
  <c r="AF76" i="4" s="1"/>
  <c r="AG76" i="4" s="1"/>
  <c r="AB64" i="4" a="1"/>
  <c r="AB64" i="4" s="1"/>
  <c r="AF64" i="4" s="1"/>
  <c r="AG64" i="4" s="1"/>
  <c r="AB56" i="4" a="1"/>
  <c r="AB56" i="4" s="1"/>
  <c r="AF56" i="4" s="1"/>
  <c r="AG56" i="4" s="1"/>
  <c r="AB48" i="4" a="1"/>
  <c r="AB48" i="4" s="1"/>
  <c r="AF48" i="4" s="1"/>
  <c r="AG48" i="4" s="1"/>
  <c r="AB28" i="4" a="1"/>
  <c r="AB28" i="4" s="1"/>
  <c r="AF28" i="4" s="1"/>
  <c r="AG28" i="4" s="1"/>
  <c r="AB16" i="4" a="1"/>
  <c r="AB16" i="4" s="1"/>
  <c r="AF16" i="4" s="1"/>
  <c r="AG16" i="4" s="1"/>
  <c r="AB4" i="4" a="1"/>
  <c r="AB4" i="4" s="1"/>
  <c r="AF4" i="4" s="1"/>
  <c r="AG4" i="4" s="1"/>
  <c r="AB129" i="4" a="1"/>
  <c r="AB129" i="4" s="1"/>
  <c r="AF129" i="4" s="1"/>
  <c r="AG129" i="4" s="1"/>
  <c r="AB117" i="4" a="1"/>
  <c r="AB117" i="4" s="1"/>
  <c r="AF117" i="4" s="1"/>
  <c r="AG117" i="4" s="1"/>
  <c r="AB113" i="4" a="1"/>
  <c r="AB113" i="4" s="1"/>
  <c r="AF113" i="4" s="1"/>
  <c r="AG113" i="4" s="1"/>
  <c r="AB101" i="4" a="1"/>
  <c r="AB101" i="4" s="1"/>
  <c r="AF101" i="4" s="1"/>
  <c r="AG101" i="4" s="1"/>
  <c r="AB97" i="4" a="1"/>
  <c r="AB97" i="4" s="1"/>
  <c r="AF97" i="4" s="1"/>
  <c r="AG97" i="4" s="1"/>
  <c r="AB77" i="4" a="1"/>
  <c r="AB77" i="4" s="1"/>
  <c r="AF77" i="4" s="1"/>
  <c r="AG77" i="4" s="1"/>
  <c r="AB69" i="4" a="1"/>
  <c r="AB69" i="4" s="1"/>
  <c r="AF69" i="4" s="1"/>
  <c r="AG69" i="4" s="1"/>
  <c r="AB65" i="4" a="1"/>
  <c r="AB65" i="4" s="1"/>
  <c r="AF65" i="4" s="1"/>
  <c r="AG65" i="4" s="1"/>
  <c r="AB57" i="4" a="1"/>
  <c r="AB57" i="4" s="1"/>
  <c r="AF57" i="4" s="1"/>
  <c r="AG57" i="4" s="1"/>
  <c r="AB53" i="4" a="1"/>
  <c r="AB53" i="4" s="1"/>
  <c r="AF53" i="4" s="1"/>
  <c r="AG53" i="4" s="1"/>
  <c r="AB9" i="4" a="1"/>
  <c r="AB9" i="4" s="1"/>
  <c r="AF9" i="4" s="1"/>
  <c r="AG9" i="4" s="1"/>
  <c r="AB5" i="4" a="1"/>
  <c r="AB5" i="4" s="1"/>
  <c r="AF5" i="4" s="1"/>
  <c r="AG5" i="4" s="1"/>
  <c r="Q12" i="4"/>
  <c r="Q71" i="4"/>
  <c r="Q44" i="4"/>
  <c r="Q93" i="4"/>
  <c r="Q29" i="4"/>
  <c r="Q5" i="4"/>
  <c r="AH150" i="4" l="1"/>
  <c r="AH73" i="4"/>
  <c r="AH133" i="4"/>
  <c r="AH66" i="4"/>
  <c r="AH114" i="4"/>
  <c r="AH145" i="4"/>
  <c r="AH102" i="4"/>
  <c r="AH41" i="4"/>
  <c r="AH13" i="4"/>
  <c r="AH29" i="4"/>
  <c r="AH45" i="4"/>
  <c r="AH85" i="4"/>
  <c r="AH132" i="4"/>
  <c r="AH108" i="4"/>
  <c r="AH17" i="4"/>
  <c r="AH33" i="4"/>
  <c r="AH49" i="4"/>
  <c r="AH89" i="4"/>
  <c r="AH121" i="4"/>
  <c r="AH68" i="4"/>
  <c r="AH25" i="4"/>
  <c r="AH105" i="4"/>
  <c r="AH21" i="4"/>
  <c r="AH61" i="4"/>
  <c r="AH93" i="4"/>
  <c r="AH125" i="4"/>
  <c r="AH149" i="4"/>
  <c r="AH130" i="4"/>
  <c r="AH36" i="4"/>
  <c r="AH134" i="4"/>
  <c r="AH118" i="4"/>
  <c r="AH136" i="4"/>
  <c r="AH126" i="4"/>
  <c r="AH146" i="4"/>
  <c r="AH98" i="4"/>
  <c r="AH94" i="4"/>
  <c r="AH110" i="4"/>
  <c r="AH142" i="4"/>
  <c r="AH138" i="4"/>
  <c r="AH122" i="4"/>
  <c r="AH106" i="4"/>
  <c r="AH109" i="4"/>
  <c r="AH141" i="4"/>
  <c r="AH81" i="4"/>
  <c r="AH137" i="4"/>
  <c r="AH37" i="4"/>
  <c r="AH97" i="4"/>
  <c r="AH48" i="4"/>
  <c r="AH112" i="4"/>
  <c r="AH52" i="4"/>
  <c r="AH148" i="4"/>
  <c r="AH30" i="4"/>
  <c r="AH62" i="4"/>
  <c r="AH7" i="4"/>
  <c r="AH71" i="4"/>
  <c r="AH103" i="4"/>
  <c r="AH151" i="4"/>
  <c r="AH65" i="4"/>
  <c r="AH4" i="4"/>
  <c r="AH92" i="4"/>
  <c r="AH8" i="4"/>
  <c r="AH100" i="4"/>
  <c r="AH2" i="4"/>
  <c r="AH18" i="4"/>
  <c r="AH34" i="4"/>
  <c r="AH50" i="4"/>
  <c r="AH82" i="4"/>
  <c r="AH27" i="4"/>
  <c r="AH59" i="4"/>
  <c r="AH91" i="4"/>
  <c r="AH123" i="4"/>
  <c r="AH9" i="4"/>
  <c r="AH69" i="4"/>
  <c r="AH113" i="4"/>
  <c r="AH16" i="4"/>
  <c r="AH64" i="4"/>
  <c r="AH96" i="4"/>
  <c r="AH124" i="4"/>
  <c r="AH12" i="4"/>
  <c r="AH40" i="4"/>
  <c r="AH72" i="4"/>
  <c r="AH120" i="4"/>
  <c r="AH6" i="4"/>
  <c r="AH22" i="4"/>
  <c r="AH38" i="4"/>
  <c r="AH54" i="4"/>
  <c r="AH70" i="4"/>
  <c r="AH86" i="4"/>
  <c r="AH15" i="4"/>
  <c r="AH31" i="4"/>
  <c r="AH47" i="4"/>
  <c r="AH63" i="4"/>
  <c r="AH79" i="4"/>
  <c r="AH95" i="4"/>
  <c r="AH111" i="4"/>
  <c r="AH127" i="4"/>
  <c r="AH143" i="4"/>
  <c r="AH57" i="4"/>
  <c r="AH129" i="4"/>
  <c r="AH84" i="4"/>
  <c r="AH140" i="4"/>
  <c r="AH24" i="4"/>
  <c r="AH88" i="4"/>
  <c r="AH14" i="4"/>
  <c r="AH46" i="4"/>
  <c r="AH78" i="4"/>
  <c r="AH23" i="4"/>
  <c r="AH39" i="4"/>
  <c r="AH55" i="4"/>
  <c r="AH87" i="4"/>
  <c r="AH119" i="4"/>
  <c r="AH135" i="4"/>
  <c r="AH5" i="4"/>
  <c r="AH101" i="4"/>
  <c r="AH56" i="4"/>
  <c r="AH116" i="4"/>
  <c r="AH32" i="4"/>
  <c r="AH60" i="4"/>
  <c r="AH11" i="4"/>
  <c r="AH43" i="4"/>
  <c r="AH75" i="4"/>
  <c r="AH107" i="4"/>
  <c r="AH139" i="4"/>
  <c r="AH53" i="4"/>
  <c r="AH77" i="4"/>
  <c r="AH117" i="4"/>
  <c r="AH28" i="4"/>
  <c r="AH76" i="4"/>
  <c r="AH104" i="4"/>
  <c r="AH128" i="4"/>
  <c r="AH20" i="4"/>
  <c r="AH44" i="4"/>
  <c r="AH80" i="4"/>
  <c r="AH144" i="4"/>
  <c r="AH10" i="4"/>
  <c r="AH26" i="4"/>
  <c r="AH42" i="4"/>
  <c r="AH58" i="4"/>
  <c r="AH74" i="4"/>
  <c r="AH90" i="4"/>
  <c r="AH3" i="4"/>
  <c r="AH19" i="4"/>
  <c r="AH35" i="4"/>
  <c r="AH51" i="4"/>
  <c r="AH67" i="4"/>
  <c r="AH83" i="4"/>
  <c r="AH99" i="4"/>
  <c r="AH115" i="4"/>
  <c r="AH131" i="4"/>
  <c r="AH14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9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sharedStrings.xml><?xml version="1.0" encoding="utf-8"?>
<sst xmlns="http://schemas.openxmlformats.org/spreadsheetml/2006/main" count="3174" uniqueCount="226">
  <si>
    <t>Sales Rep ID</t>
  </si>
  <si>
    <t>Rep First Name</t>
  </si>
  <si>
    <t>Rep Last Name</t>
  </si>
  <si>
    <t>Month</t>
  </si>
  <si>
    <t>Product Type</t>
  </si>
  <si>
    <t>Min Speed</t>
  </si>
  <si>
    <t>Max Speed</t>
  </si>
  <si>
    <t>Distance</t>
  </si>
  <si>
    <t>Shipping Address</t>
  </si>
  <si>
    <t>Country Code</t>
  </si>
  <si>
    <t>Unit Price</t>
  </si>
  <si>
    <t>Units Sold</t>
  </si>
  <si>
    <t>Discount (%)</t>
  </si>
  <si>
    <t>Sanya</t>
  </si>
  <si>
    <t>Joshi</t>
  </si>
  <si>
    <t>June</t>
  </si>
  <si>
    <t>Electric Convertible</t>
  </si>
  <si>
    <t>40 mph</t>
  </si>
  <si>
    <t>120 km/h</t>
  </si>
  <si>
    <t>500 km</t>
  </si>
  <si>
    <t>1234 Maple Street, Los Angeles, 90210</t>
  </si>
  <si>
    <t>US</t>
  </si>
  <si>
    <t>150 USD</t>
  </si>
  <si>
    <t>March</t>
  </si>
  <si>
    <t>50 mph</t>
  </si>
  <si>
    <t>150 mph</t>
  </si>
  <si>
    <t>300 miles</t>
  </si>
  <si>
    <t>Electric Truck</t>
  </si>
  <si>
    <t>150 miles</t>
  </si>
  <si>
    <t>5678 Oak Avenue, New York, 10001</t>
  </si>
  <si>
    <t>200 USD</t>
  </si>
  <si>
    <t>January</t>
  </si>
  <si>
    <t>30 km/h</t>
  </si>
  <si>
    <t>9101 Pine Drive, Atlanta, 30301</t>
  </si>
  <si>
    <t>250 USD</t>
  </si>
  <si>
    <t>Fang</t>
  </si>
  <si>
    <t>Liu</t>
  </si>
  <si>
    <t>February</t>
  </si>
  <si>
    <t>2345 Birch Lane, Chicago, 60614</t>
  </si>
  <si>
    <t>300 USD</t>
  </si>
  <si>
    <t>123 Queen Street, Toronto, M5H 2N2</t>
  </si>
  <si>
    <t>CA</t>
  </si>
  <si>
    <t>204 CAD</t>
  </si>
  <si>
    <t>Electric Boat</t>
  </si>
  <si>
    <t>80 km/h</t>
  </si>
  <si>
    <t>Jonas</t>
  </si>
  <si>
    <t>Fischer</t>
  </si>
  <si>
    <t>April</t>
  </si>
  <si>
    <t>20 km/h</t>
  </si>
  <si>
    <t>456 King Road, Ottawa, K1A 0B1</t>
  </si>
  <si>
    <t>272 CAD</t>
  </si>
  <si>
    <t>789 Elm Boulevard, Vancouver, L4T 1P5</t>
  </si>
  <si>
    <t>340 CAD</t>
  </si>
  <si>
    <t>321 Cedar Crescent, Calgary, T5A 0H2</t>
  </si>
  <si>
    <t>408 CAD</t>
  </si>
  <si>
    <t>100 mph</t>
  </si>
  <si>
    <t>456 Avenida Reforma, Mexico City, 06080</t>
  </si>
  <si>
    <t>MX</t>
  </si>
  <si>
    <t>2,645 MXN</t>
  </si>
  <si>
    <t>Théo</t>
  </si>
  <si>
    <t>Bernard</t>
  </si>
  <si>
    <t>789 Calle Juárez, Guadalajara, 66000</t>
  </si>
  <si>
    <t>3,527 MXN</t>
  </si>
  <si>
    <t>234 Paseo de la Reforma, Monterrey, 06500</t>
  </si>
  <si>
    <t>4,404 MXN</t>
  </si>
  <si>
    <t>678 Calle 5 de Febrero, Puebla, 03230</t>
  </si>
  <si>
    <t>5,289 MXN</t>
  </si>
  <si>
    <t>Electric Car</t>
  </si>
  <si>
    <t>600 km</t>
  </si>
  <si>
    <t>123 Rua da Liberdade, São Paulo, 01234-000</t>
  </si>
  <si>
    <t>BR</t>
  </si>
  <si>
    <t>758 BRL</t>
  </si>
  <si>
    <t>456 Avenida Paulista, Rio de Janeiro, 01311-000</t>
  </si>
  <si>
    <t>1,012 BRL</t>
  </si>
  <si>
    <t>789 Rua dos Três Irmãos, Brasília, 05432-000</t>
  </si>
  <si>
    <t>1,265 BRL</t>
  </si>
  <si>
    <t>May</t>
  </si>
  <si>
    <t>321 Rua das Flores, Belo Horizonte, 01235-000</t>
  </si>
  <si>
    <t>1,512 BRL</t>
  </si>
  <si>
    <t>12 High Street, London, SW1A 1AA</t>
  </si>
  <si>
    <t>GB</t>
  </si>
  <si>
    <t>117 GBP</t>
  </si>
  <si>
    <t>34 King’s Road, Liverpool, W8 4PX</t>
  </si>
  <si>
    <t>156 GBP</t>
  </si>
  <si>
    <t>56 Queen Street, Edinburgh, EH2 4GQ</t>
  </si>
  <si>
    <t>195 GBP</t>
  </si>
  <si>
    <t>78 Church Lane, Birmingham, B1 1AA</t>
  </si>
  <si>
    <t>234 GBP</t>
  </si>
  <si>
    <t>123 Hauptstraße, Berlin, 10115</t>
  </si>
  <si>
    <t>DE</t>
  </si>
  <si>
    <t>139 EUR</t>
  </si>
  <si>
    <t>456 Bahnhofstraße, Frankfurt, 60329</t>
  </si>
  <si>
    <t>186 EUR</t>
  </si>
  <si>
    <t>789 Lindenweg, Munich, 10179</t>
  </si>
  <si>
    <t>232 EUR</t>
  </si>
  <si>
    <t>321 Gartenstraße, Dresden, 01067</t>
  </si>
  <si>
    <t>279 EUR</t>
  </si>
  <si>
    <t>123 Rue de la Paix, Paris, 75002</t>
  </si>
  <si>
    <t>FR</t>
  </si>
  <si>
    <t>456 Boulevard Saint-Germain, Lyon, 75006</t>
  </si>
  <si>
    <t>789 Avenue des Champs-Élysées, Marseille, 75008</t>
  </si>
  <si>
    <t>321 Rue du Faubourg, Toulouse, 75010</t>
  </si>
  <si>
    <t>123 Chang'an Avenue, Beijing, 100001</t>
  </si>
  <si>
    <t>CN</t>
  </si>
  <si>
    <t>1,083 CNY</t>
  </si>
  <si>
    <t>456 Wangfujing Street, Shanghai, 100006</t>
  </si>
  <si>
    <t>1,445 CNY</t>
  </si>
  <si>
    <t>789 Nanjing Road, Shenzhen, 200001</t>
  </si>
  <si>
    <t>1,807 CNY</t>
  </si>
  <si>
    <t>321 Huaihai Road, Guangzhou, 200020</t>
  </si>
  <si>
    <t>2,069 CNY</t>
  </si>
  <si>
    <t>123 MG Road, Bangalore, 560001</t>
  </si>
  <si>
    <t>IN</t>
  </si>
  <si>
    <t>12,348 INR</t>
  </si>
  <si>
    <t>456 Connaught Place, New Delhi, 110001</t>
  </si>
  <si>
    <t>16,456 INR</t>
  </si>
  <si>
    <t>789 Brigade Road, Mumbai, 560025</t>
  </si>
  <si>
    <t>20,565 INR</t>
  </si>
  <si>
    <t>321 Jayanagar, Kolkata, 560041</t>
  </si>
  <si>
    <t>24,673 INR</t>
  </si>
  <si>
    <t>123 George Street, Sydney, 2000</t>
  </si>
  <si>
    <t>AU</t>
  </si>
  <si>
    <t>222 AUD</t>
  </si>
  <si>
    <t>456 King Street, Melbourne, 3000</t>
  </si>
  <si>
    <t>296 AUD</t>
  </si>
  <si>
    <t>789 Victoria Road, Brisbane, 2048</t>
  </si>
  <si>
    <t>370 AUD</t>
  </si>
  <si>
    <t>321 Oxford Street, Perth, 2011</t>
  </si>
  <si>
    <t>444 AUD</t>
  </si>
  <si>
    <t>123 Long Street, Cape Town, 8001</t>
  </si>
  <si>
    <t>ZA</t>
  </si>
  <si>
    <t>2,743 ZAR</t>
  </si>
  <si>
    <t>456 Bree Street, Johannesburg, 8001</t>
  </si>
  <si>
    <t>3,652 ZAR</t>
  </si>
  <si>
    <t>789 Loop Street, Durban, 8000</t>
  </si>
  <si>
    <t>4,500 ZAR</t>
  </si>
  <si>
    <t>321 Church Street, Pretoria, 8001</t>
  </si>
  <si>
    <t>5,478 ZAR</t>
  </si>
  <si>
    <t>123 Shibuya Crossing, Tokyo, 150-0002</t>
  </si>
  <si>
    <t>JP</t>
  </si>
  <si>
    <t>22,313 JPY</t>
  </si>
  <si>
    <t>456 Akihabara, Osaka, 110-0006</t>
  </si>
  <si>
    <t>29,750 JPY</t>
  </si>
  <si>
    <t>789 Roppongi Hills, Yokohama, 106-0032</t>
  </si>
  <si>
    <t>37,188 JPY</t>
  </si>
  <si>
    <t>321 Ginza, Nagoya, 104-0061</t>
  </si>
  <si>
    <t>44,625 JPY</t>
  </si>
  <si>
    <t>Rep Full Name</t>
  </si>
  <si>
    <t>Month Abbreviation</t>
  </si>
  <si>
    <t>Min Speed (km/h)</t>
  </si>
  <si>
    <t>Min Speed (mph)</t>
  </si>
  <si>
    <t>Max Speed (km/h)</t>
  </si>
  <si>
    <t>Max Speed (mph)</t>
  </si>
  <si>
    <t>Distance (km)</t>
  </si>
  <si>
    <t>City</t>
  </si>
  <si>
    <t>Currency Pairs</t>
  </si>
  <si>
    <t>Unit Price Value</t>
  </si>
  <si>
    <t>Unit Price Currency</t>
  </si>
  <si>
    <t>Country Name</t>
  </si>
  <si>
    <t>Continent</t>
  </si>
  <si>
    <t>Distance (Km) (recovering Missing Values)</t>
  </si>
  <si>
    <t>Price</t>
  </si>
  <si>
    <t>Unit Price (EUR)</t>
  </si>
  <si>
    <t>Gross Price (Euro)</t>
  </si>
  <si>
    <t>Discount Value (Euro)</t>
  </si>
  <si>
    <t>Net Price (Euro)</t>
  </si>
  <si>
    <t>Grand Total</t>
  </si>
  <si>
    <t>Sum of Net Price (Euro)</t>
  </si>
  <si>
    <t>Calc Discount (%)</t>
  </si>
  <si>
    <t>Street Name</t>
  </si>
  <si>
    <t>Postal Code</t>
  </si>
  <si>
    <t>North America</t>
  </si>
  <si>
    <t>South America</t>
  </si>
  <si>
    <t>Europe</t>
  </si>
  <si>
    <t>Asia</t>
  </si>
  <si>
    <t>Oceania</t>
  </si>
  <si>
    <t>Africa</t>
  </si>
  <si>
    <t>Speed Range</t>
  </si>
  <si>
    <t>Units</t>
  </si>
  <si>
    <t>Quarter 1</t>
  </si>
  <si>
    <t>Quarter 1 Total</t>
  </si>
  <si>
    <t>Quarter 2</t>
  </si>
  <si>
    <t>Quarter 2 Total</t>
  </si>
  <si>
    <t>South Africa</t>
  </si>
  <si>
    <t>Africa Total</t>
  </si>
  <si>
    <t>China</t>
  </si>
  <si>
    <t>India</t>
  </si>
  <si>
    <t>Japan</t>
  </si>
  <si>
    <t>Asia Total</t>
  </si>
  <si>
    <t>France</t>
  </si>
  <si>
    <t>Germany</t>
  </si>
  <si>
    <t>United Kingdom</t>
  </si>
  <si>
    <t>Europe Total</t>
  </si>
  <si>
    <t>Canada</t>
  </si>
  <si>
    <t>Mexico</t>
  </si>
  <si>
    <t>United States</t>
  </si>
  <si>
    <t>North America Total</t>
  </si>
  <si>
    <t>Australia</t>
  </si>
  <si>
    <t>Oceania Total</t>
  </si>
  <si>
    <t>Brazil</t>
  </si>
  <si>
    <t>South America Total</t>
  </si>
  <si>
    <t>Sales Periods</t>
  </si>
  <si>
    <t>Sum of Gross Price (Euro)</t>
  </si>
  <si>
    <t>Sum of Discount Value (Euro)</t>
  </si>
  <si>
    <t>Sales Period</t>
  </si>
  <si>
    <t>Row Labels</t>
  </si>
  <si>
    <t>Fang Liu</t>
  </si>
  <si>
    <t>Jonas Fischer</t>
  </si>
  <si>
    <t>Sanya Joshi</t>
  </si>
  <si>
    <t>Théo Bernard</t>
  </si>
  <si>
    <t>Lowest Performer</t>
  </si>
  <si>
    <t>Sales by Region</t>
  </si>
  <si>
    <t>1. Europe</t>
  </si>
  <si>
    <t>2. North America</t>
  </si>
  <si>
    <t>3. Asia</t>
  </si>
  <si>
    <t>Sales by Countries</t>
  </si>
  <si>
    <t>1. Germany</t>
  </si>
  <si>
    <t>2. United Kingdom</t>
  </si>
  <si>
    <t>3. Japan</t>
  </si>
  <si>
    <t>Highest Performing Product</t>
  </si>
  <si>
    <t>Product</t>
  </si>
  <si>
    <t>Region</t>
  </si>
  <si>
    <t>Sales</t>
  </si>
  <si>
    <t>1. Electric Car</t>
  </si>
  <si>
    <t>2. Electric Boat</t>
  </si>
  <si>
    <t>3. Electric 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</si>
</sst>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[$€-2]\ * #,##0.00_);_([$€-2]\ * \(#,##0.00\);_([$€-2]\ * &quot;-&quot;??_);_(@_)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4" xfId="0" applyFont="1" applyBorder="1"/>
    <xf numFmtId="0" fontId="0" fillId="0" borderId="2" xfId="0" applyBorder="1"/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3" xfId="0" applyFont="1" applyBorder="1"/>
    <xf numFmtId="0" fontId="3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" xfId="0" applyFont="1" applyBorder="1"/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 vertical="center"/>
    </xf>
    <xf numFmtId="0" fontId="2" fillId="0" borderId="0" xfId="0" applyFont="1"/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165" fontId="0" fillId="0" borderId="11" xfId="0" applyNumberFormat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0" fillId="0" borderId="0" xfId="0" pivotButton="1"/>
    <xf numFmtId="3" fontId="0" fillId="0" borderId="0" xfId="0" applyNumberFormat="1"/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/>
    </xf>
    <xf numFmtId="4" fontId="3" fillId="0" borderId="11" xfId="0" applyNumberFormat="1" applyFont="1" applyBorder="1" applyAlignment="1">
      <alignment horizontal="right" vertical="center"/>
    </xf>
    <xf numFmtId="4" fontId="3" fillId="0" borderId="11" xfId="0" quotePrefix="1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right" vertical="center"/>
    </xf>
    <xf numFmtId="4" fontId="3" fillId="0" borderId="18" xfId="0" applyNumberFormat="1" applyFont="1" applyBorder="1" applyAlignment="1">
      <alignment horizontal="right" vertical="center"/>
    </xf>
    <xf numFmtId="3" fontId="3" fillId="0" borderId="11" xfId="0" applyNumberFormat="1" applyFont="1" applyBorder="1" applyAlignment="1">
      <alignment horizontal="right" vertical="center"/>
    </xf>
    <xf numFmtId="3" fontId="3" fillId="0" borderId="16" xfId="0" applyNumberFormat="1" applyFont="1" applyBorder="1" applyAlignment="1">
      <alignment horizontal="right" vertical="center"/>
    </xf>
    <xf numFmtId="3" fontId="3" fillId="0" borderId="18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1" fontId="3" fillId="0" borderId="11" xfId="0" applyNumberFormat="1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left" vertical="center"/>
    </xf>
    <xf numFmtId="2" fontId="3" fillId="0" borderId="11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1" fontId="3" fillId="0" borderId="18" xfId="0" applyNumberFormat="1" applyFont="1" applyBorder="1" applyAlignment="1">
      <alignment horizontal="left" vertical="center"/>
    </xf>
    <xf numFmtId="164" fontId="3" fillId="0" borderId="18" xfId="0" applyNumberFormat="1" applyFont="1" applyBorder="1" applyAlignment="1">
      <alignment horizontal="left" vertical="center"/>
    </xf>
    <xf numFmtId="2" fontId="3" fillId="0" borderId="18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4" borderId="0" xfId="0" applyFill="1" applyAlignment="1">
      <alignment horizontal="left"/>
    </xf>
    <xf numFmtId="3" fontId="0" fillId="4" borderId="0" xfId="0" applyNumberFormat="1" applyFill="1"/>
    <xf numFmtId="0" fontId="5" fillId="4" borderId="11" xfId="0" applyFont="1" applyFill="1" applyBorder="1" applyAlignment="1">
      <alignment horizontal="left" vertical="center"/>
    </xf>
    <xf numFmtId="3" fontId="5" fillId="4" borderId="11" xfId="0" applyNumberFormat="1" applyFont="1" applyFill="1" applyBorder="1" applyAlignment="1">
      <alignment vertical="center"/>
    </xf>
    <xf numFmtId="0" fontId="1" fillId="0" borderId="0" xfId="0" applyFont="1"/>
    <xf numFmtId="3" fontId="0" fillId="5" borderId="0" xfId="0" applyNumberFormat="1" applyFill="1"/>
    <xf numFmtId="0" fontId="0" fillId="5" borderId="11" xfId="0" applyFill="1" applyBorder="1"/>
    <xf numFmtId="3" fontId="0" fillId="5" borderId="11" xfId="0" applyNumberFormat="1" applyFill="1" applyBorder="1"/>
    <xf numFmtId="0" fontId="5" fillId="0" borderId="11" xfId="0" applyFont="1" applyBorder="1"/>
    <xf numFmtId="3" fontId="5" fillId="0" borderId="11" xfId="0" applyNumberFormat="1" applyFont="1" applyBorder="1"/>
    <xf numFmtId="0" fontId="0" fillId="6" borderId="11" xfId="0" applyFill="1" applyBorder="1"/>
    <xf numFmtId="3" fontId="0" fillId="6" borderId="11" xfId="0" applyNumberFormat="1" applyFill="1" applyBorder="1"/>
    <xf numFmtId="0" fontId="0" fillId="7" borderId="0" xfId="0" applyFill="1"/>
    <xf numFmtId="3" fontId="0" fillId="7" borderId="0" xfId="0" applyNumberFormat="1" applyFill="1"/>
    <xf numFmtId="0" fontId="0" fillId="7" borderId="11" xfId="0" applyFill="1" applyBorder="1"/>
    <xf numFmtId="3" fontId="0" fillId="7" borderId="11" xfId="0" applyNumberFormat="1" applyFill="1" applyBorder="1"/>
    <xf numFmtId="0" fontId="5" fillId="3" borderId="11" xfId="0" applyFont="1" applyFill="1" applyBorder="1"/>
    <xf numFmtId="0" fontId="5" fillId="8" borderId="11" xfId="0" applyFont="1" applyFill="1" applyBorder="1"/>
    <xf numFmtId="0" fontId="0" fillId="0" borderId="2" xfId="0" applyBorder="1" applyAlignment="1">
      <alignment horizontal="center" vertical="center"/>
    </xf>
    <xf numFmtId="0" fontId="5" fillId="9" borderId="11" xfId="0" applyFont="1" applyFill="1" applyBorder="1" applyAlignment="1">
      <alignment horizontal="left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1" fillId="0" borderId="11" xfId="0" applyFont="1" applyBorder="1" applyAlignment="1">
      <alignment horizontal="left" vertical="center"/>
    </xf>
    <xf numFmtId="3" fontId="0" fillId="0" borderId="11" xfId="0" applyNumberFormat="1" applyBorder="1" applyAlignment="1">
      <alignment horizontal="right" vertical="center"/>
    </xf>
    <xf numFmtId="0" fontId="1" fillId="10" borderId="11" xfId="0" applyFont="1" applyFill="1" applyBorder="1"/>
    <xf numFmtId="0" fontId="1" fillId="9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/>
    <xf numFmtId="3" fontId="0" fillId="0" borderId="11" xfId="0" applyNumberFormat="1" applyBorder="1"/>
    <xf numFmtId="0" fontId="5" fillId="8" borderId="11" xfId="0" applyFont="1" applyFill="1" applyBorder="1"/>
  </cellXfs>
  <cellStyles count="1">
    <cellStyle name="Normal" xfId="0" builtinId="0"/>
  </cellStyles>
  <dxfs count="94"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" formatCode="#,##0"/>
    </dxf>
    <dxf>
      <font>
        <name val="Arial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numFmt numFmtId="164" formatCode="0.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name val="Arial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</dxf>
    <dxf>
      <border>
        <bottom style="thin">
          <color rgb="FF000000"/>
        </bottom>
      </border>
    </dxf>
    <dxf>
      <font>
        <name val="Arial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customschemas.google.com/relationships/workbookmetadata" Target="metadata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19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[Electric-vehicles-dataset.xlsx]Electric Vehicles Pivot Table!PivotTable3</c:name>
    <c:fmtId val="2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'Electric Vehicles Pivot Table'!$C$35</c:f>
              <c:strCache>
                <c:ptCount val="1"/>
                <c:pt idx="0">
                  <c:v>Sum of Gross Price (Euro)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'Electric Vehicles Pivot Table'!$A$36:$B$44</c:f>
              <c:multiLvlStrCache>
                <c:ptCount val="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</c:lvl>
                <c:lvl>
                  <c:pt idx="0">
                    <c:v>Quarter 1</c:v>
                  </c:pt>
                  <c:pt idx="3">
                    <c:v>Quarter 2</c:v>
                  </c:pt>
                </c:lvl>
              </c:multiLvlStrCache>
            </c:multiLvlStrRef>
          </c:cat>
          <c:val>
            <c:numRef>
              <c:f>'Electric Vehicles Pivot Table'!$C$36:$C$44</c:f>
              <c:numCache>
                <c:formatCode>#,##0</c:formatCode>
                <c:ptCount val="6"/>
                <c:pt idx="0">
                  <c:v>45058.6</c:v>
                </c:pt>
                <c:pt idx="1">
                  <c:v>69481.959999999992</c:v>
                </c:pt>
                <c:pt idx="2">
                  <c:v>54080.49</c:v>
                </c:pt>
                <c:pt idx="3">
                  <c:v>33706.950000000004</c:v>
                </c:pt>
                <c:pt idx="4">
                  <c:v>72354.049999999988</c:v>
                </c:pt>
                <c:pt idx="5">
                  <c:v>78339.09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4-46E6-AD7F-6FABC20FED35}"/>
            </c:ext>
          </c:extLst>
        </c:ser>
        <c:ser>
          <c:idx val="1"/>
          <c:order val="1"/>
          <c:tx>
            <c:strRef>
              <c:f>'Electric Vehicles Pivot Table'!$D$35</c:f>
              <c:strCache>
                <c:ptCount val="1"/>
                <c:pt idx="0">
                  <c:v>Sum of Discount Value (Euro)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'Electric Vehicles Pivot Table'!$A$36:$B$44</c:f>
              <c:multiLvlStrCache>
                <c:ptCount val="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</c:lvl>
                <c:lvl>
                  <c:pt idx="0">
                    <c:v>Quarter 1</c:v>
                  </c:pt>
                  <c:pt idx="3">
                    <c:v>Quarter 2</c:v>
                  </c:pt>
                </c:lvl>
              </c:multiLvlStrCache>
            </c:multiLvlStrRef>
          </c:cat>
          <c:val>
            <c:numRef>
              <c:f>'Electric Vehicles Pivot Table'!$D$36:$D$44</c:f>
              <c:numCache>
                <c:formatCode>#,##0</c:formatCode>
                <c:ptCount val="6"/>
                <c:pt idx="0">
                  <c:v>4507.8595000000005</c:v>
                </c:pt>
                <c:pt idx="1">
                  <c:v>7137.161000000001</c:v>
                </c:pt>
                <c:pt idx="2">
                  <c:v>6264.460500000001</c:v>
                </c:pt>
                <c:pt idx="3">
                  <c:v>3473.5559999999996</c:v>
                </c:pt>
                <c:pt idx="4">
                  <c:v>8225.4779999999973</c:v>
                </c:pt>
                <c:pt idx="5">
                  <c:v>7091.5164999999988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4-46E6-AD7F-6FABC20FED35}"/>
            </c:ext>
          </c:extLst>
        </c:ser>
        <c:ser>
          <c:idx val="2"/>
          <c:order val="2"/>
          <c:tx>
            <c:strRef>
              <c:f>'Electric Vehicles Pivot Table'!$E$35</c:f>
              <c:strCache>
                <c:ptCount val="1"/>
                <c:pt idx="0">
                  <c:v>Sum of Net Price (Euro)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'Electric Vehicles Pivot Table'!$A$36:$B$44</c:f>
              <c:multiLvlStrCache>
                <c:ptCount val="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</c:lvl>
                <c:lvl>
                  <c:pt idx="0">
                    <c:v>Quarter 1</c:v>
                  </c:pt>
                  <c:pt idx="3">
                    <c:v>Quarter 2</c:v>
                  </c:pt>
                </c:lvl>
              </c:multiLvlStrCache>
            </c:multiLvlStrRef>
          </c:cat>
          <c:val>
            <c:numRef>
              <c:f>'Electric Vehicles Pivot Table'!$E$36:$E$44</c:f>
              <c:numCache>
                <c:formatCode>#,##0</c:formatCode>
                <c:ptCount val="6"/>
                <c:pt idx="0">
                  <c:v>40550.740499999993</c:v>
                </c:pt>
                <c:pt idx="1">
                  <c:v>62344.798999999999</c:v>
                </c:pt>
                <c:pt idx="2">
                  <c:v>47816.029499999997</c:v>
                </c:pt>
                <c:pt idx="3">
                  <c:v>30233.394000000004</c:v>
                </c:pt>
                <c:pt idx="4">
                  <c:v>64128.572</c:v>
                </c:pt>
                <c:pt idx="5">
                  <c:v>71247.573499999999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4-46E6-AD7F-6FABC20FE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253848"/>
        <c:axId val="797538480"/>
      </c:lineChart>
      <c:catAx>
        <c:axId val="8022538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7538480"/>
        <c:crosses val="autoZero"/>
        <c:auto val="1"/>
        <c:lblAlgn val="ctr"/>
        <c:lblOffset val="100"/>
        <c:noMultiLvlLbl val="0"/>
      </c:catAx>
      <c:valAx>
        <c:axId val="7975384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802253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457199</xdr:colOff>
      <xdr:row>31</xdr:row>
      <xdr:rowOff>14285</xdr:rowOff>
    </xdr:from>
    <xdr:to>
      <xdr:col>13</xdr:col>
      <xdr:colOff>561974</xdr:colOff>
      <xdr:row>46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D4A5C-B464-9CEF-CE57-9052B5549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58.932279050925" createdVersion="8" refreshedVersion="8" minRefreshableVersion="3" recordCount="150" xr:uid="{4A92CB75-E5B7-4487-9A59-C0A29D90B64F}">
  <cacheSource type="worksheet">
    <worksheetSource name="Table13"/>
  </cacheSource>
  <cacheFields count="35">
    <cacheField name="Sales Rep ID" numFmtId="0">
      <sharedItems containsSemiMixedTypes="0" containsString="0" containsNumber="1" containsInteger="1" minValue="1" maxValue="150"/>
    </cacheField>
    <cacheField name="Rep First Name" numFmtId="0">
      <sharedItems/>
    </cacheField>
    <cacheField name="Rep Last Name" numFmtId="0">
      <sharedItems/>
    </cacheField>
    <cacheField name="Rep Full Name" numFmtId="0">
      <sharedItems count="4">
        <s v="Sanya Joshi"/>
        <s v="Fang Liu"/>
        <s v="Jonas Fischer"/>
        <s v="Théo Bernard"/>
      </sharedItems>
    </cacheField>
    <cacheField name="Month" numFmtId="0">
      <sharedItems count="6">
        <s v="June"/>
        <s v="March"/>
        <s v="January"/>
        <s v="February"/>
        <s v="April"/>
        <s v="May"/>
      </sharedItems>
      <fieldGroup par="34"/>
    </cacheField>
    <cacheField name="Month Abbreviation" numFmtId="0">
      <sharedItems/>
    </cacheField>
    <cacheField name="Product Type" numFmtId="0">
      <sharedItems count="4">
        <s v="Electric Convertible"/>
        <s v="Electric Truck"/>
        <s v="Electric Boat"/>
        <s v="Electric Car"/>
      </sharedItems>
    </cacheField>
    <cacheField name="Min Speed" numFmtId="0">
      <sharedItems/>
    </cacheField>
    <cacheField name="Min Speed (km/h)" numFmtId="1">
      <sharedItems containsSemiMixedTypes="0" containsString="0" containsNumber="1" containsInteger="1" minValue="20" maxValue="80"/>
    </cacheField>
    <cacheField name="Min Speed (mph)" numFmtId="1">
      <sharedItems containsSemiMixedTypes="0" containsString="0" containsNumber="1" containsInteger="1" minValue="12" maxValue="50"/>
    </cacheField>
    <cacheField name="Max Speed" numFmtId="0">
      <sharedItems/>
    </cacheField>
    <cacheField name="Max Speed (km/h)" numFmtId="1">
      <sharedItems containsSemiMixedTypes="0" containsString="0" containsNumber="1" containsInteger="1" minValue="80" maxValue="241"/>
    </cacheField>
    <cacheField name="Max Speed (mph)" numFmtId="1">
      <sharedItems containsSemiMixedTypes="0" containsString="0" containsNumber="1" containsInteger="1" minValue="50" maxValue="150"/>
    </cacheField>
    <cacheField name="Distance" numFmtId="0">
      <sharedItems containsBlank="1"/>
    </cacheField>
    <cacheField name="Distance (km)" numFmtId="164">
      <sharedItems containsMixedTypes="1" containsNumber="1" minValue="241.40100000000001" maxValue="600"/>
    </cacheField>
    <cacheField name="Speed Range" numFmtId="0">
      <sharedItems/>
    </cacheField>
    <cacheField name="Distance (Km) (recovering Missing Values)" numFmtId="2">
      <sharedItems containsSemiMixedTypes="0" containsString="0" containsNumber="1" minValue="241.40100000000001" maxValue="600"/>
    </cacheField>
    <cacheField name="Shipping Address" numFmtId="0">
      <sharedItems/>
    </cacheField>
    <cacheField name="Street Name" numFmtId="0">
      <sharedItems/>
    </cacheField>
    <cacheField name="City" numFmtId="0">
      <sharedItems/>
    </cacheField>
    <cacheField name="Postal Code" numFmtId="0">
      <sharedItems/>
    </cacheField>
    <cacheField name="Country Code" numFmtId="0">
      <sharedItems/>
    </cacheField>
    <cacheField name="Country Name" numFmtId="0">
      <sharedItems count="12">
        <s v="United States"/>
        <s v="Canada"/>
        <s v="Mexico"/>
        <s v="Brazil"/>
        <s v="United Kingdom"/>
        <s v="Germany"/>
        <s v="France"/>
        <s v="China"/>
        <s v="India"/>
        <s v="Australia"/>
        <s v="South Africa"/>
        <s v="Japan"/>
      </sharedItems>
    </cacheField>
    <cacheField name="Continent" numFmtId="0">
      <sharedItems count="6">
        <s v="North America"/>
        <s v="South America"/>
        <s v="Europe"/>
        <s v="Asia"/>
        <s v="Oceania"/>
        <s v="Africa"/>
      </sharedItems>
    </cacheField>
    <cacheField name="Unit Price" numFmtId="0">
      <sharedItems/>
    </cacheField>
    <cacheField name="Unit Price Value" numFmtId="4">
      <sharedItems containsSemiMixedTypes="0" containsString="0" containsNumber="1" containsInteger="1" minValue="117" maxValue="44625"/>
    </cacheField>
    <cacheField name="Unit Price Currency" numFmtId="0">
      <sharedItems/>
    </cacheField>
    <cacheField name="Unit Price (EUR)" numFmtId="4">
      <sharedItems containsSemiMixedTypes="0" containsString="0" containsNumber="1" minValue="113.7" maxValue="446.25"/>
    </cacheField>
    <cacheField name="Units Sold" numFmtId="0">
      <sharedItems containsSemiMixedTypes="0" containsString="0" containsNumber="1" containsInteger="1" minValue="4" maxValue="30"/>
    </cacheField>
    <cacheField name="Discount (%)" numFmtId="0">
      <sharedItems containsString="0" containsBlank="1" containsNumber="1" containsInteger="1" minValue="5" maxValue="15"/>
    </cacheField>
    <cacheField name="Calc Discount (%)" numFmtId="1">
      <sharedItems containsSemiMixedTypes="0" containsString="0" containsNumber="1" containsInteger="1" minValue="5" maxValue="15"/>
    </cacheField>
    <cacheField name="Gross Price (Euro)" numFmtId="3">
      <sharedItems containsSemiMixedTypes="0" containsString="0" containsNumber="1" minValue="986.92000000000007" maxValue="4462.6000000000004"/>
    </cacheField>
    <cacheField name="Discount Value (Euro)" numFmtId="3">
      <sharedItems containsSemiMixedTypes="0" containsString="0" containsNumber="1" minValue="56.7" maxValue="669.3839999999999"/>
    </cacheField>
    <cacheField name="Net Price (Euro)" numFmtId="3">
      <sharedItems containsSemiMixedTypes="0" containsString="0" containsNumber="1" minValue="838.88200000000006" maxValue="4239.47"/>
    </cacheField>
    <cacheField name="Month2" numFmtId="0" databaseField="0">
      <fieldGroup base="4">
        <discretePr count="6">
          <x v="1"/>
          <x v="0"/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s v="Sanya"/>
    <s v="Joshi"/>
    <x v="0"/>
    <x v="0"/>
    <s v="Jun"/>
    <x v="0"/>
    <s v="40 mph"/>
    <n v="64"/>
    <n v="40"/>
    <s v="120 km/h"/>
    <n v="120"/>
    <n v="75"/>
    <s v="500 km"/>
    <n v="500"/>
    <s v="64 - 120"/>
    <n v="500"/>
    <s v="1234 Maple Street, Los Angeles, 90210"/>
    <s v="1234 Maple Street"/>
    <s v="Los Angeles"/>
    <s v="90210"/>
    <s v="US"/>
    <x v="0"/>
    <x v="0"/>
    <s v="150 USD"/>
    <n v="150"/>
    <s v="USD"/>
    <n v="129"/>
    <n v="15"/>
    <n v="5"/>
    <n v="5"/>
    <n v="1935"/>
    <n v="96.75"/>
    <n v="1838.25"/>
  </r>
  <r>
    <n v="2"/>
    <s v="Sanya"/>
    <s v="Joshi"/>
    <x v="0"/>
    <x v="1"/>
    <s v="Mar"/>
    <x v="0"/>
    <s v="50 mph"/>
    <n v="80"/>
    <n v="50"/>
    <s v="150 mph"/>
    <n v="241"/>
    <n v="150"/>
    <s v="300 miles"/>
    <n v="482.80200000000002"/>
    <s v="80 - 241"/>
    <n v="482.80200000000002"/>
    <s v="1234 Maple Street, Los Angeles, 90210"/>
    <s v="1234 Maple Street"/>
    <s v="Los Angeles"/>
    <s v="90210"/>
    <s v="US"/>
    <x v="0"/>
    <x v="0"/>
    <s v="150 USD"/>
    <n v="150"/>
    <s v="USD"/>
    <n v="129"/>
    <n v="15"/>
    <n v="10"/>
    <n v="10"/>
    <n v="1935"/>
    <n v="193.5"/>
    <n v="1741.5"/>
  </r>
  <r>
    <n v="3"/>
    <s v="Sanya"/>
    <s v="Joshi"/>
    <x v="0"/>
    <x v="0"/>
    <s v="Jun"/>
    <x v="1"/>
    <s v="40 mph"/>
    <n v="64"/>
    <n v="40"/>
    <s v="150 mph"/>
    <n v="241"/>
    <n v="150"/>
    <s v="150 miles"/>
    <n v="241.40100000000001"/>
    <s v="64 - 241"/>
    <n v="241.40100000000001"/>
    <s v="5678 Oak Avenue, New York, 10001"/>
    <s v="5678 Oak Avenue"/>
    <s v="New York"/>
    <s v="10001"/>
    <s v="US"/>
    <x v="0"/>
    <x v="0"/>
    <s v="200 USD"/>
    <n v="200"/>
    <s v="USD"/>
    <n v="172"/>
    <n v="10"/>
    <n v="5"/>
    <n v="5"/>
    <n v="1720"/>
    <n v="86"/>
    <n v="1634"/>
  </r>
  <r>
    <n v="4"/>
    <s v="Sanya"/>
    <s v="Joshi"/>
    <x v="0"/>
    <x v="2"/>
    <s v="Jan"/>
    <x v="0"/>
    <s v="30 km/h"/>
    <n v="30"/>
    <n v="19"/>
    <s v="120 km/h"/>
    <n v="120"/>
    <n v="75"/>
    <m/>
    <s v=""/>
    <s v="30 - 120"/>
    <n v="451.98137500000013"/>
    <s v="9101 Pine Drive, Atlanta, 30301"/>
    <s v="9101 Pine Drive"/>
    <s v="Atlanta"/>
    <s v="30301"/>
    <s v="US"/>
    <x v="0"/>
    <x v="0"/>
    <s v="250 USD"/>
    <n v="250"/>
    <s v="USD"/>
    <n v="215"/>
    <n v="8"/>
    <n v="10"/>
    <n v="10"/>
    <n v="1720"/>
    <n v="172"/>
    <n v="1548"/>
  </r>
  <r>
    <n v="5"/>
    <s v="Fang"/>
    <s v="Liu"/>
    <x v="1"/>
    <x v="3"/>
    <s v="Feb"/>
    <x v="1"/>
    <s v="50 mph"/>
    <n v="80"/>
    <n v="50"/>
    <s v="150 mph"/>
    <n v="241"/>
    <n v="150"/>
    <s v="300 miles"/>
    <n v="482.80200000000002"/>
    <s v="80 - 241"/>
    <n v="482.80200000000002"/>
    <s v="2345 Birch Lane, Chicago, 60614"/>
    <s v="2345 Birch Lane"/>
    <s v="Chicago"/>
    <s v="60614"/>
    <s v="US"/>
    <x v="0"/>
    <x v="0"/>
    <s v="300 USD"/>
    <n v="300"/>
    <s v="USD"/>
    <n v="258"/>
    <n v="5"/>
    <n v="5"/>
    <n v="5"/>
    <n v="1290"/>
    <n v="64.5"/>
    <n v="1225.5"/>
  </r>
  <r>
    <n v="6"/>
    <s v="Fang"/>
    <s v="Liu"/>
    <x v="1"/>
    <x v="0"/>
    <s v="Jun"/>
    <x v="0"/>
    <s v="30 km/h"/>
    <n v="30"/>
    <n v="19"/>
    <s v="150 mph"/>
    <n v="241"/>
    <n v="150"/>
    <s v="500 km"/>
    <n v="500"/>
    <s v="30 - 241"/>
    <n v="500"/>
    <s v="123 Queen Street, Toronto, M5H 2N2"/>
    <s v="123 Queen Street"/>
    <s v="Toronto"/>
    <s v="M5H 2N2"/>
    <s v="CA"/>
    <x v="1"/>
    <x v="0"/>
    <s v="204 CAD"/>
    <n v="204"/>
    <s v="CAD"/>
    <n v="128.52000000000001"/>
    <n v="12"/>
    <m/>
    <n v="5"/>
    <n v="1542.2400000000002"/>
    <n v="77.112000000000009"/>
    <n v="1465.1280000000002"/>
  </r>
  <r>
    <n v="7"/>
    <s v="Fang"/>
    <s v="Liu"/>
    <x v="1"/>
    <x v="0"/>
    <s v="Jun"/>
    <x v="2"/>
    <s v="50 mph"/>
    <n v="80"/>
    <n v="50"/>
    <s v="80 km/h"/>
    <n v="80"/>
    <n v="50"/>
    <s v="500 km"/>
    <n v="500"/>
    <s v="80 - 80"/>
    <n v="500"/>
    <s v="123 Queen Street, Toronto, M5H 2N2"/>
    <s v="123 Queen Street"/>
    <s v="Toronto"/>
    <s v="M5H 2N2"/>
    <s v="CA"/>
    <x v="1"/>
    <x v="0"/>
    <s v="204 CAD"/>
    <n v="204"/>
    <s v="CAD"/>
    <n v="128.52000000000001"/>
    <n v="12"/>
    <n v="15"/>
    <n v="15"/>
    <n v="1542.2400000000002"/>
    <n v="231.33600000000001"/>
    <n v="1310.9040000000002"/>
  </r>
  <r>
    <n v="8"/>
    <s v="Jonas"/>
    <s v="Fischer"/>
    <x v="2"/>
    <x v="4"/>
    <s v="Apr"/>
    <x v="2"/>
    <s v="20 km/h"/>
    <n v="20"/>
    <n v="12"/>
    <s v="150 mph"/>
    <n v="241"/>
    <n v="150"/>
    <s v="500 km"/>
    <n v="500"/>
    <s v="20 - 241"/>
    <n v="500"/>
    <s v="456 King Road, Ottawa, K1A 0B1"/>
    <s v="456 King Road"/>
    <s v="Ottawa"/>
    <s v="K1A 0B1"/>
    <s v="CA"/>
    <x v="1"/>
    <x v="0"/>
    <s v="272 CAD"/>
    <n v="272"/>
    <s v="CAD"/>
    <n v="171.36"/>
    <n v="9"/>
    <m/>
    <n v="15"/>
    <n v="1542.2400000000002"/>
    <n v="231.33600000000001"/>
    <n v="1310.9040000000002"/>
  </r>
  <r>
    <n v="9"/>
    <s v="Jonas"/>
    <s v="Fischer"/>
    <x v="2"/>
    <x v="4"/>
    <s v="Apr"/>
    <x v="1"/>
    <s v="30 km/h"/>
    <n v="30"/>
    <n v="19"/>
    <s v="150 mph"/>
    <n v="241"/>
    <n v="150"/>
    <s v="150 miles"/>
    <n v="241.40100000000001"/>
    <s v="30 - 241"/>
    <n v="241.40100000000001"/>
    <s v="789 Elm Boulevard, Vancouver, L4T 1P5"/>
    <s v="789 Elm Boulevard"/>
    <s v="Vancouver"/>
    <s v="L4T 1P5"/>
    <s v="CA"/>
    <x v="1"/>
    <x v="0"/>
    <s v="340 CAD"/>
    <n v="340"/>
    <s v="CAD"/>
    <n v="214.2"/>
    <n v="6"/>
    <m/>
    <n v="5"/>
    <n v="1285.1999999999998"/>
    <n v="64.259999999999991"/>
    <n v="1220.9399999999998"/>
  </r>
  <r>
    <n v="10"/>
    <s v="Jonas"/>
    <s v="Fischer"/>
    <x v="2"/>
    <x v="0"/>
    <s v="Jun"/>
    <x v="2"/>
    <s v="20 km/h"/>
    <n v="20"/>
    <n v="12"/>
    <s v="80 km/h"/>
    <n v="80"/>
    <n v="50"/>
    <s v="500 km"/>
    <n v="500"/>
    <s v="20 - 80"/>
    <n v="500"/>
    <s v="321 Cedar Crescent, Calgary, T5A 0H2"/>
    <s v="321 Cedar Crescent"/>
    <s v="Calgary"/>
    <s v="T5A 0H2"/>
    <s v="CA"/>
    <x v="1"/>
    <x v="0"/>
    <s v="408 CAD"/>
    <n v="408"/>
    <s v="CAD"/>
    <n v="257.04000000000002"/>
    <n v="4"/>
    <n v="15"/>
    <n v="15"/>
    <n v="1028.1600000000001"/>
    <n v="154.22400000000002"/>
    <n v="873.93600000000004"/>
  </r>
  <r>
    <n v="11"/>
    <s v="Jonas"/>
    <s v="Fischer"/>
    <x v="2"/>
    <x v="2"/>
    <s v="Jan"/>
    <x v="2"/>
    <s v="50 mph"/>
    <n v="80"/>
    <n v="50"/>
    <s v="100 mph"/>
    <n v="161"/>
    <n v="100"/>
    <m/>
    <s v=""/>
    <s v="80 - 161"/>
    <n v="451.98137500000013"/>
    <s v="456 Avenida Reforma, Mexico City, 06080"/>
    <s v="456 Avenida Reforma"/>
    <s v="Mexico City"/>
    <s v="06080"/>
    <s v="MX"/>
    <x v="2"/>
    <x v="0"/>
    <s v="2,645 MXN"/>
    <n v="2645"/>
    <s v="MXN"/>
    <n v="132.25"/>
    <n v="20"/>
    <m/>
    <n v="15"/>
    <n v="2645"/>
    <n v="396.75"/>
    <n v="2248.25"/>
  </r>
  <r>
    <n v="12"/>
    <s v="Théo"/>
    <s v="Bernard"/>
    <x v="3"/>
    <x v="3"/>
    <s v="Feb"/>
    <x v="2"/>
    <s v="50 mph"/>
    <n v="80"/>
    <n v="50"/>
    <s v="80 km/h"/>
    <n v="80"/>
    <n v="50"/>
    <s v="300 miles"/>
    <n v="482.80200000000002"/>
    <s v="80 - 80"/>
    <n v="482.80200000000002"/>
    <s v="789 Calle Juárez, Guadalajara, 66000"/>
    <s v="789 Calle Juárez"/>
    <s v="Guadalajara"/>
    <s v="66000"/>
    <s v="MX"/>
    <x v="2"/>
    <x v="0"/>
    <s v="3,527 MXN"/>
    <n v="3527"/>
    <s v="MXN"/>
    <n v="176.35000000000002"/>
    <n v="15"/>
    <n v="15"/>
    <n v="15"/>
    <n v="2645.2500000000005"/>
    <n v="396.78750000000008"/>
    <n v="2248.4625000000005"/>
  </r>
  <r>
    <n v="13"/>
    <s v="Théo"/>
    <s v="Bernard"/>
    <x v="3"/>
    <x v="3"/>
    <s v="Feb"/>
    <x v="2"/>
    <s v="20 km/h"/>
    <n v="20"/>
    <n v="12"/>
    <s v="80 km/h"/>
    <n v="80"/>
    <n v="50"/>
    <s v="500 km"/>
    <n v="500"/>
    <s v="20 - 80"/>
    <n v="500"/>
    <s v="234 Paseo de la Reforma, Monterrey, 06500"/>
    <s v="234 Paseo de la Reforma"/>
    <s v="Monterrey"/>
    <s v="06500"/>
    <s v="MX"/>
    <x v="2"/>
    <x v="0"/>
    <s v="4,404 MXN"/>
    <n v="4404"/>
    <s v="MXN"/>
    <n v="220.20000000000002"/>
    <n v="10"/>
    <m/>
    <n v="10"/>
    <n v="2202"/>
    <n v="220.2"/>
    <n v="1981.8"/>
  </r>
  <r>
    <n v="14"/>
    <s v="Théo"/>
    <s v="Bernard"/>
    <x v="3"/>
    <x v="3"/>
    <s v="Feb"/>
    <x v="1"/>
    <s v="40 mph"/>
    <n v="64"/>
    <n v="40"/>
    <s v="80 km/h"/>
    <n v="80"/>
    <n v="50"/>
    <s v="150 miles"/>
    <n v="241.40100000000001"/>
    <s v="64 - 80"/>
    <n v="241.40100000000001"/>
    <s v="678 Calle 5 de Febrero, Puebla, 03230"/>
    <s v="678 Calle 5 de Febrero"/>
    <s v="Puebla"/>
    <s v="03230"/>
    <s v="MX"/>
    <x v="2"/>
    <x v="0"/>
    <s v="5,289 MXN"/>
    <n v="5289"/>
    <s v="MXN"/>
    <n v="264.45"/>
    <n v="7"/>
    <m/>
    <n v="15"/>
    <n v="1851.1499999999999"/>
    <n v="277.67249999999996"/>
    <n v="1573.4775"/>
  </r>
  <r>
    <n v="15"/>
    <s v="Sanya"/>
    <s v="Joshi"/>
    <x v="0"/>
    <x v="4"/>
    <s v="Apr"/>
    <x v="3"/>
    <s v="30 km/h"/>
    <n v="30"/>
    <n v="19"/>
    <s v="100 mph"/>
    <n v="161"/>
    <n v="100"/>
    <s v="600 km"/>
    <n v="600"/>
    <s v="30 - 161"/>
    <n v="600"/>
    <s v="123 Rua da Liberdade, São Paulo, 01234-000"/>
    <s v="123 Rua da Liberdade"/>
    <s v="São Paulo"/>
    <s v="01234-000"/>
    <s v="BR"/>
    <x v="3"/>
    <x v="1"/>
    <s v="758 BRL"/>
    <n v="758"/>
    <s v="BRL"/>
    <n v="113.7"/>
    <n v="18"/>
    <n v="10"/>
    <n v="10"/>
    <n v="2046.6000000000001"/>
    <n v="204.66"/>
    <n v="1841.94"/>
  </r>
  <r>
    <n v="16"/>
    <s v="Sanya"/>
    <s v="Joshi"/>
    <x v="0"/>
    <x v="2"/>
    <s v="Jan"/>
    <x v="2"/>
    <s v="50 mph"/>
    <n v="80"/>
    <n v="50"/>
    <s v="150 mph"/>
    <n v="241"/>
    <n v="150"/>
    <s v="150 miles"/>
    <n v="241.40100000000001"/>
    <s v="80 - 241"/>
    <n v="241.40100000000001"/>
    <s v="123 Rua da Liberdade, São Paulo, 01234-000"/>
    <s v="123 Rua da Liberdade"/>
    <s v="São Paulo"/>
    <s v="01234-000"/>
    <s v="BR"/>
    <x v="3"/>
    <x v="1"/>
    <s v="758 BRL"/>
    <n v="758"/>
    <s v="BRL"/>
    <n v="113.7"/>
    <n v="18"/>
    <n v="15"/>
    <n v="15"/>
    <n v="2046.6000000000001"/>
    <n v="306.99"/>
    <n v="1739.6100000000001"/>
  </r>
  <r>
    <n v="17"/>
    <s v="Sanya"/>
    <s v="Joshi"/>
    <x v="0"/>
    <x v="1"/>
    <s v="Mar"/>
    <x v="2"/>
    <s v="30 km/h"/>
    <n v="30"/>
    <n v="19"/>
    <s v="120 km/h"/>
    <n v="120"/>
    <n v="75"/>
    <s v="600 km"/>
    <n v="600"/>
    <s v="30 - 120"/>
    <n v="600"/>
    <s v="456 Avenida Paulista, Rio de Janeiro, 01311-000"/>
    <s v="456 Avenida Paulista"/>
    <s v="Rio de Janeiro"/>
    <s v="01311-000"/>
    <s v="BR"/>
    <x v="3"/>
    <x v="1"/>
    <s v="1,012 BRL"/>
    <n v="1012"/>
    <s v="BRL"/>
    <n v="151.79999999999998"/>
    <n v="14"/>
    <m/>
    <n v="15"/>
    <n v="2125.1999999999998"/>
    <n v="318.77999999999997"/>
    <n v="1806.4199999999998"/>
  </r>
  <r>
    <n v="18"/>
    <s v="Fang"/>
    <s v="Liu"/>
    <x v="1"/>
    <x v="3"/>
    <s v="Feb"/>
    <x v="0"/>
    <s v="40 mph"/>
    <n v="64"/>
    <n v="40"/>
    <s v="120 km/h"/>
    <n v="120"/>
    <n v="75"/>
    <s v="150 miles"/>
    <n v="241.40100000000001"/>
    <s v="64 - 120"/>
    <n v="241.40100000000001"/>
    <s v="789 Rua dos Três Irmãos, Brasília, 05432-000"/>
    <s v="789 Rua dos Três Irmãos"/>
    <s v="Brasília"/>
    <s v="05432-000"/>
    <s v="BR"/>
    <x v="3"/>
    <x v="1"/>
    <s v="1,265 BRL"/>
    <n v="1265"/>
    <s v="BRL"/>
    <n v="189.75"/>
    <n v="9"/>
    <m/>
    <n v="5"/>
    <n v="1707.75"/>
    <n v="85.387500000000003"/>
    <n v="1622.3625"/>
  </r>
  <r>
    <n v="19"/>
    <s v="Fang"/>
    <s v="Liu"/>
    <x v="1"/>
    <x v="5"/>
    <s v="May"/>
    <x v="3"/>
    <s v="50 mph"/>
    <n v="80"/>
    <n v="50"/>
    <s v="80 km/h"/>
    <n v="80"/>
    <n v="50"/>
    <s v="150 miles"/>
    <n v="241.40100000000001"/>
    <s v="80 - 80"/>
    <n v="241.40100000000001"/>
    <s v="321 Rua das Flores, Belo Horizonte, 01235-000"/>
    <s v="321 Rua das Flores"/>
    <s v="Belo Horizonte"/>
    <s v="01235-000"/>
    <s v="BR"/>
    <x v="3"/>
    <x v="1"/>
    <s v="1,512 BRL"/>
    <n v="1512"/>
    <s v="BRL"/>
    <n v="226.79999999999998"/>
    <n v="5"/>
    <n v="15"/>
    <n v="15"/>
    <n v="1134"/>
    <n v="170.1"/>
    <n v="963.9"/>
  </r>
  <r>
    <n v="20"/>
    <s v="Fang"/>
    <s v="Liu"/>
    <x v="1"/>
    <x v="5"/>
    <s v="May"/>
    <x v="0"/>
    <s v="20 km/h"/>
    <n v="20"/>
    <n v="12"/>
    <s v="100 mph"/>
    <n v="161"/>
    <n v="100"/>
    <s v="150 miles"/>
    <n v="241.40100000000001"/>
    <s v="20 - 161"/>
    <n v="241.40100000000001"/>
    <s v="12 High Street, London, SW1A 1AA"/>
    <s v="12 High Street"/>
    <s v="London"/>
    <s v="SW1A 1AA"/>
    <s v="GB"/>
    <x v="4"/>
    <x v="2"/>
    <s v="117 GBP"/>
    <n v="117"/>
    <s v="GBP"/>
    <n v="134.54999999999998"/>
    <n v="25"/>
    <n v="15"/>
    <n v="15"/>
    <n v="3363.7499999999995"/>
    <n v="504.56249999999994"/>
    <n v="2859.1874999999995"/>
  </r>
  <r>
    <n v="21"/>
    <s v="Fang"/>
    <s v="Liu"/>
    <x v="1"/>
    <x v="3"/>
    <s v="Feb"/>
    <x v="2"/>
    <s v="30 km/h"/>
    <n v="30"/>
    <n v="19"/>
    <s v="120 km/h"/>
    <n v="120"/>
    <n v="75"/>
    <s v="150 miles"/>
    <n v="241.40100000000001"/>
    <s v="30 - 120"/>
    <n v="241.40100000000001"/>
    <s v="34 King’s Road, Liverpool, W8 4PX"/>
    <s v="34 King’s Road"/>
    <s v="Liverpool"/>
    <s v="W8 4PX"/>
    <s v="GB"/>
    <x v="4"/>
    <x v="2"/>
    <s v="156 GBP"/>
    <n v="156"/>
    <s v="GBP"/>
    <n v="179.39999999999998"/>
    <n v="20"/>
    <n v="5"/>
    <n v="5"/>
    <n v="3587.9999999999995"/>
    <n v="179.39999999999998"/>
    <n v="3408.5999999999995"/>
  </r>
  <r>
    <n v="22"/>
    <s v="Jonas"/>
    <s v="Fischer"/>
    <x v="2"/>
    <x v="5"/>
    <s v="May"/>
    <x v="2"/>
    <s v="40 mph"/>
    <n v="64"/>
    <n v="40"/>
    <s v="120 km/h"/>
    <n v="120"/>
    <n v="75"/>
    <s v="600 km"/>
    <n v="600"/>
    <s v="64 - 120"/>
    <n v="600"/>
    <s v="56 Queen Street, Edinburgh, EH2 4GQ"/>
    <s v="56 Queen Street"/>
    <s v="Edinburgh"/>
    <s v="EH2 4GQ"/>
    <s v="GB"/>
    <x v="4"/>
    <x v="2"/>
    <s v="195 GBP"/>
    <n v="195"/>
    <s v="GBP"/>
    <n v="224.24999999999997"/>
    <n v="15"/>
    <n v="5"/>
    <n v="5"/>
    <n v="3363.7499999999995"/>
    <n v="168.18749999999997"/>
    <n v="3195.5624999999995"/>
  </r>
  <r>
    <n v="23"/>
    <s v="Jonas"/>
    <s v="Fischer"/>
    <x v="2"/>
    <x v="3"/>
    <s v="Feb"/>
    <x v="1"/>
    <s v="40 mph"/>
    <n v="64"/>
    <n v="40"/>
    <s v="120 km/h"/>
    <n v="120"/>
    <n v="75"/>
    <s v="300 miles"/>
    <n v="482.80200000000002"/>
    <s v="64 - 120"/>
    <n v="482.80200000000002"/>
    <s v="56 Queen Street, Edinburgh, EH2 4GQ"/>
    <s v="56 Queen Street"/>
    <s v="Edinburgh"/>
    <s v="EH2 4GQ"/>
    <s v="GB"/>
    <x v="4"/>
    <x v="2"/>
    <s v="195 GBP"/>
    <n v="195"/>
    <s v="GBP"/>
    <n v="224.24999999999997"/>
    <n v="15"/>
    <m/>
    <n v="15"/>
    <n v="3363.7499999999995"/>
    <n v="504.56249999999994"/>
    <n v="2859.1874999999995"/>
  </r>
  <r>
    <n v="24"/>
    <s v="Jonas"/>
    <s v="Fischer"/>
    <x v="2"/>
    <x v="5"/>
    <s v="May"/>
    <x v="2"/>
    <s v="20 km/h"/>
    <n v="20"/>
    <n v="12"/>
    <s v="100 mph"/>
    <n v="161"/>
    <n v="100"/>
    <s v="300 miles"/>
    <n v="482.80200000000002"/>
    <s v="20 - 161"/>
    <n v="482.80200000000002"/>
    <s v="78 Church Lane, Birmingham, B1 1AA"/>
    <s v="78 Church Lane"/>
    <s v="Birmingham"/>
    <s v="B1 1AA"/>
    <s v="GB"/>
    <x v="4"/>
    <x v="2"/>
    <s v="234 GBP"/>
    <n v="234"/>
    <s v="GBP"/>
    <n v="269.09999999999997"/>
    <n v="10"/>
    <m/>
    <n v="5"/>
    <n v="2690.9999999999995"/>
    <n v="134.54999999999998"/>
    <n v="2556.4499999999994"/>
  </r>
  <r>
    <n v="25"/>
    <s v="Théo"/>
    <s v="Bernard"/>
    <x v="3"/>
    <x v="0"/>
    <s v="Jun"/>
    <x v="2"/>
    <s v="30 km/h"/>
    <n v="30"/>
    <n v="19"/>
    <s v="80 km/h"/>
    <n v="80"/>
    <n v="50"/>
    <s v="500 km"/>
    <n v="500"/>
    <s v="30 - 80"/>
    <n v="500"/>
    <s v="123 Hauptstraße, Berlin, 10115"/>
    <s v="123 Hauptstraße"/>
    <s v="Berlin"/>
    <s v="10115"/>
    <s v="DE"/>
    <x v="5"/>
    <x v="2"/>
    <s v="139 EUR"/>
    <n v="139"/>
    <s v="EUR"/>
    <n v="139"/>
    <n v="30"/>
    <n v="5"/>
    <n v="5"/>
    <n v="4170"/>
    <n v="208.5"/>
    <n v="3961.5"/>
  </r>
  <r>
    <n v="26"/>
    <s v="Théo"/>
    <s v="Bernard"/>
    <x v="3"/>
    <x v="0"/>
    <s v="Jun"/>
    <x v="1"/>
    <s v="40 mph"/>
    <n v="64"/>
    <n v="40"/>
    <s v="150 mph"/>
    <n v="241"/>
    <n v="150"/>
    <s v="150 miles"/>
    <n v="241.40100000000001"/>
    <s v="64 - 241"/>
    <n v="241.40100000000001"/>
    <s v="456 Bahnhofstraße, Frankfurt, 60329"/>
    <s v="456 Bahnhofstraße"/>
    <s v="Frankfurt"/>
    <s v="60329"/>
    <s v="DE"/>
    <x v="5"/>
    <x v="2"/>
    <s v="186 EUR"/>
    <n v="186"/>
    <s v="EUR"/>
    <n v="186"/>
    <n v="22"/>
    <n v="10"/>
    <n v="10"/>
    <n v="4092"/>
    <n v="409.2"/>
    <n v="3682.8"/>
  </r>
  <r>
    <n v="27"/>
    <s v="Théo"/>
    <s v="Bernard"/>
    <x v="3"/>
    <x v="0"/>
    <s v="Jun"/>
    <x v="2"/>
    <s v="50 mph"/>
    <n v="80"/>
    <n v="50"/>
    <s v="120 km/h"/>
    <n v="120"/>
    <n v="75"/>
    <s v="500 km"/>
    <n v="500"/>
    <s v="80 - 120"/>
    <n v="500"/>
    <s v="456 Bahnhofstraße, Frankfurt, 60329"/>
    <s v="456 Bahnhofstraße"/>
    <s v="Frankfurt"/>
    <s v="60329"/>
    <s v="DE"/>
    <x v="5"/>
    <x v="2"/>
    <s v="186 EUR"/>
    <n v="186"/>
    <s v="EUR"/>
    <n v="186"/>
    <n v="22"/>
    <n v="10"/>
    <n v="10"/>
    <n v="4092"/>
    <n v="409.2"/>
    <n v="3682.8"/>
  </r>
  <r>
    <n v="28"/>
    <s v="Théo"/>
    <s v="Bernard"/>
    <x v="3"/>
    <x v="5"/>
    <s v="May"/>
    <x v="3"/>
    <s v="40 mph"/>
    <n v="64"/>
    <n v="40"/>
    <s v="100 mph"/>
    <n v="161"/>
    <n v="100"/>
    <m/>
    <s v=""/>
    <s v="64 - 161"/>
    <n v="451.98137500000013"/>
    <s v="789 Lindenweg, Munich, 10179"/>
    <s v="789 Lindenweg"/>
    <s v="Munich"/>
    <s v="10179"/>
    <s v="DE"/>
    <x v="5"/>
    <x v="2"/>
    <s v="232 EUR"/>
    <n v="232"/>
    <s v="EUR"/>
    <n v="232"/>
    <n v="17"/>
    <n v="10"/>
    <n v="10"/>
    <n v="3944"/>
    <n v="394.4"/>
    <n v="3549.6"/>
  </r>
  <r>
    <n v="29"/>
    <s v="Sanya"/>
    <s v="Joshi"/>
    <x v="0"/>
    <x v="5"/>
    <s v="May"/>
    <x v="3"/>
    <s v="40 mph"/>
    <n v="64"/>
    <n v="40"/>
    <s v="100 mph"/>
    <n v="161"/>
    <n v="100"/>
    <s v="150 miles"/>
    <n v="241.40100000000001"/>
    <s v="64 - 161"/>
    <n v="241.40100000000001"/>
    <s v="321 Gartenstraße, Dresden, 01067"/>
    <s v="321 Gartenstraße"/>
    <s v="Dresden"/>
    <s v="01067"/>
    <s v="DE"/>
    <x v="5"/>
    <x v="2"/>
    <s v="279 EUR"/>
    <n v="279"/>
    <s v="EUR"/>
    <n v="279"/>
    <n v="12"/>
    <n v="10"/>
    <n v="10"/>
    <n v="3348"/>
    <n v="334.8"/>
    <n v="3013.2"/>
  </r>
  <r>
    <n v="30"/>
    <s v="Sanya"/>
    <s v="Joshi"/>
    <x v="0"/>
    <x v="2"/>
    <s v="Jan"/>
    <x v="1"/>
    <s v="20 km/h"/>
    <n v="20"/>
    <n v="12"/>
    <s v="80 km/h"/>
    <n v="80"/>
    <n v="50"/>
    <s v="600 km"/>
    <n v="600"/>
    <s v="20 - 80"/>
    <n v="600"/>
    <s v="123 Rue de la Paix, Paris, 75002"/>
    <s v="123 Rue de la Paix"/>
    <s v="Paris"/>
    <s v="75002"/>
    <s v="FR"/>
    <x v="6"/>
    <x v="2"/>
    <s v="139 EUR"/>
    <n v="139"/>
    <s v="EUR"/>
    <n v="139"/>
    <n v="19"/>
    <n v="10"/>
    <n v="10"/>
    <n v="2641"/>
    <n v="264.10000000000002"/>
    <n v="2376.9"/>
  </r>
  <r>
    <n v="31"/>
    <s v="Sanya"/>
    <s v="Joshi"/>
    <x v="0"/>
    <x v="4"/>
    <s v="Apr"/>
    <x v="3"/>
    <s v="20 km/h"/>
    <n v="20"/>
    <n v="12"/>
    <s v="100 mph"/>
    <n v="161"/>
    <n v="100"/>
    <s v="150 miles"/>
    <n v="241.40100000000001"/>
    <s v="20 - 161"/>
    <n v="241.40100000000001"/>
    <s v="456 Boulevard Saint-Germain, Lyon, 75006"/>
    <s v="456 Boulevard Saint-Germain"/>
    <s v="Lyon"/>
    <s v="75006"/>
    <s v="FR"/>
    <x v="6"/>
    <x v="2"/>
    <s v="186 EUR"/>
    <n v="186"/>
    <s v="EUR"/>
    <n v="186"/>
    <n v="16"/>
    <m/>
    <n v="10"/>
    <n v="2976"/>
    <n v="297.60000000000002"/>
    <n v="2678.4"/>
  </r>
  <r>
    <n v="32"/>
    <s v="Fang"/>
    <s v="Liu"/>
    <x v="1"/>
    <x v="5"/>
    <s v="May"/>
    <x v="1"/>
    <s v="40 mph"/>
    <n v="64"/>
    <n v="40"/>
    <s v="80 km/h"/>
    <n v="80"/>
    <n v="50"/>
    <s v="500 km"/>
    <n v="500"/>
    <s v="64 - 80"/>
    <n v="500"/>
    <s v="789 Avenue des Champs-Élysées, Marseille, 75008"/>
    <s v="789 Avenue des Champs-Élysées"/>
    <s v="Marseille"/>
    <s v="75008"/>
    <s v="FR"/>
    <x v="6"/>
    <x v="2"/>
    <s v="232 EUR"/>
    <n v="232"/>
    <s v="EUR"/>
    <n v="232"/>
    <n v="13"/>
    <n v="15"/>
    <n v="15"/>
    <n v="3016"/>
    <n v="452.4"/>
    <n v="2563.6"/>
  </r>
  <r>
    <n v="33"/>
    <s v="Fang"/>
    <s v="Liu"/>
    <x v="1"/>
    <x v="0"/>
    <s v="Jun"/>
    <x v="3"/>
    <s v="50 mph"/>
    <n v="80"/>
    <n v="50"/>
    <s v="100 mph"/>
    <n v="161"/>
    <n v="100"/>
    <s v="600 km"/>
    <n v="600"/>
    <s v="80 - 161"/>
    <n v="600"/>
    <s v="321 Rue du Faubourg, Toulouse, 75010"/>
    <s v="321 Rue du Faubourg"/>
    <s v="Toulouse"/>
    <s v="75010"/>
    <s v="FR"/>
    <x v="6"/>
    <x v="2"/>
    <s v="279 EUR"/>
    <n v="279"/>
    <s v="EUR"/>
    <n v="279"/>
    <n v="8"/>
    <m/>
    <n v="5"/>
    <n v="2232"/>
    <n v="111.6"/>
    <n v="2120.4"/>
  </r>
  <r>
    <n v="34"/>
    <s v="Fang"/>
    <s v="Liu"/>
    <x v="1"/>
    <x v="0"/>
    <s v="Jun"/>
    <x v="0"/>
    <s v="30 km/h"/>
    <n v="30"/>
    <n v="19"/>
    <s v="80 km/h"/>
    <n v="80"/>
    <n v="50"/>
    <s v="300 miles"/>
    <n v="482.80200000000002"/>
    <s v="30 - 80"/>
    <n v="482.80200000000002"/>
    <s v="123 Chang'an Avenue, Beijing, 100001"/>
    <s v="123 Chang'an Avenue"/>
    <s v="Beijing"/>
    <s v="100001"/>
    <s v="CN"/>
    <x v="7"/>
    <x v="3"/>
    <s v="1,083 CNY"/>
    <n v="1083"/>
    <s v="CNY"/>
    <n v="129.96"/>
    <n v="11"/>
    <m/>
    <n v="10"/>
    <n v="1429.5600000000002"/>
    <n v="142.95600000000002"/>
    <n v="1286.6040000000003"/>
  </r>
  <r>
    <n v="35"/>
    <s v="Fang"/>
    <s v="Liu"/>
    <x v="1"/>
    <x v="5"/>
    <s v="May"/>
    <x v="1"/>
    <s v="20 km/h"/>
    <n v="20"/>
    <n v="12"/>
    <s v="120 km/h"/>
    <n v="120"/>
    <n v="75"/>
    <s v="150 miles"/>
    <n v="241.40100000000001"/>
    <s v="20 - 120"/>
    <n v="241.40100000000001"/>
    <s v="456 Wangfujing Street, Shanghai, 100006"/>
    <s v="456 Wangfujing Street"/>
    <s v="Shanghai"/>
    <s v="100006"/>
    <s v="CN"/>
    <x v="7"/>
    <x v="3"/>
    <s v="1,445 CNY"/>
    <n v="1445"/>
    <s v="CNY"/>
    <n v="173.4"/>
    <n v="9"/>
    <m/>
    <n v="15"/>
    <n v="1560.6000000000001"/>
    <n v="234.09000000000003"/>
    <n v="1326.5100000000002"/>
  </r>
  <r>
    <n v="36"/>
    <s v="Jonas"/>
    <s v="Fischer"/>
    <x v="2"/>
    <x v="3"/>
    <s v="Feb"/>
    <x v="0"/>
    <s v="50 mph"/>
    <n v="80"/>
    <n v="50"/>
    <s v="80 km/h"/>
    <n v="80"/>
    <n v="50"/>
    <s v="150 miles"/>
    <n v="241.40100000000001"/>
    <s v="80 - 80"/>
    <n v="241.40100000000001"/>
    <s v="789 Nanjing Road, Shenzhen, 200001"/>
    <s v="789 Nanjing Road"/>
    <s v="Shenzhen"/>
    <s v="200001"/>
    <s v="CN"/>
    <x v="7"/>
    <x v="3"/>
    <s v="1,807 CNY"/>
    <n v="1807"/>
    <s v="CNY"/>
    <n v="216.84"/>
    <n v="7"/>
    <n v="15"/>
    <n v="15"/>
    <n v="1517.88"/>
    <n v="227.68200000000002"/>
    <n v="1290.1980000000001"/>
  </r>
  <r>
    <n v="37"/>
    <s v="Jonas"/>
    <s v="Fischer"/>
    <x v="2"/>
    <x v="3"/>
    <s v="Feb"/>
    <x v="3"/>
    <s v="20 km/h"/>
    <n v="20"/>
    <n v="12"/>
    <s v="150 mph"/>
    <n v="241"/>
    <n v="150"/>
    <s v="150 miles"/>
    <n v="241.40100000000001"/>
    <s v="20 - 241"/>
    <n v="241.40100000000001"/>
    <s v="789 Nanjing Road, Shenzhen, 200001"/>
    <s v="789 Nanjing Road"/>
    <s v="Shenzhen"/>
    <s v="200001"/>
    <s v="CN"/>
    <x v="7"/>
    <x v="3"/>
    <s v="1,807 CNY"/>
    <n v="1807"/>
    <s v="CNY"/>
    <n v="216.84"/>
    <n v="7"/>
    <m/>
    <n v="10"/>
    <n v="1517.88"/>
    <n v="151.78800000000001"/>
    <n v="1366.0920000000001"/>
  </r>
  <r>
    <n v="38"/>
    <s v="Jonas"/>
    <s v="Fischer"/>
    <x v="2"/>
    <x v="0"/>
    <s v="Jun"/>
    <x v="0"/>
    <s v="50 mph"/>
    <n v="80"/>
    <n v="50"/>
    <s v="100 mph"/>
    <n v="161"/>
    <n v="100"/>
    <s v="300 miles"/>
    <n v="482.80200000000002"/>
    <s v="80 - 161"/>
    <n v="482.80200000000002"/>
    <s v="321 Huaihai Road, Guangzhou, 200020"/>
    <s v="321 Huaihai Road"/>
    <s v="Guangzhou"/>
    <s v="200020"/>
    <s v="CN"/>
    <x v="7"/>
    <x v="3"/>
    <s v="2,069 CNY"/>
    <n v="2069"/>
    <s v="CNY"/>
    <n v="248.28"/>
    <n v="5"/>
    <n v="10"/>
    <n v="10"/>
    <n v="1241.4000000000001"/>
    <n v="124.14"/>
    <n v="1117.26"/>
  </r>
  <r>
    <n v="39"/>
    <s v="Théo"/>
    <s v="Bernard"/>
    <x v="3"/>
    <x v="0"/>
    <s v="Jun"/>
    <x v="0"/>
    <s v="50 mph"/>
    <n v="80"/>
    <n v="50"/>
    <s v="80 km/h"/>
    <n v="80"/>
    <n v="50"/>
    <s v="150 miles"/>
    <n v="241.40100000000001"/>
    <s v="80 - 80"/>
    <n v="241.40100000000001"/>
    <s v="123 MG Road, Bangalore, 560001"/>
    <s v="123 MG Road"/>
    <s v="Bangalore"/>
    <s v="560001"/>
    <s v="IN"/>
    <x v="8"/>
    <x v="3"/>
    <s v="12,348 INR"/>
    <n v="12348"/>
    <s v="INR"/>
    <n v="123.48"/>
    <n v="14"/>
    <n v="10"/>
    <n v="10"/>
    <n v="1728.72"/>
    <n v="172.87200000000001"/>
    <n v="1555.848"/>
  </r>
  <r>
    <n v="40"/>
    <s v="Théo"/>
    <s v="Bernard"/>
    <x v="3"/>
    <x v="3"/>
    <s v="Feb"/>
    <x v="0"/>
    <s v="20 km/h"/>
    <n v="20"/>
    <n v="12"/>
    <s v="100 mph"/>
    <n v="161"/>
    <n v="100"/>
    <s v="300 miles"/>
    <n v="482.80200000000002"/>
    <s v="20 - 161"/>
    <n v="482.80200000000002"/>
    <s v="456 Connaught Place, New Delhi, 110001"/>
    <s v="456 Connaught Place"/>
    <s v="New Delhi"/>
    <s v="110001"/>
    <s v="IN"/>
    <x v="8"/>
    <x v="3"/>
    <s v="16,456 INR"/>
    <n v="16456"/>
    <s v="INR"/>
    <n v="164.56"/>
    <n v="10"/>
    <n v="15"/>
    <n v="15"/>
    <n v="1645.6"/>
    <n v="246.84"/>
    <n v="1398.76"/>
  </r>
  <r>
    <n v="41"/>
    <s v="Théo"/>
    <s v="Bernard"/>
    <x v="3"/>
    <x v="1"/>
    <s v="Mar"/>
    <x v="0"/>
    <s v="50 mph"/>
    <n v="80"/>
    <n v="50"/>
    <s v="150 mph"/>
    <n v="241"/>
    <n v="150"/>
    <s v="600 km"/>
    <n v="600"/>
    <s v="80 - 241"/>
    <n v="600"/>
    <s v="789 Brigade Road, Mumbai, 560025"/>
    <s v="789 Brigade Road"/>
    <s v="Mumbai"/>
    <s v="560025"/>
    <s v="IN"/>
    <x v="8"/>
    <x v="3"/>
    <s v="20,565 INR"/>
    <n v="20565"/>
    <s v="INR"/>
    <n v="205.65"/>
    <n v="8"/>
    <n v="10"/>
    <n v="10"/>
    <n v="1645.2"/>
    <n v="164.52"/>
    <n v="1480.68"/>
  </r>
  <r>
    <n v="42"/>
    <s v="Sanya"/>
    <s v="Joshi"/>
    <x v="0"/>
    <x v="1"/>
    <s v="Mar"/>
    <x v="3"/>
    <s v="30 km/h"/>
    <n v="30"/>
    <n v="19"/>
    <s v="80 km/h"/>
    <n v="80"/>
    <n v="50"/>
    <s v="600 km"/>
    <n v="600"/>
    <s v="30 - 80"/>
    <n v="600"/>
    <s v="321 Jayanagar, Kolkata, 560041"/>
    <s v="321 Jayanagar"/>
    <s v="Kolkata"/>
    <s v="560041"/>
    <s v="IN"/>
    <x v="8"/>
    <x v="3"/>
    <s v="24,673 INR"/>
    <n v="24673"/>
    <s v="INR"/>
    <n v="246.73000000000002"/>
    <n v="4"/>
    <n v="15"/>
    <n v="15"/>
    <n v="986.92000000000007"/>
    <n v="148.03800000000001"/>
    <n v="838.88200000000006"/>
  </r>
  <r>
    <n v="43"/>
    <s v="Sanya"/>
    <s v="Joshi"/>
    <x v="0"/>
    <x v="2"/>
    <s v="Jan"/>
    <x v="1"/>
    <s v="40 mph"/>
    <n v="64"/>
    <n v="40"/>
    <s v="120 km/h"/>
    <n v="120"/>
    <n v="75"/>
    <m/>
    <s v=""/>
    <s v="64 - 120"/>
    <n v="451.98137500000013"/>
    <s v="123 George Street, Sydney, 2000"/>
    <s v="123 George Street"/>
    <s v="Sydney"/>
    <s v="2000"/>
    <s v="AU"/>
    <x v="9"/>
    <x v="4"/>
    <s v="222 AUD"/>
    <n v="222"/>
    <s v="AUD"/>
    <n v="124.32000000000001"/>
    <n v="16"/>
    <n v="10"/>
    <n v="10"/>
    <n v="1989.1200000000001"/>
    <n v="198.91200000000001"/>
    <n v="1790.2080000000001"/>
  </r>
  <r>
    <n v="44"/>
    <s v="Sanya"/>
    <s v="Joshi"/>
    <x v="0"/>
    <x v="1"/>
    <s v="Mar"/>
    <x v="2"/>
    <s v="30 km/h"/>
    <n v="30"/>
    <n v="19"/>
    <s v="120 km/h"/>
    <n v="120"/>
    <n v="75"/>
    <s v="500 km"/>
    <n v="500"/>
    <s v="30 - 120"/>
    <n v="500"/>
    <s v="456 King Street, Melbourne, 3000"/>
    <s v="456 King Street"/>
    <s v="Melbourne"/>
    <s v="3000"/>
    <s v="AU"/>
    <x v="9"/>
    <x v="4"/>
    <s v="296 AUD"/>
    <n v="296"/>
    <s v="AUD"/>
    <n v="165.76000000000002"/>
    <n v="12"/>
    <n v="5"/>
    <n v="5"/>
    <n v="1989.1200000000003"/>
    <n v="99.456000000000017"/>
    <n v="1889.6640000000002"/>
  </r>
  <r>
    <n v="45"/>
    <s v="Fang"/>
    <s v="Liu"/>
    <x v="1"/>
    <x v="0"/>
    <s v="Jun"/>
    <x v="2"/>
    <s v="20 km/h"/>
    <n v="20"/>
    <n v="12"/>
    <s v="150 mph"/>
    <n v="241"/>
    <n v="150"/>
    <s v="300 miles"/>
    <n v="482.80200000000002"/>
    <s v="20 - 241"/>
    <n v="482.80200000000002"/>
    <s v="789 Victoria Road, Brisbane, 2048"/>
    <s v="789 Victoria Road"/>
    <s v="Brisbane"/>
    <s v="2048"/>
    <s v="AU"/>
    <x v="9"/>
    <x v="4"/>
    <s v="370 AUD"/>
    <n v="370"/>
    <s v="AUD"/>
    <n v="207.20000000000002"/>
    <n v="9"/>
    <m/>
    <n v="5"/>
    <n v="1864.8000000000002"/>
    <n v="93.24"/>
    <n v="1771.5600000000002"/>
  </r>
  <r>
    <n v="46"/>
    <s v="Fang"/>
    <s v="Liu"/>
    <x v="1"/>
    <x v="4"/>
    <s v="Apr"/>
    <x v="2"/>
    <s v="30 km/h"/>
    <n v="30"/>
    <n v="19"/>
    <s v="100 mph"/>
    <n v="161"/>
    <n v="100"/>
    <s v="600 km"/>
    <n v="600"/>
    <s v="30 - 161"/>
    <n v="600"/>
    <s v="321 Oxford Street, Perth, 2011"/>
    <s v="321 Oxford Street"/>
    <s v="Perth"/>
    <s v="2011"/>
    <s v="AU"/>
    <x v="9"/>
    <x v="4"/>
    <s v="444 AUD"/>
    <n v="444"/>
    <s v="AUD"/>
    <n v="248.64000000000001"/>
    <n v="6"/>
    <n v="15"/>
    <n v="15"/>
    <n v="1491.8400000000001"/>
    <n v="223.77600000000001"/>
    <n v="1268.0640000000001"/>
  </r>
  <r>
    <n v="47"/>
    <s v="Fang"/>
    <s v="Liu"/>
    <x v="1"/>
    <x v="1"/>
    <s v="Mar"/>
    <x v="1"/>
    <s v="50 mph"/>
    <n v="80"/>
    <n v="50"/>
    <s v="80 km/h"/>
    <n v="80"/>
    <n v="50"/>
    <s v="150 miles"/>
    <n v="241.40100000000001"/>
    <s v="80 - 80"/>
    <n v="241.40100000000001"/>
    <s v="123 Long Street, Cape Town, 8001"/>
    <s v="123 Long Street"/>
    <s v="Cape Town"/>
    <s v="8001"/>
    <s v="ZA"/>
    <x v="10"/>
    <x v="5"/>
    <s v="2,743 ZAR"/>
    <n v="2743"/>
    <s v="ZAR"/>
    <n v="137.15"/>
    <n v="13"/>
    <m/>
    <n v="15"/>
    <n v="1782.95"/>
    <n v="267.4425"/>
    <n v="1515.5075000000002"/>
  </r>
  <r>
    <n v="48"/>
    <s v="Jonas"/>
    <s v="Fischer"/>
    <x v="2"/>
    <x v="4"/>
    <s v="Apr"/>
    <x v="1"/>
    <s v="20 km/h"/>
    <n v="20"/>
    <n v="12"/>
    <s v="80 km/h"/>
    <n v="80"/>
    <n v="50"/>
    <s v="150 miles"/>
    <n v="241.40100000000001"/>
    <s v="20 - 80"/>
    <n v="241.40100000000001"/>
    <s v="456 Bree Street, Johannesburg, 8001"/>
    <s v="456 Bree Street"/>
    <s v="Johannesburg"/>
    <s v="8001"/>
    <s v="ZA"/>
    <x v="10"/>
    <x v="5"/>
    <s v="3,652 ZAR"/>
    <n v="3652"/>
    <s v="ZAR"/>
    <n v="182.60000000000002"/>
    <n v="10"/>
    <n v="5"/>
    <n v="5"/>
    <n v="1826.0000000000002"/>
    <n v="91.300000000000011"/>
    <n v="1734.7000000000003"/>
  </r>
  <r>
    <n v="49"/>
    <s v="Jonas"/>
    <s v="Fischer"/>
    <x v="2"/>
    <x v="1"/>
    <s v="Mar"/>
    <x v="0"/>
    <s v="30 km/h"/>
    <n v="30"/>
    <n v="19"/>
    <s v="150 mph"/>
    <n v="241"/>
    <n v="150"/>
    <s v="300 miles"/>
    <n v="482.80200000000002"/>
    <s v="30 - 241"/>
    <n v="482.80200000000002"/>
    <s v="789 Loop Street, Durban, 8000"/>
    <s v="789 Loop Street"/>
    <s v="Durban"/>
    <s v="8000"/>
    <s v="ZA"/>
    <x v="10"/>
    <x v="5"/>
    <s v="4,500 ZAR"/>
    <n v="4500"/>
    <s v="ZAR"/>
    <n v="225"/>
    <n v="7"/>
    <n v="5"/>
    <n v="5"/>
    <n v="1575"/>
    <n v="78.75"/>
    <n v="1496.25"/>
  </r>
  <r>
    <n v="50"/>
    <s v="Jonas"/>
    <s v="Fischer"/>
    <x v="2"/>
    <x v="0"/>
    <s v="Jun"/>
    <x v="2"/>
    <s v="20 km/h"/>
    <n v="20"/>
    <n v="12"/>
    <s v="80 km/h"/>
    <n v="80"/>
    <n v="50"/>
    <s v="500 km"/>
    <n v="500"/>
    <s v="20 - 80"/>
    <n v="500"/>
    <s v="321 Church Street, Pretoria, 8001"/>
    <s v="321 Church Street"/>
    <s v="Pretoria"/>
    <s v="8001"/>
    <s v="ZA"/>
    <x v="10"/>
    <x v="5"/>
    <s v="5,478 ZAR"/>
    <n v="5478"/>
    <s v="ZAR"/>
    <n v="273.90000000000003"/>
    <n v="5"/>
    <n v="5"/>
    <n v="5"/>
    <n v="1369.5000000000002"/>
    <n v="68.475000000000009"/>
    <n v="1301.0250000000003"/>
  </r>
  <r>
    <n v="51"/>
    <s v="Jonas"/>
    <s v="Fischer"/>
    <x v="2"/>
    <x v="0"/>
    <s v="Jun"/>
    <x v="1"/>
    <s v="50 mph"/>
    <n v="80"/>
    <n v="50"/>
    <s v="120 km/h"/>
    <n v="120"/>
    <n v="75"/>
    <s v="600 km"/>
    <n v="600"/>
    <s v="80 - 120"/>
    <n v="600"/>
    <s v="123 Shibuya Crossing, Tokyo, 150-0002"/>
    <s v="123 Shibuya Crossing"/>
    <s v="Tokyo"/>
    <s v="150-0002"/>
    <s v="JP"/>
    <x v="11"/>
    <x v="3"/>
    <s v="22,313 JPY"/>
    <n v="22313"/>
    <s v="JPY"/>
    <n v="223.13"/>
    <n v="18"/>
    <n v="10"/>
    <n v="10"/>
    <n v="4016.34"/>
    <n v="401.63400000000001"/>
    <n v="3614.7060000000001"/>
  </r>
  <r>
    <n v="52"/>
    <s v="Théo"/>
    <s v="Bernard"/>
    <x v="3"/>
    <x v="1"/>
    <s v="Mar"/>
    <x v="3"/>
    <s v="40 mph"/>
    <n v="64"/>
    <n v="40"/>
    <s v="150 mph"/>
    <n v="241"/>
    <n v="150"/>
    <s v="300 miles"/>
    <n v="482.80200000000002"/>
    <s v="64 - 241"/>
    <n v="482.80200000000002"/>
    <s v="456 Akihabara, Osaka, 110-0006"/>
    <s v="456 Akihabara"/>
    <s v="Osaka"/>
    <s v="110-0006"/>
    <s v="JP"/>
    <x v="11"/>
    <x v="3"/>
    <s v="29,750 JPY"/>
    <n v="29750"/>
    <s v="JPY"/>
    <n v="297.5"/>
    <n v="15"/>
    <n v="15"/>
    <n v="15"/>
    <n v="4462.5"/>
    <n v="669.375"/>
    <n v="3793.125"/>
  </r>
  <r>
    <n v="53"/>
    <s v="Théo"/>
    <s v="Bernard"/>
    <x v="3"/>
    <x v="0"/>
    <s v="Jun"/>
    <x v="1"/>
    <s v="40 mph"/>
    <n v="64"/>
    <n v="40"/>
    <s v="120 km/h"/>
    <n v="120"/>
    <n v="75"/>
    <s v="300 miles"/>
    <n v="482.80200000000002"/>
    <s v="64 - 120"/>
    <n v="482.80200000000002"/>
    <s v="789 Roppongi Hills, Yokohama, 106-0032"/>
    <s v="789 Roppongi Hills"/>
    <s v="Yokohama"/>
    <s v="106-0032"/>
    <s v="JP"/>
    <x v="11"/>
    <x v="3"/>
    <s v="37,188 JPY"/>
    <n v="37188"/>
    <s v="JPY"/>
    <n v="371.88"/>
    <n v="12"/>
    <n v="5"/>
    <n v="5"/>
    <n v="4462.5599999999995"/>
    <n v="223.12799999999996"/>
    <n v="4239.4319999999998"/>
  </r>
  <r>
    <n v="54"/>
    <s v="Théo"/>
    <s v="Bernard"/>
    <x v="3"/>
    <x v="1"/>
    <s v="Mar"/>
    <x v="3"/>
    <s v="30 km/h"/>
    <n v="30"/>
    <n v="19"/>
    <s v="150 mph"/>
    <n v="241"/>
    <n v="150"/>
    <s v="300 miles"/>
    <n v="482.80200000000002"/>
    <s v="30 - 241"/>
    <n v="482.80200000000002"/>
    <s v="789 Roppongi Hills, Yokohama, 106-0032"/>
    <s v="789 Roppongi Hills"/>
    <s v="Yokohama"/>
    <s v="106-0032"/>
    <s v="JP"/>
    <x v="11"/>
    <x v="3"/>
    <s v="37,188 JPY"/>
    <n v="37188"/>
    <s v="JPY"/>
    <n v="371.88"/>
    <n v="12"/>
    <n v="10"/>
    <n v="10"/>
    <n v="4462.5599999999995"/>
    <n v="446.25599999999991"/>
    <n v="4016.3039999999996"/>
  </r>
  <r>
    <n v="55"/>
    <s v="Sanya"/>
    <s v="Joshi"/>
    <x v="0"/>
    <x v="5"/>
    <s v="May"/>
    <x v="2"/>
    <s v="40 mph"/>
    <n v="64"/>
    <n v="40"/>
    <s v="100 mph"/>
    <n v="161"/>
    <n v="100"/>
    <s v="300 miles"/>
    <n v="482.80200000000002"/>
    <s v="64 - 161"/>
    <n v="482.80200000000002"/>
    <s v="321 Ginza, Nagoya, 104-0061"/>
    <s v="321 Ginza"/>
    <s v="Nagoya"/>
    <s v="104-0061"/>
    <s v="JP"/>
    <x v="11"/>
    <x v="3"/>
    <s v="44,625 JPY"/>
    <n v="44625"/>
    <s v="JPY"/>
    <n v="446.25"/>
    <n v="8"/>
    <m/>
    <n v="10"/>
    <n v="3570"/>
    <n v="357"/>
    <n v="3213"/>
  </r>
  <r>
    <n v="56"/>
    <s v="Sanya"/>
    <s v="Joshi"/>
    <x v="0"/>
    <x v="5"/>
    <s v="May"/>
    <x v="2"/>
    <s v="30 km/h"/>
    <n v="30"/>
    <n v="19"/>
    <s v="150 mph"/>
    <n v="241"/>
    <n v="150"/>
    <s v="500 km"/>
    <n v="500"/>
    <s v="30 - 241"/>
    <n v="500"/>
    <s v="1234 Maple Street, Los Angeles, 90210"/>
    <s v="1234 Maple Street"/>
    <s v="Los Angeles"/>
    <s v="90210"/>
    <s v="US"/>
    <x v="0"/>
    <x v="0"/>
    <s v="150 USD"/>
    <n v="150"/>
    <s v="USD"/>
    <n v="129"/>
    <n v="18"/>
    <n v="15"/>
    <n v="15"/>
    <n v="2322"/>
    <n v="348.3"/>
    <n v="1973.7"/>
  </r>
  <r>
    <n v="57"/>
    <s v="Sanya"/>
    <s v="Joshi"/>
    <x v="0"/>
    <x v="4"/>
    <s v="Apr"/>
    <x v="1"/>
    <s v="50 mph"/>
    <n v="80"/>
    <n v="50"/>
    <s v="150 mph"/>
    <n v="241"/>
    <n v="150"/>
    <s v="600 km"/>
    <n v="600"/>
    <s v="80 - 241"/>
    <n v="600"/>
    <s v="5678 Oak Avenue, New York, 10001"/>
    <s v="5678 Oak Avenue"/>
    <s v="New York"/>
    <s v="10001"/>
    <s v="US"/>
    <x v="0"/>
    <x v="0"/>
    <s v="200 USD"/>
    <n v="200"/>
    <s v="USD"/>
    <n v="172"/>
    <n v="12"/>
    <n v="10"/>
    <n v="10"/>
    <n v="2064"/>
    <n v="206.4"/>
    <n v="1857.6"/>
  </r>
  <r>
    <n v="58"/>
    <s v="Fang"/>
    <s v="Liu"/>
    <x v="1"/>
    <x v="5"/>
    <s v="May"/>
    <x v="2"/>
    <s v="20 km/h"/>
    <n v="20"/>
    <n v="12"/>
    <s v="120 km/h"/>
    <n v="120"/>
    <n v="75"/>
    <s v="300 miles"/>
    <n v="482.80200000000002"/>
    <s v="20 - 120"/>
    <n v="482.80200000000002"/>
    <s v="9101 Pine Drive, Atlanta, 30301"/>
    <s v="9101 Pine Drive"/>
    <s v="Atlanta"/>
    <s v="30301"/>
    <s v="US"/>
    <x v="0"/>
    <x v="0"/>
    <s v="250 USD"/>
    <n v="250"/>
    <s v="USD"/>
    <n v="215"/>
    <n v="10"/>
    <m/>
    <n v="10"/>
    <n v="2150"/>
    <n v="215"/>
    <n v="1935"/>
  </r>
  <r>
    <n v="59"/>
    <s v="Fang"/>
    <s v="Liu"/>
    <x v="1"/>
    <x v="0"/>
    <s v="Jun"/>
    <x v="1"/>
    <s v="40 mph"/>
    <n v="64"/>
    <n v="40"/>
    <s v="80 km/h"/>
    <n v="80"/>
    <n v="50"/>
    <s v="600 km"/>
    <n v="600"/>
    <s v="64 - 80"/>
    <n v="600"/>
    <s v="2345 Birch Lane, Chicago, 60614"/>
    <s v="2345 Birch Lane"/>
    <s v="Chicago"/>
    <s v="60614"/>
    <s v="US"/>
    <x v="0"/>
    <x v="0"/>
    <s v="300 USD"/>
    <n v="300"/>
    <s v="USD"/>
    <n v="258"/>
    <n v="6"/>
    <n v="15"/>
    <n v="15"/>
    <n v="1548"/>
    <n v="232.2"/>
    <n v="1315.8"/>
  </r>
  <r>
    <n v="60"/>
    <s v="Fang"/>
    <s v="Liu"/>
    <x v="1"/>
    <x v="2"/>
    <s v="Jan"/>
    <x v="3"/>
    <s v="50 mph"/>
    <n v="80"/>
    <n v="50"/>
    <s v="100 mph"/>
    <n v="161"/>
    <n v="100"/>
    <s v="600 km"/>
    <n v="600"/>
    <s v="80 - 161"/>
    <n v="600"/>
    <s v="123 Queen Street, Toronto, M5H 2N2"/>
    <s v="123 Queen Street"/>
    <s v="Toronto"/>
    <s v="M5H 2N2"/>
    <s v="CA"/>
    <x v="1"/>
    <x v="0"/>
    <s v="204 CAD"/>
    <n v="204"/>
    <s v="CAD"/>
    <n v="128.52000000000001"/>
    <n v="15"/>
    <n v="5"/>
    <n v="5"/>
    <n v="1927.8000000000002"/>
    <n v="96.39"/>
    <n v="1831.41"/>
  </r>
  <r>
    <n v="61"/>
    <s v="Fang"/>
    <s v="Liu"/>
    <x v="1"/>
    <x v="4"/>
    <s v="Apr"/>
    <x v="2"/>
    <s v="50 mph"/>
    <n v="80"/>
    <n v="50"/>
    <s v="100 mph"/>
    <n v="161"/>
    <n v="100"/>
    <s v="300 miles"/>
    <n v="482.80200000000002"/>
    <s v="80 - 161"/>
    <n v="482.80200000000002"/>
    <s v="456 King Road, Ottawa, K1A 0B1"/>
    <s v="456 King Road"/>
    <s v="Ottawa"/>
    <s v="K1A 0B1"/>
    <s v="CA"/>
    <x v="1"/>
    <x v="0"/>
    <s v="272 CAD"/>
    <n v="272"/>
    <s v="CAD"/>
    <n v="171.36"/>
    <n v="11"/>
    <m/>
    <n v="10"/>
    <n v="1884.96"/>
    <n v="188.49599999999998"/>
    <n v="1696.4639999999999"/>
  </r>
  <r>
    <n v="62"/>
    <s v="Jonas"/>
    <s v="Fischer"/>
    <x v="2"/>
    <x v="0"/>
    <s v="Jun"/>
    <x v="2"/>
    <s v="50 mph"/>
    <n v="80"/>
    <n v="50"/>
    <s v="100 mph"/>
    <n v="161"/>
    <n v="100"/>
    <s v="600 km"/>
    <n v="600"/>
    <s v="80 - 161"/>
    <n v="600"/>
    <s v="789 Elm Boulevard, Vancouver, L4T 1P5"/>
    <s v="789 Elm Boulevard"/>
    <s v="Vancouver"/>
    <s v="L4T 1P5"/>
    <s v="CA"/>
    <x v="1"/>
    <x v="0"/>
    <s v="340 CAD"/>
    <n v="340"/>
    <s v="CAD"/>
    <n v="214.2"/>
    <n v="7"/>
    <m/>
    <n v="15"/>
    <n v="1499.3999999999999"/>
    <n v="224.90999999999997"/>
    <n v="1274.4899999999998"/>
  </r>
  <r>
    <n v="63"/>
    <s v="Jonas"/>
    <s v="Fischer"/>
    <x v="2"/>
    <x v="3"/>
    <s v="Feb"/>
    <x v="2"/>
    <s v="40 mph"/>
    <n v="64"/>
    <n v="40"/>
    <s v="100 mph"/>
    <n v="161"/>
    <n v="100"/>
    <s v="600 km"/>
    <n v="600"/>
    <s v="64 - 161"/>
    <n v="600"/>
    <s v="321 Cedar Crescent, Calgary, T5A 0H2"/>
    <s v="321 Cedar Crescent"/>
    <s v="Calgary"/>
    <s v="T5A 0H2"/>
    <s v="CA"/>
    <x v="1"/>
    <x v="0"/>
    <s v="408 CAD"/>
    <n v="408"/>
    <s v="CAD"/>
    <n v="257.04000000000002"/>
    <n v="5"/>
    <n v="15"/>
    <n v="15"/>
    <n v="1285.2"/>
    <n v="192.78"/>
    <n v="1092.42"/>
  </r>
  <r>
    <n v="64"/>
    <s v="Jonas"/>
    <s v="Fischer"/>
    <x v="2"/>
    <x v="4"/>
    <s v="Apr"/>
    <x v="2"/>
    <s v="40 mph"/>
    <n v="64"/>
    <n v="40"/>
    <s v="120 km/h"/>
    <n v="120"/>
    <n v="75"/>
    <s v="600 km"/>
    <n v="600"/>
    <s v="64 - 120"/>
    <n v="600"/>
    <s v="456 Avenida Reforma, Mexico City, 06080"/>
    <s v="456 Avenida Reforma"/>
    <s v="Mexico City"/>
    <s v="06080"/>
    <s v="MX"/>
    <x v="2"/>
    <x v="0"/>
    <s v="2,645 MXN"/>
    <n v="2645"/>
    <s v="MXN"/>
    <n v="132.25"/>
    <n v="22"/>
    <m/>
    <n v="10"/>
    <n v="2909.5"/>
    <n v="290.95"/>
    <n v="2618.5500000000002"/>
  </r>
  <r>
    <n v="65"/>
    <s v="Théo"/>
    <s v="Bernard"/>
    <x v="3"/>
    <x v="0"/>
    <s v="Jun"/>
    <x v="2"/>
    <s v="50 mph"/>
    <n v="80"/>
    <n v="50"/>
    <s v="150 mph"/>
    <n v="241"/>
    <n v="150"/>
    <s v="500 km"/>
    <n v="500"/>
    <s v="80 - 241"/>
    <n v="500"/>
    <s v="789 Calle Juárez, Guadalajara, 66000"/>
    <s v="789 Calle Juárez"/>
    <s v="Guadalajara"/>
    <s v="66000"/>
    <s v="MX"/>
    <x v="2"/>
    <x v="0"/>
    <s v="3,527 MXN"/>
    <n v="3527"/>
    <s v="MXN"/>
    <n v="176.35000000000002"/>
    <n v="16"/>
    <n v="10"/>
    <n v="10"/>
    <n v="2821.6000000000004"/>
    <n v="282.16000000000003"/>
    <n v="2539.4400000000005"/>
  </r>
  <r>
    <n v="66"/>
    <s v="Théo"/>
    <s v="Bernard"/>
    <x v="3"/>
    <x v="3"/>
    <s v="Feb"/>
    <x v="3"/>
    <s v="30 km/h"/>
    <n v="30"/>
    <n v="19"/>
    <s v="120 km/h"/>
    <n v="120"/>
    <n v="75"/>
    <s v="300 miles"/>
    <n v="482.80200000000002"/>
    <s v="30 - 120"/>
    <n v="482.80200000000002"/>
    <s v="234 Paseo de la Reforma, Monterrey, 06500"/>
    <s v="234 Paseo de la Reforma"/>
    <s v="Monterrey"/>
    <s v="06500"/>
    <s v="MX"/>
    <x v="2"/>
    <x v="0"/>
    <s v="4,404 MXN"/>
    <n v="4404"/>
    <s v="MXN"/>
    <n v="220.20000000000002"/>
    <n v="14"/>
    <m/>
    <n v="5"/>
    <n v="3082.8"/>
    <n v="154.13999999999999"/>
    <n v="2928.6600000000003"/>
  </r>
  <r>
    <n v="67"/>
    <s v="Théo"/>
    <s v="Bernard"/>
    <x v="3"/>
    <x v="5"/>
    <s v="May"/>
    <x v="3"/>
    <s v="40 mph"/>
    <n v="64"/>
    <n v="40"/>
    <s v="150 mph"/>
    <n v="241"/>
    <n v="150"/>
    <s v="600 km"/>
    <n v="600"/>
    <s v="64 - 241"/>
    <n v="600"/>
    <s v="678 Calle 5 de Febrero, Puebla, 03230"/>
    <s v="678 Calle 5 de Febrero"/>
    <s v="Puebla"/>
    <s v="03230"/>
    <s v="MX"/>
    <x v="2"/>
    <x v="0"/>
    <s v="5,289 MXN"/>
    <n v="5289"/>
    <s v="MXN"/>
    <n v="264.45"/>
    <n v="8"/>
    <n v="15"/>
    <n v="15"/>
    <n v="2115.6"/>
    <n v="317.33999999999997"/>
    <n v="1798.26"/>
  </r>
  <r>
    <n v="68"/>
    <s v="Sanya"/>
    <s v="Joshi"/>
    <x v="0"/>
    <x v="5"/>
    <s v="May"/>
    <x v="3"/>
    <s v="20 km/h"/>
    <n v="20"/>
    <n v="12"/>
    <s v="100 mph"/>
    <n v="161"/>
    <n v="100"/>
    <s v="300 miles"/>
    <n v="482.80200000000002"/>
    <s v="20 - 161"/>
    <n v="482.80200000000002"/>
    <s v="123 Rua da Liberdade, São Paulo, 01234-000"/>
    <s v="123 Rua da Liberdade"/>
    <s v="São Paulo"/>
    <s v="01234-000"/>
    <s v="BR"/>
    <x v="3"/>
    <x v="1"/>
    <s v="758 BRL"/>
    <n v="758"/>
    <s v="BRL"/>
    <n v="113.7"/>
    <n v="20"/>
    <m/>
    <n v="15"/>
    <n v="2274"/>
    <n v="341.1"/>
    <n v="1932.9"/>
  </r>
  <r>
    <n v="69"/>
    <s v="Sanya"/>
    <s v="Joshi"/>
    <x v="0"/>
    <x v="2"/>
    <s v="Jan"/>
    <x v="2"/>
    <s v="50 mph"/>
    <n v="80"/>
    <n v="50"/>
    <s v="80 km/h"/>
    <n v="80"/>
    <n v="50"/>
    <s v="300 miles"/>
    <n v="482.80200000000002"/>
    <s v="80 - 80"/>
    <n v="482.80200000000002"/>
    <s v="456 Avenida Paulista, Rio de Janeiro, 01311-000"/>
    <s v="456 Avenida Paulista"/>
    <s v="Rio de Janeiro"/>
    <s v="01311-000"/>
    <s v="BR"/>
    <x v="3"/>
    <x v="1"/>
    <s v="1,012 BRL"/>
    <n v="1012"/>
    <s v="BRL"/>
    <n v="151.79999999999998"/>
    <n v="13"/>
    <n v="5"/>
    <n v="5"/>
    <n v="1973.3999999999999"/>
    <n v="98.67"/>
    <n v="1874.7299999999998"/>
  </r>
  <r>
    <n v="70"/>
    <s v="Sanya"/>
    <s v="Joshi"/>
    <x v="0"/>
    <x v="0"/>
    <s v="Jun"/>
    <x v="1"/>
    <s v="50 mph"/>
    <n v="80"/>
    <n v="50"/>
    <s v="80 km/h"/>
    <n v="80"/>
    <n v="50"/>
    <m/>
    <s v=""/>
    <s v="80 - 80"/>
    <n v="451.98137500000013"/>
    <s v="789 Rua dos Três Irmãos, Brasília, 05432-000"/>
    <s v="789 Rua dos Três Irmãos"/>
    <s v="Brasília"/>
    <s v="05432-000"/>
    <s v="BR"/>
    <x v="3"/>
    <x v="1"/>
    <s v="1,265 BRL"/>
    <n v="1265"/>
    <s v="BRL"/>
    <n v="189.75"/>
    <n v="10"/>
    <n v="15"/>
    <n v="15"/>
    <n v="1897.5"/>
    <n v="284.625"/>
    <n v="1612.875"/>
  </r>
  <r>
    <n v="71"/>
    <s v="Fang"/>
    <s v="Liu"/>
    <x v="1"/>
    <x v="0"/>
    <s v="Jun"/>
    <x v="1"/>
    <s v="20 km/h"/>
    <n v="20"/>
    <n v="12"/>
    <s v="120 km/h"/>
    <n v="120"/>
    <n v="75"/>
    <s v="150 miles"/>
    <n v="241.40100000000001"/>
    <s v="20 - 120"/>
    <n v="241.40100000000001"/>
    <s v="321 Rua das Flores, Belo Horizonte, 01235-000"/>
    <s v="321 Rua das Flores"/>
    <s v="Belo Horizonte"/>
    <s v="01235-000"/>
    <s v="BR"/>
    <x v="3"/>
    <x v="1"/>
    <s v="1,512 BRL"/>
    <n v="1512"/>
    <s v="BRL"/>
    <n v="226.79999999999998"/>
    <n v="6"/>
    <m/>
    <n v="15"/>
    <n v="1360.8"/>
    <n v="204.12"/>
    <n v="1156.6799999999998"/>
  </r>
  <r>
    <n v="72"/>
    <s v="Fang"/>
    <s v="Liu"/>
    <x v="1"/>
    <x v="1"/>
    <s v="Mar"/>
    <x v="0"/>
    <s v="20 km/h"/>
    <n v="20"/>
    <n v="12"/>
    <s v="150 mph"/>
    <n v="241"/>
    <n v="150"/>
    <s v="300 miles"/>
    <n v="482.80200000000002"/>
    <s v="20 - 241"/>
    <n v="482.80200000000002"/>
    <s v="12 High Street, London, SW1A 1AA"/>
    <s v="12 High Street"/>
    <s v="London"/>
    <s v="SW1A 1AA"/>
    <s v="GB"/>
    <x v="4"/>
    <x v="2"/>
    <s v="117 GBP"/>
    <n v="117"/>
    <s v="GBP"/>
    <n v="134.54999999999998"/>
    <n v="28"/>
    <m/>
    <n v="5"/>
    <n v="3767.3999999999996"/>
    <n v="188.37"/>
    <n v="3579.0299999999997"/>
  </r>
  <r>
    <n v="73"/>
    <s v="Fang"/>
    <s v="Liu"/>
    <x v="1"/>
    <x v="3"/>
    <s v="Feb"/>
    <x v="3"/>
    <s v="20 km/h"/>
    <n v="20"/>
    <n v="12"/>
    <s v="80 km/h"/>
    <n v="80"/>
    <n v="50"/>
    <s v="600 km"/>
    <n v="600"/>
    <s v="20 - 80"/>
    <n v="600"/>
    <s v="34 King’s Road, Liverpool, W8 4PX"/>
    <s v="34 King’s Road"/>
    <s v="Liverpool"/>
    <s v="W8 4PX"/>
    <s v="GB"/>
    <x v="4"/>
    <x v="2"/>
    <s v="156 GBP"/>
    <n v="156"/>
    <s v="GBP"/>
    <n v="179.39999999999998"/>
    <n v="21"/>
    <n v="10"/>
    <n v="10"/>
    <n v="3767.3999999999996"/>
    <n v="376.74"/>
    <n v="3390.66"/>
  </r>
  <r>
    <n v="74"/>
    <s v="Jonas"/>
    <s v="Fischer"/>
    <x v="2"/>
    <x v="0"/>
    <s v="Jun"/>
    <x v="0"/>
    <s v="40 mph"/>
    <n v="64"/>
    <n v="40"/>
    <s v="120 km/h"/>
    <n v="120"/>
    <n v="75"/>
    <s v="300 miles"/>
    <n v="482.80200000000002"/>
    <s v="64 - 120"/>
    <n v="482.80200000000002"/>
    <s v="56 Queen Street, Edinburgh, EH2 4GQ"/>
    <s v="56 Queen Street"/>
    <s v="Edinburgh"/>
    <s v="EH2 4GQ"/>
    <s v="GB"/>
    <x v="4"/>
    <x v="2"/>
    <s v="195 GBP"/>
    <n v="195"/>
    <s v="GBP"/>
    <n v="224.24999999999997"/>
    <n v="15"/>
    <m/>
    <n v="15"/>
    <n v="3363.7499999999995"/>
    <n v="504.56249999999994"/>
    <n v="2859.1874999999995"/>
  </r>
  <r>
    <n v="75"/>
    <s v="Jonas"/>
    <s v="Fischer"/>
    <x v="2"/>
    <x v="4"/>
    <s v="Apr"/>
    <x v="1"/>
    <s v="40 mph"/>
    <n v="64"/>
    <n v="40"/>
    <s v="150 mph"/>
    <n v="241"/>
    <n v="150"/>
    <s v="300 miles"/>
    <n v="482.80200000000002"/>
    <s v="64 - 241"/>
    <n v="482.80200000000002"/>
    <s v="78 Church Lane, Birmingham, B1 1AA"/>
    <s v="78 Church Lane"/>
    <s v="Birmingham"/>
    <s v="B1 1AA"/>
    <s v="GB"/>
    <x v="4"/>
    <x v="2"/>
    <s v="234 GBP"/>
    <n v="234"/>
    <s v="GBP"/>
    <n v="269.09999999999997"/>
    <n v="9"/>
    <n v="15"/>
    <n v="15"/>
    <n v="2421.8999999999996"/>
    <n v="363.28499999999991"/>
    <n v="2058.6149999999998"/>
  </r>
  <r>
    <n v="76"/>
    <s v="Jonas"/>
    <s v="Fischer"/>
    <x v="2"/>
    <x v="4"/>
    <s v="Apr"/>
    <x v="3"/>
    <s v="30 km/h"/>
    <n v="30"/>
    <n v="19"/>
    <s v="100 mph"/>
    <n v="161"/>
    <n v="100"/>
    <s v="600 km"/>
    <n v="600"/>
    <s v="30 - 161"/>
    <n v="600"/>
    <s v="123 Hauptstraße, Berlin, 10115"/>
    <s v="123 Hauptstraße"/>
    <s v="Berlin"/>
    <s v="10115"/>
    <s v="DE"/>
    <x v="5"/>
    <x v="2"/>
    <s v="139 EUR"/>
    <n v="139"/>
    <s v="EUR"/>
    <n v="139"/>
    <n v="25"/>
    <m/>
    <n v="10"/>
    <n v="3475"/>
    <n v="347.5"/>
    <n v="3127.5"/>
  </r>
  <r>
    <n v="77"/>
    <s v="Théo"/>
    <s v="Bernard"/>
    <x v="3"/>
    <x v="1"/>
    <s v="Mar"/>
    <x v="0"/>
    <s v="20 km/h"/>
    <n v="20"/>
    <n v="12"/>
    <s v="150 mph"/>
    <n v="241"/>
    <n v="150"/>
    <s v="150 miles"/>
    <n v="241.40100000000001"/>
    <s v="20 - 241"/>
    <n v="241.40100000000001"/>
    <s v="456 Bahnhofstraße, Frankfurt, 60329"/>
    <s v="456 Bahnhofstraße"/>
    <s v="Frankfurt"/>
    <s v="60329"/>
    <s v="DE"/>
    <x v="5"/>
    <x v="2"/>
    <s v="186 EUR"/>
    <n v="186"/>
    <s v="EUR"/>
    <n v="186"/>
    <n v="19"/>
    <m/>
    <n v="15"/>
    <n v="3534"/>
    <n v="530.1"/>
    <n v="3003.9"/>
  </r>
  <r>
    <n v="78"/>
    <s v="Théo"/>
    <s v="Bernard"/>
    <x v="3"/>
    <x v="3"/>
    <s v="Feb"/>
    <x v="3"/>
    <s v="30 km/h"/>
    <n v="30"/>
    <n v="19"/>
    <s v="120 km/h"/>
    <n v="120"/>
    <n v="75"/>
    <s v="300 miles"/>
    <n v="482.80200000000002"/>
    <s v="30 - 120"/>
    <n v="482.80200000000002"/>
    <s v="789 Lindenweg, Munich, 10179"/>
    <s v="789 Lindenweg"/>
    <s v="Munich"/>
    <s v="10179"/>
    <s v="DE"/>
    <x v="5"/>
    <x v="2"/>
    <s v="232 EUR"/>
    <n v="232"/>
    <s v="EUR"/>
    <n v="232"/>
    <n v="17"/>
    <n v="15"/>
    <n v="15"/>
    <n v="3944"/>
    <n v="591.6"/>
    <n v="3352.4"/>
  </r>
  <r>
    <n v="79"/>
    <s v="Théo"/>
    <s v="Bernard"/>
    <x v="3"/>
    <x v="5"/>
    <s v="May"/>
    <x v="3"/>
    <s v="40 mph"/>
    <n v="64"/>
    <n v="40"/>
    <s v="80 km/h"/>
    <n v="80"/>
    <n v="50"/>
    <s v="600 km"/>
    <n v="600"/>
    <s v="64 - 80"/>
    <n v="600"/>
    <s v="321 Gartenstraße, Dresden, 01067"/>
    <s v="321 Gartenstraße"/>
    <s v="Dresden"/>
    <s v="01067"/>
    <s v="DE"/>
    <x v="5"/>
    <x v="2"/>
    <s v="279 EUR"/>
    <n v="279"/>
    <s v="EUR"/>
    <n v="279"/>
    <n v="12"/>
    <n v="15"/>
    <n v="15"/>
    <n v="3348"/>
    <n v="502.2"/>
    <n v="2845.8"/>
  </r>
  <r>
    <n v="80"/>
    <s v="Théo"/>
    <s v="Bernard"/>
    <x v="3"/>
    <x v="3"/>
    <s v="Feb"/>
    <x v="2"/>
    <s v="30 km/h"/>
    <n v="30"/>
    <n v="19"/>
    <s v="80 km/h"/>
    <n v="80"/>
    <n v="50"/>
    <s v="600 km"/>
    <n v="600"/>
    <s v="30 - 80"/>
    <n v="600"/>
    <s v="123 Rue de la Paix, Paris, 75002"/>
    <s v="123 Rue de la Paix"/>
    <s v="Paris"/>
    <s v="75002"/>
    <s v="FR"/>
    <x v="6"/>
    <x v="2"/>
    <s v="139 EUR"/>
    <n v="139"/>
    <s v="EUR"/>
    <n v="139"/>
    <n v="20"/>
    <n v="5"/>
    <n v="5"/>
    <n v="2780"/>
    <n v="139"/>
    <n v="2641"/>
  </r>
  <r>
    <n v="81"/>
    <s v="Théo"/>
    <s v="Bernard"/>
    <x v="3"/>
    <x v="2"/>
    <s v="Jan"/>
    <x v="0"/>
    <s v="20 km/h"/>
    <n v="20"/>
    <n v="12"/>
    <s v="120 km/h"/>
    <n v="120"/>
    <n v="75"/>
    <s v="150 miles"/>
    <n v="241.40100000000001"/>
    <s v="20 - 120"/>
    <n v="241.40100000000001"/>
    <s v="123 Rue de la Paix, Paris, 75002"/>
    <s v="123 Rue de la Paix"/>
    <s v="Paris"/>
    <s v="75002"/>
    <s v="FR"/>
    <x v="6"/>
    <x v="2"/>
    <s v="139 EUR"/>
    <n v="139"/>
    <s v="EUR"/>
    <n v="139"/>
    <n v="20"/>
    <n v="5"/>
    <n v="5"/>
    <n v="2780"/>
    <n v="139"/>
    <n v="2641"/>
  </r>
  <r>
    <n v="82"/>
    <s v="Sanya"/>
    <s v="Joshi"/>
    <x v="0"/>
    <x v="5"/>
    <s v="May"/>
    <x v="3"/>
    <s v="40 mph"/>
    <n v="64"/>
    <n v="40"/>
    <s v="80 km/h"/>
    <n v="80"/>
    <n v="50"/>
    <s v="500 km"/>
    <n v="500"/>
    <s v="64 - 80"/>
    <n v="500"/>
    <s v="456 Boulevard Saint-Germain, Lyon, 75006"/>
    <s v="456 Boulevard Saint-Germain"/>
    <s v="Lyon"/>
    <s v="75006"/>
    <s v="FR"/>
    <x v="6"/>
    <x v="2"/>
    <s v="186 EUR"/>
    <n v="186"/>
    <s v="EUR"/>
    <n v="186"/>
    <n v="14"/>
    <n v="5"/>
    <n v="5"/>
    <n v="2604"/>
    <n v="130.19999999999999"/>
    <n v="2473.8000000000002"/>
  </r>
  <r>
    <n v="83"/>
    <s v="Sanya"/>
    <s v="Joshi"/>
    <x v="0"/>
    <x v="1"/>
    <s v="Mar"/>
    <x v="0"/>
    <s v="20 km/h"/>
    <n v="20"/>
    <n v="12"/>
    <s v="120 km/h"/>
    <n v="120"/>
    <n v="75"/>
    <s v="500 km"/>
    <n v="500"/>
    <s v="20 - 120"/>
    <n v="500"/>
    <s v="789 Avenue des Champs-Élysées, Marseille, 75008"/>
    <s v="789 Avenue des Champs-Élysées"/>
    <s v="Marseille"/>
    <s v="75008"/>
    <s v="FR"/>
    <x v="6"/>
    <x v="2"/>
    <s v="232 EUR"/>
    <n v="232"/>
    <s v="EUR"/>
    <n v="232"/>
    <n v="10"/>
    <n v="15"/>
    <n v="15"/>
    <n v="2320"/>
    <n v="348"/>
    <n v="1972"/>
  </r>
  <r>
    <n v="84"/>
    <s v="Sanya"/>
    <s v="Joshi"/>
    <x v="0"/>
    <x v="3"/>
    <s v="Feb"/>
    <x v="0"/>
    <s v="20 km/h"/>
    <n v="20"/>
    <n v="12"/>
    <s v="150 mph"/>
    <n v="241"/>
    <n v="150"/>
    <s v="500 km"/>
    <n v="500"/>
    <s v="20 - 241"/>
    <n v="500"/>
    <s v="321 Rue du Faubourg, Toulouse, 75010"/>
    <s v="321 Rue du Faubourg"/>
    <s v="Toulouse"/>
    <s v="75010"/>
    <s v="FR"/>
    <x v="6"/>
    <x v="2"/>
    <s v="279 EUR"/>
    <n v="279"/>
    <s v="EUR"/>
    <n v="279"/>
    <n v="8"/>
    <m/>
    <n v="5"/>
    <n v="2232"/>
    <n v="111.6"/>
    <n v="2120.4"/>
  </r>
  <r>
    <n v="85"/>
    <s v="Fang"/>
    <s v="Liu"/>
    <x v="1"/>
    <x v="3"/>
    <s v="Feb"/>
    <x v="1"/>
    <s v="50 mph"/>
    <n v="80"/>
    <n v="50"/>
    <s v="80 km/h"/>
    <n v="80"/>
    <n v="50"/>
    <s v="500 km"/>
    <n v="500"/>
    <s v="80 - 80"/>
    <n v="500"/>
    <s v="123 Chang'an Avenue, Beijing, 100001"/>
    <s v="123 Chang'an Avenue"/>
    <s v="Beijing"/>
    <s v="100001"/>
    <s v="CN"/>
    <x v="7"/>
    <x v="3"/>
    <s v="1,083 CNY"/>
    <n v="1083"/>
    <s v="CNY"/>
    <n v="129.96"/>
    <n v="12"/>
    <m/>
    <n v="10"/>
    <n v="1559.52"/>
    <n v="155.952"/>
    <n v="1403.568"/>
  </r>
  <r>
    <n v="86"/>
    <s v="Fang"/>
    <s v="Liu"/>
    <x v="1"/>
    <x v="3"/>
    <s v="Feb"/>
    <x v="0"/>
    <s v="50 mph"/>
    <n v="80"/>
    <n v="50"/>
    <s v="150 mph"/>
    <n v="241"/>
    <n v="150"/>
    <s v="300 miles"/>
    <n v="482.80200000000002"/>
    <s v="80 - 241"/>
    <n v="482.80200000000002"/>
    <s v="456 Wangfujing Street, Shanghai, 100006"/>
    <s v="456 Wangfujing Street"/>
    <s v="Shanghai"/>
    <s v="100006"/>
    <s v="CN"/>
    <x v="7"/>
    <x v="3"/>
    <s v="1,445 CNY"/>
    <n v="1445"/>
    <s v="CNY"/>
    <n v="173.4"/>
    <n v="9"/>
    <m/>
    <n v="15"/>
    <n v="1560.6000000000001"/>
    <n v="234.09000000000003"/>
    <n v="1326.5100000000002"/>
  </r>
  <r>
    <n v="87"/>
    <s v="Fang"/>
    <s v="Liu"/>
    <x v="1"/>
    <x v="5"/>
    <s v="May"/>
    <x v="3"/>
    <s v="30 km/h"/>
    <n v="30"/>
    <n v="19"/>
    <s v="80 km/h"/>
    <n v="80"/>
    <n v="50"/>
    <s v="300 miles"/>
    <n v="482.80200000000002"/>
    <s v="30 - 80"/>
    <n v="482.80200000000002"/>
    <s v="789 Nanjing Road, Shenzhen, 200001"/>
    <s v="789 Nanjing Road"/>
    <s v="Shenzhen"/>
    <s v="200001"/>
    <s v="CN"/>
    <x v="7"/>
    <x v="3"/>
    <s v="1,807 CNY"/>
    <n v="1807"/>
    <s v="CNY"/>
    <n v="216.84"/>
    <n v="7"/>
    <n v="15"/>
    <n v="15"/>
    <n v="1517.88"/>
    <n v="227.68200000000002"/>
    <n v="1290.1980000000001"/>
  </r>
  <r>
    <n v="88"/>
    <s v="Jonas"/>
    <s v="Fischer"/>
    <x v="2"/>
    <x v="3"/>
    <s v="Feb"/>
    <x v="0"/>
    <s v="30 km/h"/>
    <n v="30"/>
    <n v="19"/>
    <s v="150 mph"/>
    <n v="241"/>
    <n v="150"/>
    <s v="500 km"/>
    <n v="500"/>
    <s v="30 - 241"/>
    <n v="500"/>
    <s v="321 Huaihai Road, Guangzhou, 200020"/>
    <s v="321 Huaihai Road"/>
    <s v="Guangzhou"/>
    <s v="200020"/>
    <s v="CN"/>
    <x v="7"/>
    <x v="3"/>
    <s v="2,069 CNY"/>
    <n v="2069"/>
    <s v="CNY"/>
    <n v="248.28"/>
    <n v="5"/>
    <n v="15"/>
    <n v="15"/>
    <n v="1241.4000000000001"/>
    <n v="186.21"/>
    <n v="1055.19"/>
  </r>
  <r>
    <n v="89"/>
    <s v="Jonas"/>
    <s v="Fischer"/>
    <x v="2"/>
    <x v="3"/>
    <s v="Feb"/>
    <x v="0"/>
    <s v="30 km/h"/>
    <n v="30"/>
    <n v="19"/>
    <s v="80 km/h"/>
    <n v="80"/>
    <n v="50"/>
    <s v="150 miles"/>
    <n v="241.40100000000001"/>
    <s v="30 - 80"/>
    <n v="241.40100000000001"/>
    <s v="123 MG Road, Bangalore, 560001"/>
    <s v="123 MG Road"/>
    <s v="Bangalore"/>
    <s v="560001"/>
    <s v="IN"/>
    <x v="8"/>
    <x v="3"/>
    <s v="12,348 INR"/>
    <n v="12348"/>
    <s v="INR"/>
    <n v="123.48"/>
    <n v="16"/>
    <n v="5"/>
    <n v="5"/>
    <n v="1975.68"/>
    <n v="98.783999999999992"/>
    <n v="1876.8960000000002"/>
  </r>
  <r>
    <n v="90"/>
    <s v="Jonas"/>
    <s v="Fischer"/>
    <x v="2"/>
    <x v="5"/>
    <s v="May"/>
    <x v="3"/>
    <s v="40 mph"/>
    <n v="64"/>
    <n v="40"/>
    <s v="100 mph"/>
    <n v="161"/>
    <n v="100"/>
    <s v="300 miles"/>
    <n v="482.80200000000002"/>
    <s v="64 - 161"/>
    <n v="482.80200000000002"/>
    <s v="456 Connaught Place, New Delhi, 110001"/>
    <s v="456 Connaught Place"/>
    <s v="New Delhi"/>
    <s v="110001"/>
    <s v="IN"/>
    <x v="8"/>
    <x v="3"/>
    <s v="16,456 INR"/>
    <n v="16456"/>
    <s v="INR"/>
    <n v="164.56"/>
    <n v="13"/>
    <n v="5"/>
    <n v="5"/>
    <n v="2139.2800000000002"/>
    <n v="106.96400000000001"/>
    <n v="2032.3160000000003"/>
  </r>
  <r>
    <n v="91"/>
    <s v="Théo"/>
    <s v="Bernard"/>
    <x v="3"/>
    <x v="5"/>
    <s v="May"/>
    <x v="1"/>
    <s v="50 mph"/>
    <n v="80"/>
    <n v="50"/>
    <s v="120 km/h"/>
    <n v="120"/>
    <n v="75"/>
    <s v="300 miles"/>
    <n v="482.80200000000002"/>
    <s v="80 - 120"/>
    <n v="482.80200000000002"/>
    <s v="789 Brigade Road, Mumbai, 560025"/>
    <s v="789 Brigade Road"/>
    <s v="Mumbai"/>
    <s v="560025"/>
    <s v="IN"/>
    <x v="8"/>
    <x v="3"/>
    <s v="20,565 INR"/>
    <n v="20565"/>
    <s v="INR"/>
    <n v="205.65"/>
    <n v="11"/>
    <m/>
    <n v="10"/>
    <n v="2262.15"/>
    <n v="226.215"/>
    <n v="2035.9350000000002"/>
  </r>
  <r>
    <n v="92"/>
    <s v="Théo"/>
    <s v="Bernard"/>
    <x v="3"/>
    <x v="1"/>
    <s v="Mar"/>
    <x v="2"/>
    <s v="40 mph"/>
    <n v="64"/>
    <n v="40"/>
    <s v="100 mph"/>
    <n v="161"/>
    <n v="100"/>
    <m/>
    <s v=""/>
    <s v="64 - 161"/>
    <n v="451.98137500000013"/>
    <s v="321 Jayanagar, Kolkata, 560041"/>
    <s v="321 Jayanagar"/>
    <s v="Kolkata"/>
    <s v="560041"/>
    <s v="IN"/>
    <x v="8"/>
    <x v="3"/>
    <s v="24,673 INR"/>
    <n v="24673"/>
    <s v="INR"/>
    <n v="246.73000000000002"/>
    <n v="6"/>
    <n v="5"/>
    <n v="5"/>
    <n v="1480.38"/>
    <n v="74.019000000000005"/>
    <n v="1406.3610000000001"/>
  </r>
  <r>
    <n v="93"/>
    <s v="Théo"/>
    <s v="Bernard"/>
    <x v="3"/>
    <x v="0"/>
    <s v="Jun"/>
    <x v="3"/>
    <s v="20 km/h"/>
    <n v="20"/>
    <n v="12"/>
    <s v="80 km/h"/>
    <n v="80"/>
    <n v="50"/>
    <s v="150 miles"/>
    <n v="241.40100000000001"/>
    <s v="20 - 80"/>
    <n v="241.40100000000001"/>
    <s v="123 George Street, Sydney, 2000"/>
    <s v="123 George Street"/>
    <s v="Sydney"/>
    <s v="2000"/>
    <s v="AU"/>
    <x v="9"/>
    <x v="4"/>
    <s v="222 AUD"/>
    <n v="222"/>
    <s v="AUD"/>
    <n v="124.32000000000001"/>
    <n v="14"/>
    <n v="10"/>
    <n v="10"/>
    <n v="1740.48"/>
    <n v="174.048"/>
    <n v="1566.432"/>
  </r>
  <r>
    <n v="94"/>
    <s v="Sanya"/>
    <s v="Joshi"/>
    <x v="0"/>
    <x v="3"/>
    <s v="Feb"/>
    <x v="2"/>
    <s v="40 mph"/>
    <n v="64"/>
    <n v="40"/>
    <s v="150 mph"/>
    <n v="241"/>
    <n v="150"/>
    <s v="150 miles"/>
    <n v="241.40100000000001"/>
    <s v="64 - 241"/>
    <n v="241.40100000000001"/>
    <s v="456 King Street, Melbourne, 3000"/>
    <s v="456 King Street"/>
    <s v="Melbourne"/>
    <s v="3000"/>
    <s v="AU"/>
    <x v="9"/>
    <x v="4"/>
    <s v="296 AUD"/>
    <n v="296"/>
    <s v="AUD"/>
    <n v="165.76000000000002"/>
    <n v="10"/>
    <n v="15"/>
    <n v="15"/>
    <n v="1657.6000000000001"/>
    <n v="248.64000000000004"/>
    <n v="1408.96"/>
  </r>
  <r>
    <n v="95"/>
    <s v="Sanya"/>
    <s v="Joshi"/>
    <x v="0"/>
    <x v="4"/>
    <s v="Apr"/>
    <x v="0"/>
    <s v="40 mph"/>
    <n v="64"/>
    <n v="40"/>
    <s v="100 mph"/>
    <n v="161"/>
    <n v="100"/>
    <s v="300 miles"/>
    <n v="482.80200000000002"/>
    <s v="64 - 161"/>
    <n v="482.80200000000002"/>
    <s v="789 Victoria Road, Brisbane, 2048"/>
    <s v="789 Victoria Road"/>
    <s v="Brisbane"/>
    <s v="2048"/>
    <s v="AU"/>
    <x v="9"/>
    <x v="4"/>
    <s v="370 AUD"/>
    <n v="370"/>
    <s v="AUD"/>
    <n v="207.20000000000002"/>
    <n v="7"/>
    <m/>
    <n v="15"/>
    <n v="1450.4"/>
    <n v="217.56"/>
    <n v="1232.8400000000001"/>
  </r>
  <r>
    <n v="96"/>
    <s v="Sanya"/>
    <s v="Joshi"/>
    <x v="0"/>
    <x v="1"/>
    <s v="Mar"/>
    <x v="0"/>
    <s v="40 mph"/>
    <n v="64"/>
    <n v="40"/>
    <s v="150 mph"/>
    <n v="241"/>
    <n v="150"/>
    <s v="600 km"/>
    <n v="600"/>
    <s v="64 - 241"/>
    <n v="600"/>
    <s v="321 Oxford Street, Perth, 2011"/>
    <s v="321 Oxford Street"/>
    <s v="Perth"/>
    <s v="2011"/>
    <s v="AU"/>
    <x v="9"/>
    <x v="4"/>
    <s v="444 AUD"/>
    <n v="444"/>
    <s v="AUD"/>
    <n v="248.64000000000001"/>
    <n v="5"/>
    <n v="10"/>
    <n v="10"/>
    <n v="1243.2"/>
    <n v="124.32"/>
    <n v="1118.8800000000001"/>
  </r>
  <r>
    <n v="97"/>
    <s v="Sanya"/>
    <s v="Joshi"/>
    <x v="0"/>
    <x v="2"/>
    <s v="Jan"/>
    <x v="3"/>
    <s v="40 mph"/>
    <n v="64"/>
    <n v="40"/>
    <s v="80 km/h"/>
    <n v="80"/>
    <n v="50"/>
    <s v="150 miles"/>
    <n v="241.40100000000001"/>
    <s v="64 - 80"/>
    <n v="241.40100000000001"/>
    <s v="123 Long Street, Cape Town, 8001"/>
    <s v="123 Long Street"/>
    <s v="Cape Town"/>
    <s v="8001"/>
    <s v="ZA"/>
    <x v="10"/>
    <x v="5"/>
    <s v="2,743 ZAR"/>
    <n v="2743"/>
    <s v="ZAR"/>
    <n v="137.15"/>
    <n v="19"/>
    <m/>
    <n v="10"/>
    <n v="2605.85"/>
    <n v="260.58499999999998"/>
    <n v="2345.2649999999999"/>
  </r>
  <r>
    <n v="98"/>
    <s v="Fang"/>
    <s v="Liu"/>
    <x v="1"/>
    <x v="1"/>
    <s v="Mar"/>
    <x v="0"/>
    <s v="30 km/h"/>
    <n v="30"/>
    <n v="19"/>
    <s v="120 km/h"/>
    <n v="120"/>
    <n v="75"/>
    <s v="600 km"/>
    <n v="600"/>
    <s v="30 - 120"/>
    <n v="600"/>
    <s v="456 Bree Street, Johannesburg, 8001"/>
    <s v="456 Bree Street"/>
    <s v="Johannesburg"/>
    <s v="8001"/>
    <s v="ZA"/>
    <x v="10"/>
    <x v="5"/>
    <s v="3,652 ZAR"/>
    <n v="3652"/>
    <s v="ZAR"/>
    <n v="182.60000000000002"/>
    <n v="15"/>
    <n v="15"/>
    <n v="15"/>
    <n v="2739.0000000000005"/>
    <n v="410.85000000000008"/>
    <n v="2328.1500000000005"/>
  </r>
  <r>
    <n v="99"/>
    <s v="Fang"/>
    <s v="Liu"/>
    <x v="1"/>
    <x v="0"/>
    <s v="Jun"/>
    <x v="3"/>
    <s v="40 mph"/>
    <n v="64"/>
    <n v="40"/>
    <s v="120 km/h"/>
    <n v="120"/>
    <n v="75"/>
    <s v="150 miles"/>
    <n v="241.40100000000001"/>
    <s v="64 - 120"/>
    <n v="241.40100000000001"/>
    <s v="456 Bree Street, Johannesburg, 8001"/>
    <s v="456 Bree Street"/>
    <s v="Johannesburg"/>
    <s v="8001"/>
    <s v="ZA"/>
    <x v="10"/>
    <x v="5"/>
    <s v="3,652 ZAR"/>
    <n v="3652"/>
    <s v="ZAR"/>
    <n v="182.60000000000002"/>
    <n v="15"/>
    <n v="10"/>
    <n v="10"/>
    <n v="2739.0000000000005"/>
    <n v="273.90000000000003"/>
    <n v="2465.1000000000004"/>
  </r>
  <r>
    <n v="100"/>
    <s v="Fang"/>
    <s v="Liu"/>
    <x v="1"/>
    <x v="2"/>
    <s v="Jan"/>
    <x v="0"/>
    <s v="30 km/h"/>
    <n v="30"/>
    <n v="19"/>
    <s v="100 mph"/>
    <n v="161"/>
    <n v="100"/>
    <s v="300 miles"/>
    <n v="482.80200000000002"/>
    <s v="30 - 161"/>
    <n v="482.80200000000002"/>
    <s v="789 Loop Street, Durban, 8000"/>
    <s v="789 Loop Street"/>
    <s v="Durban"/>
    <s v="8000"/>
    <s v="ZA"/>
    <x v="10"/>
    <x v="5"/>
    <s v="4,500 ZAR"/>
    <n v="4500"/>
    <s v="ZAR"/>
    <n v="225"/>
    <n v="11"/>
    <n v="10"/>
    <n v="10"/>
    <n v="2475"/>
    <n v="247.5"/>
    <n v="2227.5"/>
  </r>
  <r>
    <n v="101"/>
    <s v="Jonas"/>
    <s v="Fischer"/>
    <x v="2"/>
    <x v="3"/>
    <s v="Feb"/>
    <x v="0"/>
    <s v="20 km/h"/>
    <n v="20"/>
    <n v="12"/>
    <s v="100 mph"/>
    <n v="161"/>
    <n v="100"/>
    <s v="150 miles"/>
    <n v="241.40100000000001"/>
    <s v="20 - 161"/>
    <n v="241.40100000000001"/>
    <s v="321 Church Street, Pretoria, 8001"/>
    <s v="321 Church Street"/>
    <s v="Pretoria"/>
    <s v="8001"/>
    <s v="ZA"/>
    <x v="10"/>
    <x v="5"/>
    <s v="5,478 ZAR"/>
    <n v="5478"/>
    <s v="ZAR"/>
    <n v="273.90000000000003"/>
    <n v="8"/>
    <n v="15"/>
    <n v="15"/>
    <n v="2191.2000000000003"/>
    <n v="328.68000000000006"/>
    <n v="1862.5200000000002"/>
  </r>
  <r>
    <n v="102"/>
    <s v="Jonas"/>
    <s v="Fischer"/>
    <x v="2"/>
    <x v="0"/>
    <s v="Jun"/>
    <x v="0"/>
    <s v="40 mph"/>
    <n v="64"/>
    <n v="40"/>
    <s v="100 mph"/>
    <n v="161"/>
    <n v="100"/>
    <s v="600 km"/>
    <n v="600"/>
    <s v="64 - 161"/>
    <n v="600"/>
    <s v="123 Shibuya Crossing, Tokyo, 150-0002"/>
    <s v="123 Shibuya Crossing"/>
    <s v="Tokyo"/>
    <s v="150-0002"/>
    <s v="JP"/>
    <x v="11"/>
    <x v="3"/>
    <s v="22,313 JPY"/>
    <n v="22313"/>
    <s v="JPY"/>
    <n v="223.13"/>
    <n v="20"/>
    <n v="5"/>
    <n v="5"/>
    <n v="4462.6000000000004"/>
    <n v="223.13"/>
    <n v="4239.47"/>
  </r>
  <r>
    <n v="103"/>
    <s v="Jonas"/>
    <s v="Fischer"/>
    <x v="2"/>
    <x v="1"/>
    <s v="Mar"/>
    <x v="0"/>
    <s v="40 mph"/>
    <n v="64"/>
    <n v="40"/>
    <s v="80 km/h"/>
    <n v="80"/>
    <n v="50"/>
    <s v="500 km"/>
    <n v="500"/>
    <s v="64 - 80"/>
    <n v="500"/>
    <s v="456 Akihabara, Osaka, 110-0006"/>
    <s v="456 Akihabara"/>
    <s v="Osaka"/>
    <s v="110-0006"/>
    <s v="JP"/>
    <x v="11"/>
    <x v="3"/>
    <s v="29,750 JPY"/>
    <n v="29750"/>
    <s v="JPY"/>
    <n v="297.5"/>
    <n v="15"/>
    <m/>
    <n v="10"/>
    <n v="4462.5"/>
    <n v="446.25"/>
    <n v="4016.25"/>
  </r>
  <r>
    <n v="104"/>
    <s v="Jonas"/>
    <s v="Fischer"/>
    <x v="2"/>
    <x v="2"/>
    <s v="Jan"/>
    <x v="2"/>
    <s v="20 km/h"/>
    <n v="20"/>
    <n v="12"/>
    <s v="80 km/h"/>
    <n v="80"/>
    <n v="50"/>
    <s v="600 km"/>
    <n v="600"/>
    <s v="20 - 80"/>
    <n v="600"/>
    <s v="789 Roppongi Hills, Yokohama, 106-0032"/>
    <s v="789 Roppongi Hills"/>
    <s v="Yokohama"/>
    <s v="106-0032"/>
    <s v="JP"/>
    <x v="11"/>
    <x v="3"/>
    <s v="37,188 JPY"/>
    <n v="37188"/>
    <s v="JPY"/>
    <n v="371.88"/>
    <n v="12"/>
    <m/>
    <n v="15"/>
    <n v="4462.5599999999995"/>
    <n v="669.3839999999999"/>
    <n v="3793.1759999999995"/>
  </r>
  <r>
    <n v="105"/>
    <s v="Théo"/>
    <s v="Bernard"/>
    <x v="3"/>
    <x v="5"/>
    <s v="May"/>
    <x v="3"/>
    <s v="30 km/h"/>
    <n v="30"/>
    <n v="19"/>
    <s v="150 mph"/>
    <n v="241"/>
    <n v="150"/>
    <s v="300 miles"/>
    <n v="482.80200000000002"/>
    <s v="30 - 241"/>
    <n v="482.80200000000002"/>
    <s v="321 Ginza, Nagoya, 104-0061"/>
    <s v="321 Ginza"/>
    <s v="Nagoya"/>
    <s v="104-0061"/>
    <s v="JP"/>
    <x v="11"/>
    <x v="3"/>
    <s v="44,625 JPY"/>
    <n v="44625"/>
    <s v="JPY"/>
    <n v="446.25"/>
    <n v="10"/>
    <n v="15"/>
    <n v="15"/>
    <n v="4462.5"/>
    <n v="669.375"/>
    <n v="3793.125"/>
  </r>
  <r>
    <n v="106"/>
    <s v="Théo"/>
    <s v="Bernard"/>
    <x v="3"/>
    <x v="4"/>
    <s v="Apr"/>
    <x v="0"/>
    <s v="30 km/h"/>
    <n v="30"/>
    <n v="19"/>
    <s v="80 km/h"/>
    <n v="80"/>
    <n v="50"/>
    <s v="150 miles"/>
    <n v="241.40100000000001"/>
    <s v="30 - 80"/>
    <n v="241.40100000000001"/>
    <s v="1234 Maple Street, Los Angeles, 90210"/>
    <s v="1234 Maple Street"/>
    <s v="Los Angeles"/>
    <s v="90210"/>
    <s v="US"/>
    <x v="0"/>
    <x v="0"/>
    <s v="150 USD"/>
    <n v="150"/>
    <s v="USD"/>
    <n v="129"/>
    <n v="18"/>
    <n v="10"/>
    <n v="10"/>
    <n v="2322"/>
    <n v="232.2"/>
    <n v="2089.8000000000002"/>
  </r>
  <r>
    <n v="107"/>
    <s v="Théo"/>
    <s v="Bernard"/>
    <x v="3"/>
    <x v="2"/>
    <s v="Jan"/>
    <x v="1"/>
    <s v="30 km/h"/>
    <n v="30"/>
    <n v="19"/>
    <s v="150 mph"/>
    <n v="241"/>
    <n v="150"/>
    <s v="150 miles"/>
    <n v="241.40100000000001"/>
    <s v="30 - 241"/>
    <n v="241.40100000000001"/>
    <s v="5678 Oak Avenue, New York, 10001"/>
    <s v="5678 Oak Avenue"/>
    <s v="New York"/>
    <s v="10001"/>
    <s v="US"/>
    <x v="0"/>
    <x v="0"/>
    <s v="200 USD"/>
    <n v="200"/>
    <s v="USD"/>
    <n v="172"/>
    <n v="14"/>
    <m/>
    <n v="15"/>
    <n v="2408"/>
    <n v="361.2"/>
    <n v="2046.8"/>
  </r>
  <r>
    <n v="108"/>
    <s v="Sanya"/>
    <s v="Joshi"/>
    <x v="0"/>
    <x v="0"/>
    <s v="Jun"/>
    <x v="0"/>
    <s v="20 km/h"/>
    <n v="20"/>
    <n v="12"/>
    <s v="150 mph"/>
    <n v="241"/>
    <n v="150"/>
    <s v="600 km"/>
    <n v="600"/>
    <s v="20 - 241"/>
    <n v="600"/>
    <s v="9101 Pine Drive, Atlanta, 30301"/>
    <s v="9101 Pine Drive"/>
    <s v="Atlanta"/>
    <s v="30301"/>
    <s v="US"/>
    <x v="0"/>
    <x v="0"/>
    <s v="250 USD"/>
    <n v="250"/>
    <s v="USD"/>
    <n v="215"/>
    <n v="9"/>
    <n v="15"/>
    <n v="15"/>
    <n v="1935"/>
    <n v="290.25"/>
    <n v="1644.75"/>
  </r>
  <r>
    <n v="109"/>
    <s v="Sanya"/>
    <s v="Joshi"/>
    <x v="0"/>
    <x v="5"/>
    <s v="May"/>
    <x v="2"/>
    <s v="40 mph"/>
    <n v="64"/>
    <n v="40"/>
    <s v="150 mph"/>
    <n v="241"/>
    <n v="150"/>
    <s v="600 km"/>
    <n v="600"/>
    <s v="64 - 241"/>
    <n v="600"/>
    <s v="2345 Birch Lane, Chicago, 60614"/>
    <s v="2345 Birch Lane"/>
    <s v="Chicago"/>
    <s v="60614"/>
    <s v="US"/>
    <x v="0"/>
    <x v="0"/>
    <s v="300 USD"/>
    <n v="300"/>
    <s v="USD"/>
    <n v="258"/>
    <n v="6"/>
    <n v="15"/>
    <n v="15"/>
    <n v="1548"/>
    <n v="232.2"/>
    <n v="1315.8"/>
  </r>
  <r>
    <n v="110"/>
    <s v="Sanya"/>
    <s v="Joshi"/>
    <x v="0"/>
    <x v="3"/>
    <s v="Feb"/>
    <x v="0"/>
    <s v="40 mph"/>
    <n v="64"/>
    <n v="40"/>
    <s v="80 km/h"/>
    <n v="80"/>
    <n v="50"/>
    <s v="150 miles"/>
    <n v="241.40100000000001"/>
    <s v="64 - 80"/>
    <n v="241.40100000000001"/>
    <s v="123 Queen Street, Toronto, M5H 2N2"/>
    <s v="123 Queen Street"/>
    <s v="Toronto"/>
    <s v="M5H 2N2"/>
    <s v="CA"/>
    <x v="1"/>
    <x v="0"/>
    <s v="204 CAD"/>
    <n v="204"/>
    <s v="CAD"/>
    <n v="128.52000000000001"/>
    <n v="25"/>
    <n v="10"/>
    <n v="10"/>
    <n v="3213.0000000000005"/>
    <n v="321.3"/>
    <n v="2891.7000000000003"/>
  </r>
  <r>
    <n v="111"/>
    <s v="Fang"/>
    <s v="Liu"/>
    <x v="1"/>
    <x v="2"/>
    <s v="Jan"/>
    <x v="0"/>
    <s v="30 km/h"/>
    <n v="30"/>
    <n v="19"/>
    <s v="100 mph"/>
    <n v="161"/>
    <n v="100"/>
    <s v="500 km"/>
    <n v="500"/>
    <s v="30 - 161"/>
    <n v="500"/>
    <s v="456 King Road, Ottawa, K1A 0B1"/>
    <s v="456 King Road"/>
    <s v="Ottawa"/>
    <s v="K1A 0B1"/>
    <s v="CA"/>
    <x v="1"/>
    <x v="0"/>
    <s v="272 CAD"/>
    <n v="272"/>
    <s v="CAD"/>
    <n v="171.36"/>
    <n v="17"/>
    <m/>
    <n v="5"/>
    <n v="2913.1200000000003"/>
    <n v="145.65600000000003"/>
    <n v="2767.4640000000004"/>
  </r>
  <r>
    <n v="112"/>
    <s v="Fang"/>
    <s v="Liu"/>
    <x v="1"/>
    <x v="5"/>
    <s v="May"/>
    <x v="2"/>
    <s v="40 mph"/>
    <n v="64"/>
    <n v="40"/>
    <s v="150 mph"/>
    <n v="241"/>
    <n v="150"/>
    <s v="500 km"/>
    <n v="500"/>
    <s v="64 - 241"/>
    <n v="500"/>
    <s v="789 Elm Boulevard, Vancouver, L4T 1P5"/>
    <s v="789 Elm Boulevard"/>
    <s v="Vancouver"/>
    <s v="L4T 1P5"/>
    <s v="CA"/>
    <x v="1"/>
    <x v="0"/>
    <s v="340 CAD"/>
    <n v="340"/>
    <s v="CAD"/>
    <n v="214.2"/>
    <n v="13"/>
    <n v="15"/>
    <n v="15"/>
    <n v="2784.6"/>
    <n v="417.69"/>
    <n v="2366.91"/>
  </r>
  <r>
    <n v="113"/>
    <s v="Fang"/>
    <s v="Liu"/>
    <x v="1"/>
    <x v="0"/>
    <s v="Jun"/>
    <x v="2"/>
    <s v="40 mph"/>
    <n v="64"/>
    <n v="40"/>
    <s v="100 mph"/>
    <n v="161"/>
    <n v="100"/>
    <s v="500 km"/>
    <n v="500"/>
    <s v="64 - 161"/>
    <n v="500"/>
    <s v="321 Cedar Crescent, Calgary, T5A 0H2"/>
    <s v="321 Cedar Crescent"/>
    <s v="Calgary"/>
    <s v="T5A 0H2"/>
    <s v="CA"/>
    <x v="1"/>
    <x v="0"/>
    <s v="408 CAD"/>
    <n v="408"/>
    <s v="CAD"/>
    <n v="257.04000000000002"/>
    <n v="8"/>
    <n v="5"/>
    <n v="5"/>
    <n v="2056.3200000000002"/>
    <n v="102.816"/>
    <n v="1953.5040000000001"/>
  </r>
  <r>
    <n v="114"/>
    <s v="Jonas"/>
    <s v="Fischer"/>
    <x v="2"/>
    <x v="2"/>
    <s v="Jan"/>
    <x v="3"/>
    <s v="40 mph"/>
    <n v="64"/>
    <n v="40"/>
    <s v="120 km/h"/>
    <n v="120"/>
    <n v="75"/>
    <s v="600 km"/>
    <n v="600"/>
    <s v="64 - 120"/>
    <n v="600"/>
    <s v="456 Avenida Reforma, Mexico City, 06080"/>
    <s v="456 Avenida Reforma"/>
    <s v="Mexico City"/>
    <s v="06080"/>
    <s v="MX"/>
    <x v="2"/>
    <x v="0"/>
    <s v="2,645 MXN"/>
    <n v="2645"/>
    <s v="MXN"/>
    <n v="132.25"/>
    <n v="22"/>
    <n v="10"/>
    <n v="10"/>
    <n v="2909.5"/>
    <n v="290.95"/>
    <n v="2618.5500000000002"/>
  </r>
  <r>
    <n v="115"/>
    <s v="Jonas"/>
    <s v="Fischer"/>
    <x v="2"/>
    <x v="3"/>
    <s v="Feb"/>
    <x v="2"/>
    <s v="50 mph"/>
    <n v="80"/>
    <n v="50"/>
    <s v="150 mph"/>
    <n v="241"/>
    <n v="150"/>
    <s v="600 km"/>
    <n v="600"/>
    <s v="80 - 241"/>
    <n v="600"/>
    <s v="789 Calle Juárez, Guadalajara, 66000"/>
    <s v="789 Calle Juárez"/>
    <s v="Guadalajara"/>
    <s v="66000"/>
    <s v="MX"/>
    <x v="2"/>
    <x v="0"/>
    <s v="3,527 MXN"/>
    <n v="3527"/>
    <s v="MXN"/>
    <n v="176.35000000000002"/>
    <n v="16"/>
    <n v="5"/>
    <n v="5"/>
    <n v="2821.6000000000004"/>
    <n v="141.08000000000001"/>
    <n v="2680.5200000000004"/>
  </r>
  <r>
    <n v="116"/>
    <s v="Jonas"/>
    <s v="Fischer"/>
    <x v="2"/>
    <x v="4"/>
    <s v="Apr"/>
    <x v="3"/>
    <s v="30 km/h"/>
    <n v="30"/>
    <n v="19"/>
    <s v="80 km/h"/>
    <n v="80"/>
    <n v="50"/>
    <s v="300 miles"/>
    <n v="482.80200000000002"/>
    <s v="30 - 80"/>
    <n v="482.80200000000002"/>
    <s v="234 Paseo de la Reforma, Monterrey, 06500"/>
    <s v="234 Paseo de la Reforma"/>
    <s v="Monterrey"/>
    <s v="06500"/>
    <s v="MX"/>
    <x v="2"/>
    <x v="0"/>
    <s v="4,404 MXN"/>
    <n v="4404"/>
    <s v="MXN"/>
    <n v="220.20000000000002"/>
    <n v="11"/>
    <n v="10"/>
    <n v="10"/>
    <n v="2422.2000000000003"/>
    <n v="242.22000000000003"/>
    <n v="2179.9800000000005"/>
  </r>
  <r>
    <n v="117"/>
    <s v="Jonas"/>
    <s v="Fischer"/>
    <x v="2"/>
    <x v="2"/>
    <s v="Jan"/>
    <x v="2"/>
    <s v="40 mph"/>
    <n v="64"/>
    <n v="40"/>
    <s v="100 mph"/>
    <n v="161"/>
    <n v="100"/>
    <s v="600 km"/>
    <n v="600"/>
    <s v="64 - 161"/>
    <n v="600"/>
    <s v="678 Calle 5 de Febrero, Puebla, 03230"/>
    <s v="678 Calle 5 de Febrero"/>
    <s v="Puebla"/>
    <s v="03230"/>
    <s v="MX"/>
    <x v="2"/>
    <x v="0"/>
    <s v="5,289 MXN"/>
    <n v="5289"/>
    <s v="MXN"/>
    <n v="264.45"/>
    <n v="7"/>
    <m/>
    <n v="5"/>
    <n v="1851.1499999999999"/>
    <n v="92.557500000000005"/>
    <n v="1758.5924999999997"/>
  </r>
  <r>
    <n v="118"/>
    <s v="Théo"/>
    <s v="Bernard"/>
    <x v="3"/>
    <x v="4"/>
    <s v="Apr"/>
    <x v="3"/>
    <s v="20 km/h"/>
    <n v="20"/>
    <n v="12"/>
    <s v="100 mph"/>
    <n v="161"/>
    <n v="100"/>
    <s v="150 miles"/>
    <n v="241.40100000000001"/>
    <s v="20 - 161"/>
    <n v="241.40100000000001"/>
    <s v="678 Calle 5 de Febrero, Puebla, 03230"/>
    <s v="678 Calle 5 de Febrero"/>
    <s v="Puebla"/>
    <s v="03230"/>
    <s v="MX"/>
    <x v="2"/>
    <x v="0"/>
    <s v="5,289 MXN"/>
    <n v="5289"/>
    <s v="MXN"/>
    <n v="264.45"/>
    <n v="7"/>
    <n v="10"/>
    <n v="10"/>
    <n v="1851.1499999999999"/>
    <n v="185.11500000000001"/>
    <n v="1666.0349999999999"/>
  </r>
  <r>
    <n v="119"/>
    <s v="Théo"/>
    <s v="Bernard"/>
    <x v="3"/>
    <x v="5"/>
    <s v="May"/>
    <x v="1"/>
    <s v="30 km/h"/>
    <n v="30"/>
    <n v="19"/>
    <s v="150 mph"/>
    <n v="241"/>
    <n v="150"/>
    <s v="300 miles"/>
    <n v="482.80200000000002"/>
    <s v="30 - 241"/>
    <n v="482.80200000000002"/>
    <s v="123 Rua da Liberdade, São Paulo, 01234-000"/>
    <s v="123 Rua da Liberdade"/>
    <s v="São Paulo"/>
    <s v="01234-000"/>
    <s v="BR"/>
    <x v="3"/>
    <x v="1"/>
    <s v="758 BRL"/>
    <n v="758"/>
    <s v="BRL"/>
    <n v="113.7"/>
    <n v="19"/>
    <m/>
    <n v="15"/>
    <n v="2160.3000000000002"/>
    <n v="324.04500000000002"/>
    <n v="1836.2550000000001"/>
  </r>
  <r>
    <n v="120"/>
    <s v="Théo"/>
    <s v="Bernard"/>
    <x v="3"/>
    <x v="2"/>
    <s v="Jan"/>
    <x v="1"/>
    <s v="50 mph"/>
    <n v="80"/>
    <n v="50"/>
    <s v="150 mph"/>
    <n v="241"/>
    <n v="150"/>
    <s v="600 km"/>
    <n v="600"/>
    <s v="80 - 241"/>
    <n v="600"/>
    <s v="456 Avenida Paulista, Rio de Janeiro, 01311-000"/>
    <s v="456 Avenida Paulista"/>
    <s v="Rio de Janeiro"/>
    <s v="01311-000"/>
    <s v="BR"/>
    <x v="3"/>
    <x v="1"/>
    <s v="1,012 BRL"/>
    <n v="1012"/>
    <s v="BRL"/>
    <n v="151.79999999999998"/>
    <n v="12"/>
    <m/>
    <n v="5"/>
    <n v="1821.6"/>
    <n v="91.08"/>
    <n v="1730.52"/>
  </r>
  <r>
    <n v="121"/>
    <s v="Sanya"/>
    <s v="Joshi"/>
    <x v="0"/>
    <x v="5"/>
    <s v="May"/>
    <x v="0"/>
    <s v="30 km/h"/>
    <n v="30"/>
    <n v="19"/>
    <s v="100 mph"/>
    <n v="161"/>
    <n v="100"/>
    <s v="500 km"/>
    <n v="500"/>
    <s v="30 - 161"/>
    <n v="500"/>
    <s v="789 Rua dos Três Irmãos, Brasília, 05432-000"/>
    <s v="789 Rua dos Três Irmãos"/>
    <s v="Brasília"/>
    <s v="05432-000"/>
    <s v="BR"/>
    <x v="3"/>
    <x v="1"/>
    <s v="1,265 BRL"/>
    <n v="1265"/>
    <s v="BRL"/>
    <n v="189.75"/>
    <n v="10"/>
    <n v="10"/>
    <n v="10"/>
    <n v="1897.5"/>
    <n v="189.75"/>
    <n v="1707.75"/>
  </r>
  <r>
    <n v="122"/>
    <s v="Sanya"/>
    <s v="Joshi"/>
    <x v="0"/>
    <x v="5"/>
    <s v="May"/>
    <x v="2"/>
    <s v="40 mph"/>
    <n v="64"/>
    <n v="40"/>
    <s v="100 mph"/>
    <n v="161"/>
    <n v="100"/>
    <s v="150 miles"/>
    <n v="241.40100000000001"/>
    <s v="64 - 161"/>
    <n v="241.40100000000001"/>
    <s v="321 Rua das Flores, Belo Horizonte, 01235-000"/>
    <s v="321 Rua das Flores"/>
    <s v="Belo Horizonte"/>
    <s v="01235-000"/>
    <s v="BR"/>
    <x v="3"/>
    <x v="1"/>
    <s v="1,512 BRL"/>
    <n v="1512"/>
    <s v="BRL"/>
    <n v="226.79999999999998"/>
    <n v="5"/>
    <n v="5"/>
    <n v="5"/>
    <n v="1134"/>
    <n v="56.7"/>
    <n v="1077.3"/>
  </r>
  <r>
    <n v="123"/>
    <s v="Sanya"/>
    <s v="Joshi"/>
    <x v="0"/>
    <x v="1"/>
    <s v="Mar"/>
    <x v="1"/>
    <s v="40 mph"/>
    <n v="64"/>
    <n v="40"/>
    <s v="100 mph"/>
    <n v="161"/>
    <n v="100"/>
    <s v="150 miles"/>
    <n v="241.40100000000001"/>
    <s v="64 - 161"/>
    <n v="241.40100000000001"/>
    <s v="12 High Street, London, SW1A 1AA"/>
    <s v="12 High Street"/>
    <s v="London"/>
    <s v="SW1A 1AA"/>
    <s v="GB"/>
    <x v="4"/>
    <x v="2"/>
    <s v="117 GBP"/>
    <n v="117"/>
    <s v="GBP"/>
    <n v="134.54999999999998"/>
    <n v="24"/>
    <n v="15"/>
    <n v="15"/>
    <n v="3229.2"/>
    <n v="484.38"/>
    <n v="2744.8199999999997"/>
  </r>
  <r>
    <n v="124"/>
    <s v="Fang"/>
    <s v="Liu"/>
    <x v="1"/>
    <x v="3"/>
    <s v="Feb"/>
    <x v="2"/>
    <s v="40 mph"/>
    <n v="64"/>
    <n v="40"/>
    <s v="80 km/h"/>
    <n v="80"/>
    <n v="50"/>
    <s v="500 km"/>
    <n v="500"/>
    <s v="64 - 80"/>
    <n v="500"/>
    <s v="34 King’s Road, Liverpool, W8 4PX"/>
    <s v="34 King’s Road"/>
    <s v="Liverpool"/>
    <s v="W8 4PX"/>
    <s v="GB"/>
    <x v="4"/>
    <x v="2"/>
    <s v="156 GBP"/>
    <n v="156"/>
    <s v="GBP"/>
    <n v="179.39999999999998"/>
    <n v="18"/>
    <m/>
    <n v="10"/>
    <n v="3229.2"/>
    <n v="322.92"/>
    <n v="2906.2799999999997"/>
  </r>
  <r>
    <n v="125"/>
    <s v="Fang"/>
    <s v="Liu"/>
    <x v="1"/>
    <x v="3"/>
    <s v="Feb"/>
    <x v="3"/>
    <s v="20 km/h"/>
    <n v="20"/>
    <n v="12"/>
    <s v="120 km/h"/>
    <n v="120"/>
    <n v="75"/>
    <s v="300 miles"/>
    <n v="482.80200000000002"/>
    <s v="20 - 120"/>
    <n v="482.80200000000002"/>
    <s v="56 Queen Street, Edinburgh, EH2 4GQ"/>
    <s v="56 Queen Street"/>
    <s v="Edinburgh"/>
    <s v="EH2 4GQ"/>
    <s v="GB"/>
    <x v="4"/>
    <x v="2"/>
    <s v="195 GBP"/>
    <n v="195"/>
    <s v="GBP"/>
    <n v="224.24999999999997"/>
    <n v="14"/>
    <m/>
    <n v="15"/>
    <n v="3139.4999999999995"/>
    <n v="470.92499999999995"/>
    <n v="2668.5749999999998"/>
  </r>
  <r>
    <n v="126"/>
    <s v="Fang"/>
    <s v="Liu"/>
    <x v="1"/>
    <x v="2"/>
    <s v="Jan"/>
    <x v="3"/>
    <s v="40 mph"/>
    <n v="64"/>
    <n v="40"/>
    <s v="150 mph"/>
    <n v="241"/>
    <n v="150"/>
    <s v="300 miles"/>
    <n v="482.80200000000002"/>
    <s v="64 - 241"/>
    <n v="482.80200000000002"/>
    <s v="78 Church Lane, Birmingham, B1 1AA"/>
    <s v="78 Church Lane"/>
    <s v="Birmingham"/>
    <s v="B1 1AA"/>
    <s v="GB"/>
    <x v="4"/>
    <x v="2"/>
    <s v="234 GBP"/>
    <n v="234"/>
    <s v="GBP"/>
    <n v="269.09999999999997"/>
    <n v="9"/>
    <n v="15"/>
    <n v="15"/>
    <n v="2421.8999999999996"/>
    <n v="363.28499999999991"/>
    <n v="2058.6149999999998"/>
  </r>
  <r>
    <n v="127"/>
    <s v="Jonas"/>
    <s v="Fischer"/>
    <x v="2"/>
    <x v="3"/>
    <s v="Feb"/>
    <x v="2"/>
    <s v="50 mph"/>
    <n v="80"/>
    <n v="50"/>
    <s v="80 km/h"/>
    <n v="80"/>
    <n v="50"/>
    <s v="150 miles"/>
    <n v="241.40100000000001"/>
    <s v="80 - 80"/>
    <n v="241.40100000000001"/>
    <s v="123 Hauptstraße, Berlin, 10115"/>
    <s v="123 Hauptstraße"/>
    <s v="Berlin"/>
    <s v="10115"/>
    <s v="DE"/>
    <x v="5"/>
    <x v="2"/>
    <s v="139 EUR"/>
    <n v="139"/>
    <s v="EUR"/>
    <n v="139"/>
    <n v="21"/>
    <n v="5"/>
    <n v="5"/>
    <n v="2919"/>
    <n v="145.94999999999999"/>
    <n v="2773.05"/>
  </r>
  <r>
    <n v="128"/>
    <s v="Jonas"/>
    <s v="Fischer"/>
    <x v="2"/>
    <x v="1"/>
    <s v="Mar"/>
    <x v="1"/>
    <s v="50 mph"/>
    <n v="80"/>
    <n v="50"/>
    <s v="80 km/h"/>
    <n v="80"/>
    <n v="50"/>
    <s v="600 km"/>
    <n v="600"/>
    <s v="80 - 80"/>
    <n v="600"/>
    <s v="123 Hauptstraße, Berlin, 10115"/>
    <s v="123 Hauptstraße"/>
    <s v="Berlin"/>
    <s v="10115"/>
    <s v="DE"/>
    <x v="5"/>
    <x v="2"/>
    <s v="139 EUR"/>
    <n v="139"/>
    <s v="EUR"/>
    <n v="139"/>
    <n v="21"/>
    <n v="15"/>
    <n v="15"/>
    <n v="2919"/>
    <n v="437.85"/>
    <n v="2481.15"/>
  </r>
  <r>
    <n v="129"/>
    <s v="Jonas"/>
    <s v="Fischer"/>
    <x v="2"/>
    <x v="1"/>
    <s v="Mar"/>
    <x v="3"/>
    <s v="50 mph"/>
    <n v="80"/>
    <n v="50"/>
    <s v="100 mph"/>
    <n v="161"/>
    <n v="100"/>
    <s v="150 miles"/>
    <n v="241.40100000000001"/>
    <s v="80 - 161"/>
    <n v="241.40100000000001"/>
    <s v="456 Bahnhofstraße, Frankfurt, 60329"/>
    <s v="456 Bahnhofstraße"/>
    <s v="Frankfurt"/>
    <s v="60329"/>
    <s v="DE"/>
    <x v="5"/>
    <x v="2"/>
    <s v="186 EUR"/>
    <n v="186"/>
    <s v="EUR"/>
    <n v="186"/>
    <n v="15"/>
    <n v="5"/>
    <n v="5"/>
    <n v="2790"/>
    <n v="139.5"/>
    <n v="2650.5"/>
  </r>
  <r>
    <n v="130"/>
    <s v="Théo"/>
    <s v="Bernard"/>
    <x v="3"/>
    <x v="1"/>
    <s v="Mar"/>
    <x v="2"/>
    <s v="20 km/h"/>
    <n v="20"/>
    <n v="12"/>
    <s v="80 km/h"/>
    <n v="80"/>
    <n v="50"/>
    <s v="300 miles"/>
    <n v="482.80200000000002"/>
    <s v="20 - 80"/>
    <n v="482.80200000000002"/>
    <s v="789 Lindenweg, Munich, 10179"/>
    <s v="789 Lindenweg"/>
    <s v="Munich"/>
    <s v="10179"/>
    <s v="DE"/>
    <x v="5"/>
    <x v="2"/>
    <s v="232 EUR"/>
    <n v="232"/>
    <s v="EUR"/>
    <n v="232"/>
    <n v="11"/>
    <n v="15"/>
    <n v="15"/>
    <n v="2552"/>
    <n v="382.8"/>
    <n v="2169.1999999999998"/>
  </r>
  <r>
    <n v="131"/>
    <s v="Théo"/>
    <s v="Bernard"/>
    <x v="3"/>
    <x v="3"/>
    <s v="Feb"/>
    <x v="3"/>
    <s v="30 km/h"/>
    <n v="30"/>
    <n v="19"/>
    <s v="120 km/h"/>
    <n v="120"/>
    <n v="75"/>
    <s v="500 km"/>
    <n v="500"/>
    <s v="30 - 120"/>
    <n v="500"/>
    <s v="321 Gartenstraße, Dresden, 01067"/>
    <s v="321 Gartenstraße"/>
    <s v="Dresden"/>
    <s v="01067"/>
    <s v="DE"/>
    <x v="5"/>
    <x v="2"/>
    <s v="279 EUR"/>
    <n v="279"/>
    <s v="EUR"/>
    <n v="279"/>
    <n v="6"/>
    <n v="5"/>
    <n v="5"/>
    <n v="1674"/>
    <n v="83.7"/>
    <n v="1590.3"/>
  </r>
  <r>
    <n v="132"/>
    <s v="Théo"/>
    <s v="Bernard"/>
    <x v="3"/>
    <x v="3"/>
    <s v="Feb"/>
    <x v="0"/>
    <s v="20 km/h"/>
    <n v="20"/>
    <n v="12"/>
    <s v="150 mph"/>
    <n v="241"/>
    <n v="150"/>
    <s v="500 km"/>
    <n v="500"/>
    <s v="20 - 241"/>
    <n v="500"/>
    <s v="123 Rue de la Paix, Paris, 75002"/>
    <s v="123 Rue de la Paix"/>
    <s v="Paris"/>
    <s v="75002"/>
    <s v="FR"/>
    <x v="6"/>
    <x v="2"/>
    <s v="139 EUR"/>
    <n v="139"/>
    <s v="EUR"/>
    <n v="139"/>
    <n v="13"/>
    <n v="15"/>
    <n v="15"/>
    <n v="1807"/>
    <n v="271.05"/>
    <n v="1535.95"/>
  </r>
  <r>
    <n v="133"/>
    <s v="Théo"/>
    <s v="Bernard"/>
    <x v="3"/>
    <x v="5"/>
    <s v="May"/>
    <x v="2"/>
    <s v="20 km/h"/>
    <n v="20"/>
    <n v="12"/>
    <s v="150 mph"/>
    <n v="241"/>
    <n v="150"/>
    <s v="500 km"/>
    <n v="500"/>
    <s v="20 - 241"/>
    <n v="500"/>
    <s v="456 Boulevard Saint-Germain, Lyon, 75006"/>
    <s v="456 Boulevard Saint-Germain"/>
    <s v="Lyon"/>
    <s v="75006"/>
    <s v="FR"/>
    <x v="6"/>
    <x v="2"/>
    <s v="186 EUR"/>
    <n v="186"/>
    <s v="EUR"/>
    <n v="186"/>
    <n v="10"/>
    <n v="10"/>
    <n v="10"/>
    <n v="1860"/>
    <n v="186"/>
    <n v="1674"/>
  </r>
  <r>
    <n v="134"/>
    <s v="Sanya"/>
    <s v="Joshi"/>
    <x v="0"/>
    <x v="5"/>
    <s v="May"/>
    <x v="3"/>
    <s v="40 mph"/>
    <n v="64"/>
    <n v="40"/>
    <s v="120 km/h"/>
    <n v="120"/>
    <n v="75"/>
    <s v="600 km"/>
    <n v="600"/>
    <s v="64 - 120"/>
    <n v="600"/>
    <s v="789 Avenue des Champs-Élysées, Marseille, 75008"/>
    <s v="789 Avenue des Champs-Élysées"/>
    <s v="Marseille"/>
    <s v="75008"/>
    <s v="FR"/>
    <x v="6"/>
    <x v="2"/>
    <s v="232 EUR"/>
    <n v="232"/>
    <s v="EUR"/>
    <n v="232"/>
    <n v="8"/>
    <n v="15"/>
    <n v="15"/>
    <n v="1856"/>
    <n v="278.39999999999998"/>
    <n v="1577.6"/>
  </r>
  <r>
    <n v="135"/>
    <s v="Sanya"/>
    <s v="Joshi"/>
    <x v="0"/>
    <x v="2"/>
    <s v="Jan"/>
    <x v="0"/>
    <s v="50 mph"/>
    <n v="80"/>
    <n v="50"/>
    <s v="150 mph"/>
    <n v="241"/>
    <n v="150"/>
    <s v="500 km"/>
    <n v="500"/>
    <s v="80 - 241"/>
    <n v="500"/>
    <s v="321 Rue du Faubourg, Toulouse, 75010"/>
    <s v="321 Rue du Faubourg"/>
    <s v="Toulouse"/>
    <s v="75010"/>
    <s v="FR"/>
    <x v="6"/>
    <x v="2"/>
    <s v="279 EUR"/>
    <n v="279"/>
    <s v="EUR"/>
    <n v="279"/>
    <n v="5"/>
    <n v="15"/>
    <n v="15"/>
    <n v="1395"/>
    <n v="209.25"/>
    <n v="1185.75"/>
  </r>
  <r>
    <n v="136"/>
    <s v="Sanya"/>
    <s v="Joshi"/>
    <x v="0"/>
    <x v="0"/>
    <s v="Jun"/>
    <x v="2"/>
    <s v="20 km/h"/>
    <n v="20"/>
    <n v="12"/>
    <s v="150 mph"/>
    <n v="241"/>
    <n v="150"/>
    <s v="300 miles"/>
    <n v="482.80200000000002"/>
    <s v="20 - 241"/>
    <n v="482.80200000000002"/>
    <s v="321 Rue du Faubourg, Toulouse, 75010"/>
    <s v="321 Rue du Faubourg"/>
    <s v="Toulouse"/>
    <s v="75010"/>
    <s v="FR"/>
    <x v="6"/>
    <x v="2"/>
    <s v="279 EUR"/>
    <n v="279"/>
    <s v="EUR"/>
    <n v="279"/>
    <n v="5"/>
    <n v="10"/>
    <n v="10"/>
    <n v="1395"/>
    <n v="139.5"/>
    <n v="1255.5"/>
  </r>
  <r>
    <n v="137"/>
    <s v="Fang"/>
    <s v="Liu"/>
    <x v="1"/>
    <x v="1"/>
    <s v="Mar"/>
    <x v="1"/>
    <s v="30 km/h"/>
    <n v="30"/>
    <n v="19"/>
    <s v="150 mph"/>
    <n v="241"/>
    <n v="150"/>
    <s v="150 miles"/>
    <n v="241.40100000000001"/>
    <s v="30 - 241"/>
    <n v="241.40100000000001"/>
    <s v="123 Chang'an Avenue, Beijing, 100001"/>
    <s v="123 Chang'an Avenue"/>
    <s v="Beijing"/>
    <s v="100001"/>
    <s v="CN"/>
    <x v="7"/>
    <x v="3"/>
    <s v="1,083 CNY"/>
    <n v="1083"/>
    <s v="CNY"/>
    <n v="129.96"/>
    <n v="16"/>
    <n v="15"/>
    <n v="15"/>
    <n v="2079.36"/>
    <n v="311.904"/>
    <n v="1767.4560000000001"/>
  </r>
  <r>
    <n v="138"/>
    <s v="Fang"/>
    <s v="Liu"/>
    <x v="1"/>
    <x v="0"/>
    <s v="Jun"/>
    <x v="2"/>
    <s v="30 km/h"/>
    <n v="30"/>
    <n v="19"/>
    <s v="100 mph"/>
    <n v="161"/>
    <n v="100"/>
    <s v="500 km"/>
    <n v="500"/>
    <s v="30 - 161"/>
    <n v="500"/>
    <s v="456 Wangfujing Street, Shanghai, 100006"/>
    <s v="456 Wangfujing Street"/>
    <s v="Shanghai"/>
    <s v="100006"/>
    <s v="CN"/>
    <x v="7"/>
    <x v="3"/>
    <s v="1,445 CNY"/>
    <n v="1445"/>
    <s v="CNY"/>
    <n v="173.4"/>
    <n v="20"/>
    <m/>
    <n v="5"/>
    <n v="3468"/>
    <n v="173.4"/>
    <n v="3294.6"/>
  </r>
  <r>
    <n v="139"/>
    <s v="Fang"/>
    <s v="Liu"/>
    <x v="1"/>
    <x v="0"/>
    <s v="Jun"/>
    <x v="0"/>
    <s v="30 km/h"/>
    <n v="30"/>
    <n v="19"/>
    <s v="100 mph"/>
    <n v="161"/>
    <n v="100"/>
    <s v="500 km"/>
    <n v="500"/>
    <s v="30 - 161"/>
    <n v="500"/>
    <s v="789 Nanjing Road, Shenzhen, 200001"/>
    <s v="789 Nanjing Road"/>
    <s v="Shenzhen"/>
    <s v="200001"/>
    <s v="CN"/>
    <x v="7"/>
    <x v="3"/>
    <s v="1,807 CNY"/>
    <n v="1807"/>
    <s v="CNY"/>
    <n v="216.84"/>
    <n v="12"/>
    <n v="15"/>
    <n v="15"/>
    <n v="2602.08"/>
    <n v="390.31199999999995"/>
    <n v="2211.768"/>
  </r>
  <r>
    <n v="140"/>
    <s v="Jonas"/>
    <s v="Fischer"/>
    <x v="2"/>
    <x v="4"/>
    <s v="Apr"/>
    <x v="1"/>
    <s v="50 mph"/>
    <n v="80"/>
    <n v="50"/>
    <s v="150 mph"/>
    <n v="241"/>
    <n v="150"/>
    <s v="300 miles"/>
    <n v="482.80200000000002"/>
    <s v="80 - 241"/>
    <n v="482.80200000000002"/>
    <s v="321 Huaihai Road, Guangzhou, 200020"/>
    <s v="321 Huaihai Road"/>
    <s v="Guangzhou"/>
    <s v="200020"/>
    <s v="CN"/>
    <x v="7"/>
    <x v="3"/>
    <s v="2,069 CNY"/>
    <n v="2069"/>
    <s v="CNY"/>
    <n v="248.28"/>
    <n v="7"/>
    <n v="5"/>
    <n v="5"/>
    <n v="1737.96"/>
    <n v="86.897999999999996"/>
    <n v="1651.0620000000001"/>
  </r>
  <r>
    <n v="141"/>
    <s v="Jonas"/>
    <s v="Fischer"/>
    <x v="2"/>
    <x v="5"/>
    <s v="May"/>
    <x v="0"/>
    <s v="50 mph"/>
    <n v="80"/>
    <n v="50"/>
    <s v="100 mph"/>
    <n v="161"/>
    <n v="100"/>
    <s v="150 miles"/>
    <n v="241.40100000000001"/>
    <s v="80 - 161"/>
    <n v="241.40100000000001"/>
    <s v="123 MG Road, Bangalore, 560001"/>
    <s v="123 MG Road"/>
    <s v="Bangalore"/>
    <s v="560001"/>
    <s v="IN"/>
    <x v="8"/>
    <x v="3"/>
    <s v="12,348 INR"/>
    <n v="12348"/>
    <s v="INR"/>
    <n v="123.48"/>
    <n v="11"/>
    <n v="5"/>
    <n v="5"/>
    <n v="1358.28"/>
    <n v="67.914000000000001"/>
    <n v="1290.366"/>
  </r>
  <r>
    <n v="142"/>
    <s v="Jonas"/>
    <s v="Fischer"/>
    <x v="2"/>
    <x v="5"/>
    <s v="May"/>
    <x v="3"/>
    <s v="50 mph"/>
    <n v="80"/>
    <n v="50"/>
    <s v="120 km/h"/>
    <n v="120"/>
    <n v="75"/>
    <s v="300 miles"/>
    <n v="482.80200000000002"/>
    <s v="80 - 120"/>
    <n v="482.80200000000002"/>
    <s v="456 Connaught Place, New Delhi, 110001"/>
    <s v="456 Connaught Place"/>
    <s v="New Delhi"/>
    <s v="110001"/>
    <s v="IN"/>
    <x v="8"/>
    <x v="3"/>
    <s v="16,456 INR"/>
    <n v="16456"/>
    <s v="INR"/>
    <n v="164.56"/>
    <n v="9"/>
    <n v="5"/>
    <n v="5"/>
    <n v="1481.04"/>
    <n v="74.051999999999992"/>
    <n v="1406.9880000000001"/>
  </r>
  <r>
    <n v="143"/>
    <s v="Théo"/>
    <s v="Bernard"/>
    <x v="3"/>
    <x v="5"/>
    <s v="May"/>
    <x v="1"/>
    <s v="30 km/h"/>
    <n v="30"/>
    <n v="19"/>
    <s v="80 km/h"/>
    <n v="80"/>
    <n v="50"/>
    <s v="150 miles"/>
    <n v="241.40100000000001"/>
    <s v="30 - 80"/>
    <n v="241.40100000000001"/>
    <s v="789 Brigade Road, Mumbai, 560025"/>
    <s v="789 Brigade Road"/>
    <s v="Mumbai"/>
    <s v="560025"/>
    <s v="IN"/>
    <x v="8"/>
    <x v="3"/>
    <s v="20,565 INR"/>
    <n v="20565"/>
    <s v="INR"/>
    <n v="205.65"/>
    <n v="6"/>
    <n v="15"/>
    <n v="15"/>
    <n v="1233.9000000000001"/>
    <n v="185.08500000000001"/>
    <n v="1048.8150000000001"/>
  </r>
  <r>
    <n v="144"/>
    <s v="Théo"/>
    <s v="Bernard"/>
    <x v="3"/>
    <x v="0"/>
    <s v="Jun"/>
    <x v="3"/>
    <s v="50 mph"/>
    <n v="80"/>
    <n v="50"/>
    <s v="120 km/h"/>
    <n v="120"/>
    <n v="75"/>
    <s v="300 miles"/>
    <n v="482.80200000000002"/>
    <s v="80 - 120"/>
    <n v="482.80200000000002"/>
    <s v="321 Jayanagar, Kolkata, 560041"/>
    <s v="321 Jayanagar"/>
    <s v="Kolkata"/>
    <s v="560041"/>
    <s v="IN"/>
    <x v="8"/>
    <x v="3"/>
    <s v="24,673 INR"/>
    <n v="24673"/>
    <s v="INR"/>
    <n v="246.73000000000002"/>
    <n v="5"/>
    <n v="5"/>
    <n v="5"/>
    <n v="1233.6500000000001"/>
    <n v="61.682499999999997"/>
    <n v="1171.9675000000002"/>
  </r>
  <r>
    <n v="145"/>
    <s v="Théo"/>
    <s v="Bernard"/>
    <x v="3"/>
    <x v="5"/>
    <s v="May"/>
    <x v="3"/>
    <s v="40 mph"/>
    <n v="64"/>
    <n v="40"/>
    <s v="80 km/h"/>
    <n v="80"/>
    <n v="50"/>
    <s v="600 km"/>
    <n v="600"/>
    <s v="64 - 80"/>
    <n v="600"/>
    <s v="123 George Street, Sydney, 2000"/>
    <s v="123 George Street"/>
    <s v="Sydney"/>
    <s v="2000"/>
    <s v="AU"/>
    <x v="9"/>
    <x v="4"/>
    <s v="222 AUD"/>
    <n v="222"/>
    <s v="AUD"/>
    <n v="124.32000000000001"/>
    <n v="15"/>
    <n v="15"/>
    <n v="15"/>
    <n v="1864.8000000000002"/>
    <n v="279.72000000000003"/>
    <n v="1585.0800000000002"/>
  </r>
  <r>
    <n v="146"/>
    <s v="Théo"/>
    <s v="Bernard"/>
    <x v="3"/>
    <x v="0"/>
    <s v="Jun"/>
    <x v="3"/>
    <s v="30 km/h"/>
    <n v="30"/>
    <n v="19"/>
    <s v="100 mph"/>
    <n v="161"/>
    <n v="100"/>
    <s v="300 miles"/>
    <n v="482.80200000000002"/>
    <s v="30 - 161"/>
    <n v="482.80200000000002"/>
    <s v="456 King Street, Melbourne, 3000"/>
    <s v="456 King Street"/>
    <s v="Melbourne"/>
    <s v="3000"/>
    <s v="AU"/>
    <x v="9"/>
    <x v="4"/>
    <s v="296 AUD"/>
    <n v="296"/>
    <s v="AUD"/>
    <n v="165.76000000000002"/>
    <n v="14"/>
    <m/>
    <n v="15"/>
    <n v="2320.6400000000003"/>
    <n v="348.09600000000006"/>
    <n v="1972.5440000000003"/>
  </r>
  <r>
    <n v="147"/>
    <s v="Sanya"/>
    <s v="Joshi"/>
    <x v="0"/>
    <x v="2"/>
    <s v="Jan"/>
    <x v="3"/>
    <s v="40 mph"/>
    <n v="64"/>
    <n v="40"/>
    <s v="120 km/h"/>
    <n v="120"/>
    <n v="75"/>
    <s v="600 km"/>
    <n v="600"/>
    <s v="64 - 120"/>
    <n v="600"/>
    <s v="789 Victoria Road, Brisbane, 2048"/>
    <s v="789 Victoria Road"/>
    <s v="Brisbane"/>
    <s v="2048"/>
    <s v="AU"/>
    <x v="9"/>
    <x v="4"/>
    <s v="370 AUD"/>
    <n v="370"/>
    <s v="AUD"/>
    <n v="207.20000000000002"/>
    <n v="10"/>
    <n v="5"/>
    <n v="5"/>
    <n v="2072"/>
    <n v="103.6"/>
    <n v="1968.4"/>
  </r>
  <r>
    <n v="148"/>
    <s v="Sanya"/>
    <s v="Joshi"/>
    <x v="0"/>
    <x v="3"/>
    <s v="Feb"/>
    <x v="3"/>
    <s v="20 km/h"/>
    <n v="20"/>
    <n v="12"/>
    <s v="150 mph"/>
    <n v="241"/>
    <n v="150"/>
    <s v="150 miles"/>
    <n v="241.40100000000001"/>
    <s v="20 - 241"/>
    <n v="241.40100000000001"/>
    <s v="789 Victoria Road, Brisbane, 2048"/>
    <s v="789 Victoria Road"/>
    <s v="Brisbane"/>
    <s v="2048"/>
    <s v="AU"/>
    <x v="9"/>
    <x v="4"/>
    <s v="370 AUD"/>
    <n v="370"/>
    <s v="AUD"/>
    <n v="207.20000000000002"/>
    <n v="10"/>
    <m/>
    <n v="10"/>
    <n v="2072"/>
    <n v="207.2"/>
    <n v="1864.8"/>
  </r>
  <r>
    <n v="149"/>
    <s v="Sanya"/>
    <s v="Joshi"/>
    <x v="0"/>
    <x v="5"/>
    <s v="May"/>
    <x v="1"/>
    <s v="40 mph"/>
    <n v="64"/>
    <n v="40"/>
    <s v="120 km/h"/>
    <n v="120"/>
    <n v="75"/>
    <s v="600 km"/>
    <n v="600"/>
    <s v="64 - 120"/>
    <n v="600"/>
    <s v="321 Oxford Street, Perth, 2011"/>
    <s v="321 Oxford Street"/>
    <s v="Perth"/>
    <s v="2011"/>
    <s v="AU"/>
    <x v="9"/>
    <x v="4"/>
    <s v="444 AUD"/>
    <n v="444"/>
    <s v="AUD"/>
    <n v="248.64000000000001"/>
    <n v="8"/>
    <n v="5"/>
    <n v="5"/>
    <n v="1989.1200000000001"/>
    <n v="99.456000000000003"/>
    <n v="1889.6640000000002"/>
  </r>
  <r>
    <n v="150"/>
    <s v="Sanya"/>
    <s v="Joshi"/>
    <x v="0"/>
    <x v="0"/>
    <s v="Jun"/>
    <x v="3"/>
    <s v="20 km/h"/>
    <n v="20"/>
    <n v="12"/>
    <s v="120 km/h"/>
    <n v="120"/>
    <n v="75"/>
    <s v="600 km"/>
    <n v="600"/>
    <s v="20 - 120"/>
    <n v="600"/>
    <s v="123 Long Street, Cape Town, 8001"/>
    <s v="123 Long Street"/>
    <s v="Cape Town"/>
    <s v="8001"/>
    <s v="ZA"/>
    <x v="10"/>
    <x v="5"/>
    <s v="2,743 ZAR"/>
    <n v="2743"/>
    <s v="ZAR"/>
    <n v="137.15"/>
    <n v="25"/>
    <m/>
    <n v="5"/>
    <n v="3428.75"/>
    <n v="171.4375"/>
    <n v="3257.3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E9E25-F814-4829-B892-9B8F4B88FD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D32" firstHeaderRow="0" firstDataRow="1" firstDataCol="2"/>
  <pivotFields count="3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1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numFmtId="4" outline="0" showAll="0"/>
    <pivotField dataField="1" compact="0" outline="0" showAll="0"/>
    <pivotField compact="0" outline="0" showAll="0"/>
    <pivotField compact="0" numFmtId="1" outline="0" showAll="0"/>
    <pivotField compact="0" numFmtId="3" outline="0" showAll="0"/>
    <pivotField compact="0" numFmtId="3" outline="0" showAll="0"/>
    <pivotField dataField="1" compact="0" numFmtId="3" outline="0" showAll="0"/>
    <pivotField name="Sales Periods" axis="axisRow" compact="0" outline="0" showAll="0">
      <items count="3">
        <item n="Quarter 1" x="0"/>
        <item n="Quarter 2" x="1"/>
        <item t="default"/>
      </items>
    </pivotField>
  </pivotFields>
  <rowFields count="2">
    <field x="34"/>
    <field x="4"/>
  </rowFields>
  <rowItems count="9">
    <i>
      <x/>
      <x/>
    </i>
    <i r="1">
      <x v="1"/>
    </i>
    <i r="1">
      <x v="2"/>
    </i>
    <i t="default">
      <x/>
    </i>
    <i>
      <x v="1"/>
      <x v="3"/>
    </i>
    <i r="1">
      <x v="4"/>
    </i>
    <i r="1">
      <x v="5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Units" fld="28" baseField="0" baseItem="0"/>
    <dataField name="Sum of Net Price (Euro)" fld="33" baseField="0" baseItem="0" numFmtId="3"/>
  </dataFields>
  <formats count="1">
    <format dxfId="3">
      <pivotArea field="4" grandRow="1" outline="0" axis="axisRow" fieldPosition="1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7C613-B7B0-4E31-8DCE-CABD70903B7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5:B84" firstHeaderRow="1" firstDataRow="1" firstDataCol="1"/>
  <pivotFields count="35">
    <pivotField showAll="0"/>
    <pivotField showAll="0"/>
    <pivotField showAll="0"/>
    <pivotField showAll="0"/>
    <pivotField showAll="0">
      <items count="7">
        <item x="2"/>
        <item x="3"/>
        <item x="1"/>
        <item x="4"/>
        <item x="5"/>
        <item x="0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5"/>
        <item sd="0" x="3"/>
        <item sd="0" x="2"/>
        <item sd="0" x="0"/>
        <item sd="0" x="4"/>
        <item sd="0" x="1"/>
        <item t="default"/>
      </items>
    </pivotField>
    <pivotField showAll="0"/>
    <pivotField numFmtId="4" showAll="0"/>
    <pivotField showAll="0"/>
    <pivotField numFmtId="4" showAll="0"/>
    <pivotField showAll="0"/>
    <pivotField showAll="0"/>
    <pivotField numFmtId="1" showAll="0"/>
    <pivotField numFmtId="3" showAll="0"/>
    <pivotField numFmtId="3" showAll="0"/>
    <pivotField dataField="1" numFmtId="3" showAll="0"/>
    <pivotField showAll="0" defaultSubtotal="0">
      <items count="2">
        <item x="0"/>
        <item x="1"/>
      </items>
    </pivotField>
  </pivotFields>
  <rowFields count="2">
    <field x="6"/>
    <field x="2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Net Price (Euro)" fld="33" baseField="0" baseItem="0" numFmtId="3"/>
  </dataFields>
  <formats count="10">
    <format dxfId="13">
      <pivotArea collapsedLevelsAreSubtotals="1" fieldPosition="0">
        <references count="1">
          <reference field="6" count="1">
            <x v="1"/>
          </reference>
        </references>
      </pivotArea>
    </format>
    <format dxfId="12">
      <pivotArea dataOnly="0" labelOnly="1" fieldPosition="0">
        <references count="1">
          <reference field="6" count="1">
            <x v="1"/>
          </reference>
        </references>
      </pivotArea>
    </format>
    <format dxfId="11">
      <pivotArea collapsedLevelsAreSubtotals="1" fieldPosition="0">
        <references count="1">
          <reference field="6" count="1">
            <x v="0"/>
          </reference>
        </references>
      </pivotArea>
    </format>
    <format dxfId="10">
      <pivotArea dataOnly="0" labelOnly="1" fieldPosition="0">
        <references count="1">
          <reference field="6" count="1">
            <x v="0"/>
          </reference>
        </references>
      </pivotArea>
    </format>
    <format dxfId="9">
      <pivotArea collapsedLevelsAreSubtotals="1" fieldPosition="0">
        <references count="2">
          <reference field="6" count="1" selected="0">
            <x v="1"/>
          </reference>
          <reference field="23" count="1">
            <x v="2"/>
          </reference>
        </references>
      </pivotArea>
    </format>
    <format dxfId="8">
      <pivotArea dataOnly="0" labelOnly="1" fieldPosition="0">
        <references count="2">
          <reference field="6" count="1" selected="0">
            <x v="1"/>
          </reference>
          <reference field="23" count="1">
            <x v="2"/>
          </reference>
        </references>
      </pivotArea>
    </format>
    <format dxfId="7">
      <pivotArea collapsedLevelsAreSubtotals="1" fieldPosition="0">
        <references count="2">
          <reference field="6" count="1" selected="0">
            <x v="0"/>
          </reference>
          <reference field="23" count="1">
            <x v="3"/>
          </reference>
        </references>
      </pivotArea>
    </format>
    <format dxfId="6">
      <pivotArea dataOnly="0" labelOnly="1" fieldPosition="0">
        <references count="2">
          <reference field="6" count="1" selected="0">
            <x v="0"/>
          </reference>
          <reference field="23" count="1">
            <x v="3"/>
          </reference>
        </references>
      </pivotArea>
    </format>
    <format dxfId="5">
      <pivotArea collapsedLevelsAreSubtotals="1" fieldPosition="0">
        <references count="2">
          <reference field="6" count="1" selected="0">
            <x v="0"/>
          </reference>
          <reference field="23" count="1">
            <x v="2"/>
          </reference>
        </references>
      </pivotArea>
    </format>
    <format dxfId="4">
      <pivotArea dataOnly="0" labelOnly="1" fieldPosition="0">
        <references count="2">
          <reference field="6" count="1" selected="0">
            <x v="0"/>
          </reference>
          <reference field="2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93FF0-0D49-4525-9302-0BF383BB988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B52" firstHeaderRow="1" firstDataRow="1" firstDataCol="1"/>
  <pivotFields count="35">
    <pivotField showAll="0"/>
    <pivotField showAll="0"/>
    <pivotField showAll="0"/>
    <pivotField axis="axisRow" showAll="0">
      <items count="5">
        <item sd="0" x="1"/>
        <item sd="0" x="2"/>
        <item sd="0" x="0"/>
        <item sd="0" x="3"/>
        <item t="default"/>
      </items>
    </pivotField>
    <pivotField showAll="0">
      <items count="7">
        <item x="2"/>
        <item x="3"/>
        <item x="1"/>
        <item x="4"/>
        <item x="5"/>
        <item x="0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numFmtId="1" showAll="0"/>
    <pivotField numFmtId="3" showAll="0"/>
    <pivotField numFmtId="3" showAll="0"/>
    <pivotField dataField="1" numFmtId="3" showAll="0"/>
    <pivotField showAll="0" defaultSubtotal="0">
      <items count="2">
        <item x="0"/>
        <item x="1"/>
      </items>
    </pivotField>
  </pivotFields>
  <rowFields count="2">
    <field x="3"/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Price (Euro)" fld="33" baseField="0" baseItem="0" numFmtId="3"/>
  </dataFields>
  <formats count="2">
    <format dxfId="15">
      <pivotArea collapsedLevelsAreSubtotals="1" fieldPosition="0">
        <references count="1">
          <reference field="3" count="1">
            <x v="0"/>
          </reference>
        </references>
      </pivotArea>
    </format>
    <format dxfId="14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152DF-2303-4E3E-B628-8F769DBC6C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A35:E44" firstHeaderRow="0" firstDataRow="1" firstDataCol="2"/>
  <pivotFields count="3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1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numFmtId="1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name="Sales Period" axis="axisRow" compact="0" outline="0" showAll="0">
      <items count="3">
        <item n="Quarter 1" x="0"/>
        <item n="Quarter 2" x="1"/>
        <item t="default"/>
      </items>
    </pivotField>
  </pivotFields>
  <rowFields count="2">
    <field x="34"/>
    <field x="4"/>
  </rowFields>
  <rowItems count="9">
    <i>
      <x/>
      <x/>
    </i>
    <i r="1">
      <x v="1"/>
    </i>
    <i r="1">
      <x v="2"/>
    </i>
    <i t="default">
      <x/>
    </i>
    <i>
      <x v="1"/>
      <x v="3"/>
    </i>
    <i r="1">
      <x v="4"/>
    </i>
    <i r="1">
      <x v="5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 Price (Euro)" fld="31" baseField="0" baseItem="0" numFmtId="3"/>
    <dataField name="Sum of Discount Value (Euro)" fld="32" baseField="0" baseItem="0" numFmtId="3"/>
    <dataField name="Sum of Net Price (Euro)" fld="33" baseField="0" baseItem="0" numFmtId="3"/>
  </dataFields>
  <formats count="5">
    <format dxfId="20">
      <pivotArea dataOnly="0" outline="0" fieldPosition="0">
        <references count="1">
          <reference field="4" count="1">
            <x v="5"/>
          </reference>
        </references>
      </pivotArea>
    </format>
    <format dxfId="19">
      <pivotArea outline="0" fieldPosition="0">
        <references count="2">
          <reference field="4" count="1" selected="0">
            <x v="1"/>
          </reference>
          <reference field="34" count="1" selected="0">
            <x v="0"/>
          </reference>
        </references>
      </pivotArea>
    </format>
    <format dxfId="18">
      <pivotArea dataOnly="0" labelOnly="1" outline="0" fieldPosition="0">
        <references count="2">
          <reference field="4" count="1">
            <x v="1"/>
          </reference>
          <reference field="34" count="1" selected="0">
            <x v="0"/>
          </reference>
        </references>
      </pivotArea>
    </format>
    <format dxfId="17">
      <pivotArea outline="0" fieldPosition="0">
        <references count="2">
          <reference field="4" count="1" selected="0">
            <x v="4"/>
          </reference>
          <reference field="3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" count="1">
            <x v="4"/>
          </reference>
          <reference field="34" count="1" selected="0">
            <x v="1"/>
          </reference>
        </references>
      </pivotArea>
    </format>
  </formats>
  <chartFormats count="3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32F55-9EDE-4E44-AD76-8042F34A25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20" firstHeaderRow="0" firstDataRow="1" firstDataCol="2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3"/>
        <item x="1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9"/>
        <item x="3"/>
        <item x="1"/>
        <item x="7"/>
        <item x="6"/>
        <item x="5"/>
        <item x="8"/>
        <item x="11"/>
        <item x="2"/>
        <item x="10"/>
        <item x="4"/>
        <item x="0"/>
        <item t="default"/>
      </items>
    </pivotField>
    <pivotField axis="axisRow" compact="0" outline="0" showAll="0">
      <items count="7">
        <item x="5"/>
        <item x="3"/>
        <item x="2"/>
        <item x="0"/>
        <item x="4"/>
        <item x="1"/>
        <item t="default"/>
      </items>
    </pivotField>
    <pivotField compact="0" outline="0" showAll="0"/>
    <pivotField compact="0" numFmtId="4" outline="0" showAll="0"/>
    <pivotField compact="0" outline="0" showAll="0"/>
    <pivotField compact="0" numFmtId="4" outline="0" showAll="0"/>
    <pivotField dataField="1" compact="0" outline="0" showAll="0"/>
    <pivotField compact="0" outline="0" showAll="0"/>
    <pivotField compact="0" numFmtId="1" outline="0" showAll="0"/>
    <pivotField compact="0" numFmtId="3" outline="0" showAll="0"/>
    <pivotField compact="0" numFmtId="3" outline="0" showAll="0"/>
    <pivotField dataField="1" compact="0" numFmtId="3" outline="0" showAll="0"/>
    <pivotField compact="0" outline="0" showAll="0">
      <items count="3">
        <item x="0"/>
        <item x="1"/>
        <item t="default"/>
      </items>
    </pivotField>
  </pivotFields>
  <rowFields count="2">
    <field x="23"/>
    <field x="22"/>
  </rowFields>
  <rowItems count="19">
    <i>
      <x/>
      <x v="9"/>
    </i>
    <i t="default">
      <x/>
    </i>
    <i>
      <x v="1"/>
      <x v="3"/>
    </i>
    <i r="1">
      <x v="6"/>
    </i>
    <i r="1">
      <x v="7"/>
    </i>
    <i t="default">
      <x v="1"/>
    </i>
    <i>
      <x v="2"/>
      <x v="4"/>
    </i>
    <i r="1">
      <x v="5"/>
    </i>
    <i r="1">
      <x v="10"/>
    </i>
    <i t="default">
      <x v="2"/>
    </i>
    <i>
      <x v="3"/>
      <x v="2"/>
    </i>
    <i r="1">
      <x v="8"/>
    </i>
    <i r="1">
      <x v="11"/>
    </i>
    <i t="default">
      <x v="3"/>
    </i>
    <i>
      <x v="4"/>
      <x/>
    </i>
    <i t="default">
      <x v="4"/>
    </i>
    <i>
      <x v="5"/>
      <x v="1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Units" fld="28" baseField="0" baseItem="0"/>
    <dataField name="Sum of Net Price (Euro)" fld="33" baseField="0" baseItem="0" numFmtId="3"/>
  </dataFields>
  <formats count="16">
    <format dxfId="36">
      <pivotArea field="23" grandRow="1" outline="0" axis="axisRow" fieldPosition="0">
        <references count="1">
          <reference field="4294967294" count="1" selected="0">
            <x v="0"/>
          </reference>
        </references>
      </pivotArea>
    </format>
    <format dxfId="35">
      <pivotArea outline="0" fieldPosition="0">
        <references count="1">
          <reference field="23" count="1" selected="0">
            <x v="2"/>
          </reference>
        </references>
      </pivotArea>
    </format>
    <format dxfId="34">
      <pivotArea dataOnly="0" labelOnly="1" outline="0" fieldPosition="0">
        <references count="1">
          <reference field="23" count="1">
            <x v="2"/>
          </reference>
        </references>
      </pivotArea>
    </format>
    <format dxfId="33">
      <pivotArea outline="0" fieldPosition="0">
        <references count="1">
          <reference field="23" count="1" selected="0" defaultSubtotal="1">
            <x v="3"/>
          </reference>
        </references>
      </pivotArea>
    </format>
    <format dxfId="32">
      <pivotArea outline="0" fieldPosition="0">
        <references count="1">
          <reference field="23" count="1" selected="0" defaultSubtotal="1">
            <x v="3"/>
          </reference>
        </references>
      </pivotArea>
    </format>
    <format dxfId="31">
      <pivotArea dataOnly="0" labelOnly="1" outline="0" fieldPosition="0">
        <references count="1">
          <reference field="23" count="1" defaultSubtotal="1">
            <x v="3"/>
          </reference>
        </references>
      </pivotArea>
    </format>
    <format dxfId="30">
      <pivotArea outline="0" fieldPosition="0">
        <references count="2">
          <reference field="22" count="3" selected="0">
            <x v="4"/>
            <x v="5"/>
            <x v="10"/>
          </reference>
          <reference field="23" count="1" selected="0">
            <x v="2"/>
          </reference>
        </references>
      </pivotArea>
    </format>
    <format dxfId="29">
      <pivotArea dataOnly="0" labelOnly="1" outline="0" fieldPosition="0">
        <references count="1">
          <reference field="23" count="1">
            <x v="2"/>
          </reference>
        </references>
      </pivotArea>
    </format>
    <format dxfId="28">
      <pivotArea dataOnly="0" labelOnly="1" outline="0" fieldPosition="0">
        <references count="2">
          <reference field="22" count="3">
            <x v="4"/>
            <x v="5"/>
            <x v="10"/>
          </reference>
          <reference field="23" count="1" selected="0">
            <x v="2"/>
          </reference>
        </references>
      </pivotArea>
    </format>
    <format dxfId="27">
      <pivotArea outline="0" fieldPosition="0">
        <references count="2">
          <reference field="22" count="3" selected="0">
            <x v="3"/>
            <x v="6"/>
            <x v="7"/>
          </reference>
          <reference field="23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23" count="1">
            <x v="1"/>
          </reference>
        </references>
      </pivotArea>
    </format>
    <format dxfId="25">
      <pivotArea dataOnly="0" labelOnly="1" outline="0" fieldPosition="0">
        <references count="2">
          <reference field="22" count="3">
            <x v="3"/>
            <x v="6"/>
            <x v="7"/>
          </reference>
          <reference field="23" count="1" selected="0">
            <x v="1"/>
          </reference>
        </references>
      </pivotArea>
    </format>
    <format dxfId="24">
      <pivotArea dataOnly="0" outline="0" fieldPosition="0">
        <references count="2">
          <reference field="22" count="0" defaultSubtotal="1" sumSubtotal="1" countASubtotal="1" avgSubtotal="1" maxSubtotal="1" minSubtotal="1" productSubtotal="1" countSubtotal="1" stdDevSubtotal="1" stdDevPSubtotal="1" varSubtotal="1" varPSubtotal="1"/>
          <reference field="23" count="1">
            <x v="2"/>
          </reference>
        </references>
      </pivotArea>
    </format>
    <format dxfId="23">
      <pivotArea outline="0" fieldPosition="0">
        <references count="2">
          <reference field="22" count="3" selected="0">
            <x v="2"/>
            <x v="8"/>
            <x v="11"/>
          </reference>
          <reference field="23" count="1" selected="0">
            <x v="3"/>
          </reference>
        </references>
      </pivotArea>
    </format>
    <format dxfId="22">
      <pivotArea dataOnly="0" labelOnly="1" outline="0" fieldPosition="0">
        <references count="1">
          <reference field="23" count="1">
            <x v="3"/>
          </reference>
        </references>
      </pivotArea>
    </format>
    <format dxfId="21">
      <pivotArea dataOnly="0" labelOnly="1" outline="0" fieldPosition="0">
        <references count="2">
          <reference field="22" count="3">
            <x v="2"/>
            <x v="8"/>
            <x v="11"/>
          </reference>
          <reference field="2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0">
  <rv s="0">
    <v>en-IN</v>
    <v>avyn9c</v>
    <v>268435456</v>
    <v>1</v>
    <v>Powered by Refinitiv</v>
    <v>0</v>
    <v>USD/EUR</v>
    <v>2</v>
    <v>3</v>
    <v>Finance</v>
    <v>4</v>
    <v>0.98240000000000005</v>
    <v>0.84519999999999995</v>
    <v>-3.8E-3</v>
    <v>-4.4140000000000004E-3</v>
    <v>EUR</v>
    <v>USD</v>
    <v>0.86209999999999998</v>
    <v>Currency Pair</v>
    <v>45881.671296296299</v>
    <v>0.85489999999999999</v>
    <v>US Dollar/Euro FX Cross Rate</v>
    <v>0.86080000000000001</v>
    <v>0.86080000000000001</v>
    <v>0.85699999999999998</v>
    <v>USDEUR</v>
    <v>USD/EUR</v>
  </rv>
  <rv s="1">
    <v>0</v>
  </rv>
  <rv s="0">
    <v>en-IN</v>
    <v>av3ppr</v>
    <v>268435456</v>
    <v>1</v>
    <v>Powered by Refinitiv</v>
    <v>0</v>
    <v>CAD/EUR</v>
    <v>2</v>
    <v>3</v>
    <v>Finance</v>
    <v>4</v>
    <v>0.69010000000000005</v>
    <v>0.61960000000000004</v>
    <v>-2.2000000000000001E-3</v>
    <v>-3.522E-3</v>
    <v>EUR</v>
    <v>CAD</v>
    <v>0.62529999999999997</v>
    <v>Currency Pair</v>
    <v>45881.671261574076</v>
    <v>0.62160000000000004</v>
    <v>Canadian Dollar/Euro FX Cross Rate</v>
    <v>0.62450000000000006</v>
    <v>0.62470000000000003</v>
    <v>0.62250000000000005</v>
    <v>CADEUR</v>
    <v>CAD/EUR</v>
  </rv>
  <rv s="1">
    <v>2</v>
  </rv>
  <rv s="0">
    <v>en-IN</v>
    <v>av27nm</v>
    <v>268435456</v>
    <v>1</v>
    <v>Powered by Refinitiv</v>
    <v>0</v>
    <v>BRL/EUR</v>
    <v>2</v>
    <v>3</v>
    <v>Finance</v>
    <v>4</v>
    <v>0.16869999999999999</v>
    <v>0.14810000000000001</v>
    <v>5.9999999999999995E-4</v>
    <v>3.7930000000000004E-3</v>
    <v>EUR</v>
    <v>BRL</v>
    <v>0.15909999999999999</v>
    <v>Currency Pair</v>
    <v>45881.671296296299</v>
    <v>0.158</v>
    <v>Brazilian Real/Euro FX Cross Rate</v>
    <v>0.15820000000000001</v>
    <v>0.15820000000000001</v>
    <v>0.1588</v>
    <v>BRLEUR</v>
    <v>BRL/EUR</v>
  </rv>
  <rv s="1">
    <v>4</v>
  </rv>
  <rv s="0">
    <v>en-IN</v>
    <v>avycmw</v>
    <v>268435456</v>
    <v>1</v>
    <v>Powered by Refinitiv</v>
    <v>0</v>
    <v>GBP/EUR</v>
    <v>2</v>
    <v>3</v>
    <v>Finance</v>
    <v>4</v>
    <v>1.216</v>
    <v>1.1403000000000001</v>
    <v>6.9999999999999999E-4</v>
    <v>6.0539999999999997E-4</v>
    <v>EUR</v>
    <v>GBP</v>
    <v>1.1606000000000001</v>
    <v>Currency Pair</v>
    <v>45881.671273148146</v>
    <v>1.1555</v>
    <v>UK Pound Sterling/Euro FX Cross Rate</v>
    <v>1.1558999999999999</v>
    <v>1.1561999999999999</v>
    <v>1.1569</v>
    <v>GBPEUR</v>
    <v>GBP/EUR</v>
  </rv>
  <rv s="1">
    <v>6</v>
  </rv>
  <rv s="0">
    <v>en-IN</v>
    <v>av4x6h</v>
    <v>268435456</v>
    <v>1</v>
    <v>Powered by Refinitiv</v>
    <v>0</v>
    <v>CNY/EUR</v>
    <v>2</v>
    <v>3</v>
    <v>Finance</v>
    <v>4</v>
    <v>0.13500000000000001</v>
    <v>0.11799999999999999</v>
    <v>-3.6000000000000002E-4</v>
    <v>-3.0070000000000001E-3</v>
    <v>EUR</v>
    <v>CNY</v>
    <v>0.11990000000000001</v>
    <v>Currency Pair</v>
    <v>45881.671296296299</v>
    <v>0.1191</v>
    <v>Chinese Renminbi/Euro FX Cross Rate</v>
    <v>0.1197</v>
    <v>0.1197</v>
    <v>0.11940000000000001</v>
    <v>CNYEUR</v>
    <v>CNY/EUR</v>
  </rv>
  <rv s="1">
    <v>8</v>
  </rv>
  <rv s="0">
    <v>en-IN</v>
    <v>auxkbh</v>
    <v>268435456</v>
    <v>1</v>
    <v>Powered by Refinitiv</v>
    <v>0</v>
    <v>AUD/EUR</v>
    <v>2</v>
    <v>3</v>
    <v>Finance</v>
    <v>4</v>
    <v>0.62770000000000004</v>
    <v>0.53849999999999998</v>
    <v>-1E-3</v>
    <v>-1.784E-3</v>
    <v>EUR</v>
    <v>AUD</v>
    <v>0.56140000000000001</v>
    <v>Currency Pair</v>
    <v>45881.671296296299</v>
    <v>0.55759999999999998</v>
    <v>Australian Dollar/Euro FX Cross Rate</v>
    <v>0.56059999999999999</v>
    <v>0.5605</v>
    <v>0.5595</v>
    <v>AUDEUR</v>
    <v>AUD/EUR</v>
  </rv>
  <rv s="1">
    <v>10</v>
  </rv>
  <rv s="0">
    <v>en-IN</v>
    <v>avtsgh</v>
    <v>268435456</v>
    <v>1</v>
    <v>Powered by Refinitiv</v>
    <v>0</v>
    <v>ZAR/EUR</v>
    <v>2</v>
    <v>3</v>
    <v>Finance</v>
    <v>4</v>
    <v>5.3999999999999999E-2</v>
    <v>4.5100000000000001E-2</v>
    <v>2.9999999999999997E-4</v>
    <v>6.1980000000000004E-3</v>
    <v>EUR</v>
    <v>ZAR</v>
    <v>4.8800000000000003E-2</v>
    <v>Currency Pair</v>
    <v>45881.671296296299</v>
    <v>4.8500000000000001E-2</v>
    <v>South African Rand/Euro FX Cross Rate</v>
    <v>4.8500000000000001E-2</v>
    <v>4.8399999999999999E-2</v>
    <v>4.87E-2</v>
    <v>ZAREUR</v>
    <v>ZAR/EUR</v>
  </rv>
  <rv s="1">
    <v>12</v>
  </rv>
  <rv s="0">
    <v>en-IN</v>
    <v>avkeh7</v>
    <v>268435456</v>
    <v>1</v>
    <v>Powered by Refinitiv</v>
    <v>0</v>
    <v>MXN/EUR</v>
    <v>2</v>
    <v>3</v>
    <v>Finance</v>
    <v>4</v>
    <v>4.8910000000000002E-2</v>
    <v>4.2479999999999997E-2</v>
    <v>5.0000000000000002E-5</v>
    <v>1.085E-3</v>
    <v>EUR</v>
    <v>MXN</v>
    <v>4.623E-2</v>
    <v>Currency Pair</v>
    <v>45881.671296296299</v>
    <v>4.6010000000000002E-2</v>
    <v>Mexican Peso/Euro FX Cross Rate</v>
    <v>4.607E-2</v>
    <v>4.607E-2</v>
    <v>4.6120000000000001E-2</v>
    <v>MXNEUR</v>
    <v>MXN/EUR</v>
  </rv>
  <rv s="1">
    <v>14</v>
  </rv>
  <rv s="0">
    <v>en-IN</v>
    <v>ave1m7</v>
    <v>268435456</v>
    <v>1</v>
    <v>Powered by Refinitiv</v>
    <v>0</v>
    <v>JPY/EUR</v>
    <v>2</v>
    <v>3</v>
    <v>Finance</v>
    <v>4</v>
    <v>6.4590000000000003E-3</v>
    <v>5.7460000000000002E-3</v>
    <v>-1.2999999999999999E-5</v>
    <v>-2.238E-3</v>
    <v>EUR</v>
    <v>JPY</v>
    <v>5.8120000000000003E-3</v>
    <v>Currency Pair</v>
    <v>45881.671261574076</v>
    <v>5.7809999999999997E-3</v>
    <v>Japanese Yen/Euro FX Cross Rate</v>
    <v>5.8100000000000001E-3</v>
    <v>5.8100000000000001E-3</v>
    <v>5.7970000000000001E-3</v>
    <v>JPYEUR</v>
    <v>JPY/EUR</v>
  </rv>
  <rv s="1">
    <v>16</v>
  </rv>
  <rv s="0">
    <v>en-IN</v>
    <v>avcik2</v>
    <v>268435456</v>
    <v>1</v>
    <v>Powered by Refinitiv</v>
    <v>0</v>
    <v>INR/EUR</v>
    <v>2</v>
    <v>3</v>
    <v>Finance</v>
    <v>4</v>
    <v>1.145E-2</v>
    <v>9.7400000000000004E-3</v>
    <v>-3.8000000000000002E-5</v>
    <v>-3.8700000000000002E-3</v>
    <v>EUR</v>
    <v>INR</v>
    <v>9.8300000000000002E-3</v>
    <v>Currency Pair</v>
    <v>45881.671296296299</v>
    <v>9.7590000000000003E-3</v>
    <v>Indian Rupee/Euro FX Cross Rate</v>
    <v>9.8189999999999996E-3</v>
    <v>9.8189999999999996E-3</v>
    <v>9.7809999999999998E-3</v>
    <v>INREUR</v>
    <v>INR/EUR</v>
  </rv>
  <rv s="1">
    <v>18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</dxfs>
  <richProperties>
    <rPr n="NumberFormat" t="s"/>
    <rPr n="IsTitleField" t="b"/>
  </richProperties>
  <richStyles>
    <rSty dxfid="1">
      <rpv i="0">_([$€-x-euro2] * #,##0.00_);_([$€-x-euro2] * (#,##0.00);_([$€-x-euro2] * "-"??_);_(@_)</rpv>
    </rSty>
    <rSty>
      <rpv i="1">1</rpv>
    </rSty>
    <rSty dxfid="3"/>
    <rSty dxfid="2"/>
    <rSty dxfid="0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D525E-09BF-47A0-A145-C1EA2DC29FC3}" name="Table1" displayName="Table1" ref="A1:M151" totalsRowShown="0" headerRowDxfId="93" dataDxfId="91" headerRowBorderDxfId="92" tableBorderDxfId="90" totalsRowBorderDxfId="89">
  <autoFilter ref="A1:M151" xr:uid="{273D525E-09BF-47A0-A145-C1EA2DC29FC3}"/>
  <tableColumns count="13">
    <tableColumn id="1" xr3:uid="{C7548873-F930-4CF7-A1C1-DD6024B10953}" name="Sales Rep ID" dataDxfId="88"/>
    <tableColumn id="2" xr3:uid="{443BA7E5-44CA-4FCC-9D98-58477B3E4D68}" name="Rep First Name" dataDxfId="87"/>
    <tableColumn id="3" xr3:uid="{16F297EC-5056-446C-A187-58B21E53E2B8}" name="Rep Last Name" dataDxfId="86"/>
    <tableColumn id="4" xr3:uid="{52A90CC6-1025-4E8E-9DEB-18A8CD121FB2}" name="Month" dataDxfId="85"/>
    <tableColumn id="5" xr3:uid="{BB0DF424-2D14-4C90-A580-A4DC0EBFD78F}" name="Product Type" dataDxfId="84"/>
    <tableColumn id="6" xr3:uid="{8E9E33C0-564B-4B7B-B123-510BB0C9DDF9}" name="Min Speed" dataDxfId="83"/>
    <tableColumn id="7" xr3:uid="{3D327627-3388-400D-A4AB-E727D8138819}" name="Max Speed" dataDxfId="82"/>
    <tableColumn id="8" xr3:uid="{84FCB6DA-D08A-45D2-9948-E42378884802}" name="Distance" dataDxfId="81"/>
    <tableColumn id="9" xr3:uid="{1B9DC589-0ECF-43DF-8C59-498608DB87D7}" name="Shipping Address" dataDxfId="80"/>
    <tableColumn id="10" xr3:uid="{48A11C21-E316-42B9-9AF1-7CF5541C4731}" name="Country Code" dataDxfId="79"/>
    <tableColumn id="11" xr3:uid="{5C9D0D19-6DDF-4665-ACE0-25A4DEFE755F}" name="Unit Price" dataDxfId="78"/>
    <tableColumn id="12" xr3:uid="{4300FBC3-F09F-462F-9105-B331AB0237AE}" name="Units Sold" dataDxfId="77"/>
    <tableColumn id="13" xr3:uid="{FD94E45C-5239-48BA-9B1E-33CACD568DD5}" name="Discount (%)" dataDxfId="7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31B6C-2C1E-44D2-BA61-42F0115BCDAC}" name="Table13" displayName="Table13" ref="A1:AH151" totalsRowShown="0" headerRowDxfId="75" dataDxfId="73" headerRowBorderDxfId="74" tableBorderDxfId="72" totalsRowBorderDxfId="71">
  <sortState xmlns:xlrd2="http://schemas.microsoft.com/office/spreadsheetml/2017/richdata2" ref="A2:AH151">
    <sortCondition ref="A1:A151"/>
  </sortState>
  <tableColumns count="34">
    <tableColumn id="1" xr3:uid="{722743F2-0EEE-48DF-BEF5-A06838EF753B}" name="Sales Rep ID" dataDxfId="70"/>
    <tableColumn id="2" xr3:uid="{DCD1A0D4-D0D9-49EC-98A1-B10FDA55E16D}" name="Rep First Name" dataDxfId="69"/>
    <tableColumn id="3" xr3:uid="{F5A4A378-7DBE-4C03-AC28-96FECCE6894E}" name="Rep Last Name" dataDxfId="68"/>
    <tableColumn id="14" xr3:uid="{7A6137AB-7ECA-40CB-9FF8-5F6DAA0D510D}" name="Rep Full Name" dataDxfId="67">
      <calculatedColumnFormula>_xlfn.TEXTJOIN(" ",,Table13[[#This Row],[Rep First Name]],Table13[[#This Row],[Rep Last Name]])</calculatedColumnFormula>
    </tableColumn>
    <tableColumn id="4" xr3:uid="{ADBD17A5-9C51-464F-B60C-6F4D323398B1}" name="Month" dataDxfId="66"/>
    <tableColumn id="15" xr3:uid="{4557FBF2-25DC-4668-83D0-68B499472CD5}" name="Month Abbreviation" dataDxfId="65">
      <calculatedColumnFormula>IF(LEN(Table13[[#This Row],[Month]]) &gt; 0, LEFT(Table13[[#This Row],[Month]], 3), "")</calculatedColumnFormula>
    </tableColumn>
    <tableColumn id="5" xr3:uid="{924AB779-2A97-44C4-94B1-2360B6BD7E37}" name="Product Type" dataDxfId="64"/>
    <tableColumn id="6" xr3:uid="{9B79BED7-6976-4E0E-8870-DBAE43396903}" name="Min Speed" dataDxfId="63"/>
    <tableColumn id="22" xr3:uid="{79DAE145-0007-4E6E-B8F4-34894863DF8C}" name="Min Speed (km/h)" dataDxfId="62">
      <calculatedColumnFormula>IF(ISNUMBER(SEARCH("km/h",Table13[[#This Row],[Min Speed]])),VALUE(_xlfn.TEXTBEFORE(Table13[[#This Row],[Min Speed]]," ")),ROUND(VALUE(_xlfn.TEXTBEFORE(Table13[[#This Row],[Min Speed]]," "))*1.60934,0))</calculatedColumnFormula>
    </tableColumn>
    <tableColumn id="23" xr3:uid="{A67B547A-AEA4-4B51-89DF-68F861C00D49}" name="Min Speed (mph)" dataDxfId="61">
      <calculatedColumnFormula>ROUND(IF(ISNUMBER(SEARCH("km/h",Table13[[#This Row],[Min Speed]])),Table13[[#This Row],[Min Speed (km/h)]]*0.621371,VALUE(_xlfn.TEXTBEFORE(Table13[[#This Row],[Min Speed]]," "))),0)</calculatedColumnFormula>
    </tableColumn>
    <tableColumn id="7" xr3:uid="{1F64BB4A-A506-4F20-9BFA-C8D85CA56127}" name="Max Speed" dataDxfId="60"/>
    <tableColumn id="24" xr3:uid="{39622C64-832E-4C18-B160-17E0FFA26558}" name="Max Speed (km/h)" dataDxfId="59">
      <calculatedColumnFormula>_xlfn.LET(_xlpm.val, --_xlfn.TEXTBEFORE(Table13[[#This Row],[Max Speed]]," "), _xlpm.unit, TRIM(_xlfn.TEXTAFTER(Table13[[#This Row],[Max Speed]]," ")), IF(_xlpm.unit="km/h", _xlpm.val, ROUND(_xlpm.val*1.60934,0)))</calculatedColumnFormula>
    </tableColumn>
    <tableColumn id="25" xr3:uid="{674C17C2-CA5C-4BCE-9EE3-A357915B577C}" name="Max Speed (mph)" dataDxfId="58">
      <calculatedColumnFormula>IF(ISNUMBER(SEARCH("mph",Table13[[#This Row],[Max Speed]])),--_xlfn.TEXTBEFORE(Table13[[#This Row],[Max Speed]]," mph"),ROUND(--_xlfn.TEXTBEFORE(Table13[[#This Row],[Max Speed]]," km/h")*0.621371,0))</calculatedColumnFormula>
    </tableColumn>
    <tableColumn id="8" xr3:uid="{570E1F9A-072B-4450-853F-33CFE4470583}" name="Distance" dataDxfId="57"/>
    <tableColumn id="26" xr3:uid="{08359ACB-1A2B-4F52-95F3-AA3014DDB1F4}" name="Distance (km)" dataDxfId="56">
      <calculatedColumnFormula>IF(ISNUMBER(SEARCH("km",Table13[[#This Row],[Distance]])),VALUE(_xlfn.TEXTBEFORE(Table13[[#This Row],[Distance]]," km")),IF(ISNUMBER(SEARCH("mile",Table13[[#This Row],[Distance]])),VALUE(_xlfn.TEXTBEFORE(Table13[[#This Row],[Distance]]," mile"))*1.60934,""))</calculatedColumnFormula>
    </tableColumn>
    <tableColumn id="33" xr3:uid="{A780A9A8-A6A1-4835-881F-13B01E773217}" name="Speed Range" dataDxfId="55">
      <calculatedColumnFormula>TEXT(Table13[[#This Row],[Min Speed (km/h)]],"0")&amp;" - "&amp;TEXT(Table13[[#This Row],[Max Speed (km/h)]],"0")&amp;""</calculatedColumnFormula>
    </tableColumn>
    <tableColumn id="30" xr3:uid="{D06928D5-42B8-4FF1-B22C-0DF1A0C6AC4B}" name="Distance (Km) (recovering Missing Values)" dataDxfId="54">
      <calculatedColumnFormula>IF(Table13[[#This Row],[Distance (km)]]="", AVERAGE(Table13[Distance (km)]), Table13[[#This Row],[Distance (km)]])</calculatedColumnFormula>
    </tableColumn>
    <tableColumn id="9" xr3:uid="{00EA9880-D79A-4601-9763-2C1009C670FA}" name="Shipping Address" dataDxfId="53"/>
    <tableColumn id="16" xr3:uid="{C2C22BFE-528A-47FD-9253-6AF56B618494}" name="Street Name" dataDxfId="52">
      <calculatedColumnFormula array="1">TRIM(INDEX(_xlfn.TEXTSPLIT(Table13[[#This Row],[Shipping Address]],","),1))</calculatedColumnFormula>
    </tableColumn>
    <tableColumn id="21" xr3:uid="{BA2B6E56-0DDB-425C-B28C-C28F5B4D186C}" name="City" dataDxfId="51">
      <calculatedColumnFormula array="1">TRIM(INDEX(_xlfn.TEXTSPLIT(Table13[[#This Row],[Shipping Address]],","),2))</calculatedColumnFormula>
    </tableColumn>
    <tableColumn id="28" xr3:uid="{4390F542-156D-471C-BD11-F1882602EEC9}" name="Postal Code" dataDxfId="50">
      <calculatedColumnFormula array="1">TRIM(INDEX(_xlfn.TEXTSPLIT(Table13[[#This Row],[Shipping Address]],","),3))</calculatedColumnFormula>
    </tableColumn>
    <tableColumn id="10" xr3:uid="{DEAF70E2-993D-4B35-B218-46451A73FAFF}" name="Country Code" dataDxfId="49"/>
    <tableColumn id="31" xr3:uid="{F3DB66B1-8BF0-4CAE-907F-2EF312B57764}" name="Country Name" dataDxfId="48">
      <calculatedColumnFormula array="1">_xlfn.XLOOKUP(Table13[[#This Row],[Country Code]],{"US","CA","MX","BR","GB","DE","FR","CN","IN","AU","ZA","JP"},{"United States","Canada","Mexico","Brazil","United Kingdom","Germany","France","China","India","Australia","South Africa","Japan"},"Other")</calculatedColumnFormula>
    </tableColumn>
    <tableColumn id="32" xr3:uid="{88812B8D-8C16-4CCF-8E5E-E45F0D243E91}" name="Continent" dataDxfId="47">
      <calculatedColumnFormula array="1">_xlfn.XLOOKUP(Table13[[#This Row],[Country Code]],{"US","CA","MX","BR","GB","DE","FR","CN","IN","AU","ZA","JP"},{"North America","North America","North America","South America","Europe","Europe","Europe","Asia","Asia","Oceania","Africa","Asia"},"Other")</calculatedColumnFormula>
    </tableColumn>
    <tableColumn id="11" xr3:uid="{231B2828-3594-4E82-A1B0-B487299D79BE}" name="Unit Price" dataDxfId="46"/>
    <tableColumn id="17" xr3:uid="{9DB80769-C5F9-4E5A-BF75-F8E568B5DF72}" name="Unit Price Value" dataDxfId="45">
      <calculatedColumnFormula>_xlfn.NUMBERVALUE(_xlfn.TEXTBEFORE(Table13[[#This Row],[Unit Price]]," "))</calculatedColumnFormula>
    </tableColumn>
    <tableColumn id="18" xr3:uid="{9BF1AE22-5D9E-4D5B-966A-FD23232ACAC2}" name="Unit Price Currency" dataDxfId="44">
      <calculatedColumnFormula>RIGHT(Table13[[#This Row],[Unit Price]],LEN(Table13[[#This Row],[Unit Price]])-FIND(" ",Table13[[#This Row],[Unit Price]]))</calculatedColumnFormula>
    </tableColumn>
    <tableColumn id="38" xr3:uid="{DB6ADB93-DE91-4CC6-9FDF-DD8E50373E74}" name="Unit Price (EUR)" dataDxfId="43">
      <calculatedColumnFormula array="1">Table13[[#This Row],[Unit Price Value]]*_xlfn.XLOOKUP(Table13[[#This Row],[Unit Price Currency]],{"EUR","USD","GBP","BRL","CAD","CNY","AUD","ZAR","MXN","JPY","INR"},{1,0.86,1.15,0.15,0.63,0.12,0.56,0.05,0.05,0.01,0.01},NA())</calculatedColumnFormula>
    </tableColumn>
    <tableColumn id="12" xr3:uid="{3AE5BD5C-3434-4E44-82C1-89F82325410F}" name="Units Sold" dataDxfId="42"/>
    <tableColumn id="13" xr3:uid="{FD29FFE3-1B94-4F71-AD09-BA395EAA90DD}" name="Discount (%)" dataDxfId="41"/>
    <tableColumn id="42" xr3:uid="{8DC0DEBE-27EE-4F46-8FE0-E1130F6A117F}" name="Calc Discount (%)" dataDxfId="40">
      <calculatedColumnFormula>IF(Table13[[#This Row],[Discount (%)]]="",CHOOSE(MATCH(MOD(Table13[[#This Row],[Sales Rep ID]],3)+1,{1,2,3},0),5,10,15),Table13[[#This Row],[Discount (%)]])</calculatedColumnFormula>
    </tableColumn>
    <tableColumn id="39" xr3:uid="{59A9AAC7-640B-486B-ADAF-4FE147087136}" name="Gross Price (Euro)" dataDxfId="39">
      <calculatedColumnFormula>Table13[[#This Row],[Unit Price (EUR)]]*Table13[[#This Row],[Units Sold]]</calculatedColumnFormula>
    </tableColumn>
    <tableColumn id="40" xr3:uid="{2FF3903B-00D7-4689-98C1-B2B65B10FBEE}" name="Discount Value (Euro)" dataDxfId="38">
      <calculatedColumnFormula>Table13[[#This Row],[Gross Price (Euro)]]*Table13[[#This Row],[Calc Discount (%)]]/100</calculatedColumnFormula>
    </tableColumn>
    <tableColumn id="41" xr3:uid="{E57E315F-3845-4898-A56E-8013AFCCB760}" name="Net Price (Euro)" dataDxfId="37">
      <calculatedColumnFormula>Table13[[#This Row],[Gross Price (Euro)]]-Table13[[#This Row],[Discount Value (Euro)]]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8033-1567-4AE9-9ADA-DDDD9BEC284D}">
  <dimension ref="A1:M152"/>
  <sheetViews>
    <sheetView topLeftCell="I1" workbookViewId="0">
      <selection activeCell="I33" sqref="I33"/>
    </sheetView>
  </sheetViews>
  <sheetFormatPr defaultRowHeight="15" x14ac:dyDescent="0.25"/>
  <cols>
    <col min="1" max="1" width="19.42578125" customWidth="1"/>
    <col min="2" max="2" width="26.5703125" style="14" customWidth="1"/>
    <col min="3" max="3" width="25.42578125" style="19" customWidth="1"/>
    <col min="4" max="4" width="20" customWidth="1"/>
    <col min="5" max="5" width="25" customWidth="1"/>
    <col min="6" max="6" width="22.28515625" customWidth="1"/>
    <col min="7" max="7" width="26.42578125" customWidth="1"/>
    <col min="8" max="8" width="24" customWidth="1"/>
    <col min="9" max="9" width="55.85546875" customWidth="1"/>
    <col min="10" max="10" width="26.28515625" customWidth="1"/>
    <col min="11" max="11" width="21.7109375" customWidth="1"/>
    <col min="12" max="12" width="26.28515625" customWidth="1"/>
    <col min="13" max="13" width="27" customWidth="1"/>
  </cols>
  <sheetData>
    <row r="1" spans="1:13" ht="30.75" customHeight="1" x14ac:dyDescent="0.25">
      <c r="A1" s="5" t="s">
        <v>0</v>
      </c>
      <c r="B1" s="3" t="s">
        <v>1</v>
      </c>
      <c r="C1" s="1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" t="s">
        <v>12</v>
      </c>
    </row>
    <row r="2" spans="1:13" x14ac:dyDescent="0.25">
      <c r="A2" s="6">
        <v>1</v>
      </c>
      <c r="B2" s="11" t="s">
        <v>13</v>
      </c>
      <c r="C2" s="16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>
        <v>15</v>
      </c>
      <c r="M2" s="9">
        <v>5</v>
      </c>
    </row>
    <row r="3" spans="1:13" x14ac:dyDescent="0.25">
      <c r="A3" s="6">
        <v>2</v>
      </c>
      <c r="B3" s="11" t="s">
        <v>13</v>
      </c>
      <c r="C3" s="16" t="s">
        <v>14</v>
      </c>
      <c r="D3" s="1" t="s">
        <v>23</v>
      </c>
      <c r="E3" s="1" t="s">
        <v>16</v>
      </c>
      <c r="F3" s="1" t="s">
        <v>24</v>
      </c>
      <c r="G3" s="1" t="s">
        <v>25</v>
      </c>
      <c r="H3" s="1" t="s">
        <v>26</v>
      </c>
      <c r="I3" s="1" t="s">
        <v>20</v>
      </c>
      <c r="J3" s="1" t="s">
        <v>21</v>
      </c>
      <c r="K3" s="1" t="s">
        <v>22</v>
      </c>
      <c r="L3" s="1">
        <v>15</v>
      </c>
      <c r="M3" s="9">
        <v>10</v>
      </c>
    </row>
    <row r="4" spans="1:13" x14ac:dyDescent="0.25">
      <c r="A4" s="6">
        <v>3</v>
      </c>
      <c r="B4" s="11" t="s">
        <v>13</v>
      </c>
      <c r="C4" s="16" t="s">
        <v>14</v>
      </c>
      <c r="D4" s="1" t="s">
        <v>15</v>
      </c>
      <c r="E4" s="1" t="s">
        <v>27</v>
      </c>
      <c r="F4" s="1" t="s">
        <v>17</v>
      </c>
      <c r="G4" s="1" t="s">
        <v>25</v>
      </c>
      <c r="H4" s="1" t="s">
        <v>28</v>
      </c>
      <c r="I4" s="1" t="s">
        <v>29</v>
      </c>
      <c r="J4" s="1" t="s">
        <v>21</v>
      </c>
      <c r="K4" s="1" t="s">
        <v>30</v>
      </c>
      <c r="L4" s="1">
        <v>10</v>
      </c>
      <c r="M4" s="9">
        <v>5</v>
      </c>
    </row>
    <row r="5" spans="1:13" x14ac:dyDescent="0.25">
      <c r="A5" s="6">
        <v>4</v>
      </c>
      <c r="B5" s="11" t="s">
        <v>13</v>
      </c>
      <c r="C5" s="16" t="s">
        <v>14</v>
      </c>
      <c r="D5" s="1" t="s">
        <v>31</v>
      </c>
      <c r="E5" s="1" t="s">
        <v>16</v>
      </c>
      <c r="F5" s="1" t="s">
        <v>32</v>
      </c>
      <c r="G5" s="1" t="s">
        <v>18</v>
      </c>
      <c r="H5" s="1"/>
      <c r="I5" s="1" t="s">
        <v>33</v>
      </c>
      <c r="J5" s="1" t="s">
        <v>21</v>
      </c>
      <c r="K5" s="1" t="s">
        <v>34</v>
      </c>
      <c r="L5" s="1">
        <v>8</v>
      </c>
      <c r="M5" s="9">
        <v>10</v>
      </c>
    </row>
    <row r="6" spans="1:13" x14ac:dyDescent="0.25">
      <c r="A6" s="6">
        <v>5</v>
      </c>
      <c r="B6" s="11" t="s">
        <v>35</v>
      </c>
      <c r="C6" s="16" t="s">
        <v>36</v>
      </c>
      <c r="D6" s="1" t="s">
        <v>37</v>
      </c>
      <c r="E6" s="1" t="s">
        <v>27</v>
      </c>
      <c r="F6" s="1" t="s">
        <v>24</v>
      </c>
      <c r="G6" s="1" t="s">
        <v>25</v>
      </c>
      <c r="H6" s="1" t="s">
        <v>26</v>
      </c>
      <c r="I6" s="1" t="s">
        <v>38</v>
      </c>
      <c r="J6" s="1" t="s">
        <v>21</v>
      </c>
      <c r="K6" s="1" t="s">
        <v>39</v>
      </c>
      <c r="L6" s="1">
        <v>5</v>
      </c>
      <c r="M6" s="9">
        <v>5</v>
      </c>
    </row>
    <row r="7" spans="1:13" x14ac:dyDescent="0.25">
      <c r="A7" s="6">
        <v>6</v>
      </c>
      <c r="B7" s="11" t="s">
        <v>35</v>
      </c>
      <c r="C7" s="16" t="s">
        <v>36</v>
      </c>
      <c r="D7" s="1" t="s">
        <v>15</v>
      </c>
      <c r="E7" s="1" t="s">
        <v>16</v>
      </c>
      <c r="F7" s="1" t="s">
        <v>32</v>
      </c>
      <c r="G7" s="1" t="s">
        <v>25</v>
      </c>
      <c r="H7" s="1" t="s">
        <v>19</v>
      </c>
      <c r="I7" s="1" t="s">
        <v>40</v>
      </c>
      <c r="J7" s="1" t="s">
        <v>41</v>
      </c>
      <c r="K7" s="1" t="s">
        <v>42</v>
      </c>
      <c r="L7" s="1">
        <v>12</v>
      </c>
      <c r="M7" s="9"/>
    </row>
    <row r="8" spans="1:13" x14ac:dyDescent="0.25">
      <c r="A8" s="6">
        <v>7</v>
      </c>
      <c r="B8" s="11" t="s">
        <v>35</v>
      </c>
      <c r="C8" s="16" t="s">
        <v>36</v>
      </c>
      <c r="D8" s="1" t="s">
        <v>15</v>
      </c>
      <c r="E8" s="1" t="s">
        <v>43</v>
      </c>
      <c r="F8" s="1" t="s">
        <v>24</v>
      </c>
      <c r="G8" s="1" t="s">
        <v>44</v>
      </c>
      <c r="H8" s="1" t="s">
        <v>19</v>
      </c>
      <c r="I8" s="1" t="s">
        <v>40</v>
      </c>
      <c r="J8" s="1" t="s">
        <v>41</v>
      </c>
      <c r="K8" s="1" t="s">
        <v>42</v>
      </c>
      <c r="L8" s="1">
        <v>12</v>
      </c>
      <c r="M8" s="9">
        <v>15</v>
      </c>
    </row>
    <row r="9" spans="1:13" x14ac:dyDescent="0.25">
      <c r="A9" s="6">
        <v>8</v>
      </c>
      <c r="B9" s="11" t="s">
        <v>45</v>
      </c>
      <c r="C9" s="16" t="s">
        <v>46</v>
      </c>
      <c r="D9" s="1" t="s">
        <v>47</v>
      </c>
      <c r="E9" s="1" t="s">
        <v>43</v>
      </c>
      <c r="F9" s="1" t="s">
        <v>48</v>
      </c>
      <c r="G9" s="1" t="s">
        <v>25</v>
      </c>
      <c r="H9" s="1" t="s">
        <v>19</v>
      </c>
      <c r="I9" s="1" t="s">
        <v>49</v>
      </c>
      <c r="J9" s="1" t="s">
        <v>41</v>
      </c>
      <c r="K9" s="1" t="s">
        <v>50</v>
      </c>
      <c r="L9" s="1">
        <v>9</v>
      </c>
      <c r="M9" s="9"/>
    </row>
    <row r="10" spans="1:13" x14ac:dyDescent="0.25">
      <c r="A10" s="6">
        <v>9</v>
      </c>
      <c r="B10" s="11" t="s">
        <v>45</v>
      </c>
      <c r="C10" s="16" t="s">
        <v>46</v>
      </c>
      <c r="D10" s="1" t="s">
        <v>47</v>
      </c>
      <c r="E10" s="1" t="s">
        <v>27</v>
      </c>
      <c r="F10" s="1" t="s">
        <v>32</v>
      </c>
      <c r="G10" s="1" t="s">
        <v>25</v>
      </c>
      <c r="H10" s="1" t="s">
        <v>28</v>
      </c>
      <c r="I10" s="1" t="s">
        <v>51</v>
      </c>
      <c r="J10" s="1" t="s">
        <v>41</v>
      </c>
      <c r="K10" s="1" t="s">
        <v>52</v>
      </c>
      <c r="L10" s="1">
        <v>6</v>
      </c>
      <c r="M10" s="9"/>
    </row>
    <row r="11" spans="1:13" x14ac:dyDescent="0.25">
      <c r="A11" s="6">
        <v>10</v>
      </c>
      <c r="B11" s="11" t="s">
        <v>45</v>
      </c>
      <c r="C11" s="16" t="s">
        <v>46</v>
      </c>
      <c r="D11" s="1" t="s">
        <v>15</v>
      </c>
      <c r="E11" s="1" t="s">
        <v>43</v>
      </c>
      <c r="F11" s="1" t="s">
        <v>48</v>
      </c>
      <c r="G11" s="1" t="s">
        <v>44</v>
      </c>
      <c r="H11" s="1" t="s">
        <v>19</v>
      </c>
      <c r="I11" s="1" t="s">
        <v>53</v>
      </c>
      <c r="J11" s="1" t="s">
        <v>41</v>
      </c>
      <c r="K11" s="1" t="s">
        <v>54</v>
      </c>
      <c r="L11" s="1">
        <v>4</v>
      </c>
      <c r="M11" s="9">
        <v>15</v>
      </c>
    </row>
    <row r="12" spans="1:13" x14ac:dyDescent="0.25">
      <c r="A12" s="6">
        <v>11</v>
      </c>
      <c r="B12" s="11" t="s">
        <v>45</v>
      </c>
      <c r="C12" s="16" t="s">
        <v>46</v>
      </c>
      <c r="D12" s="1" t="s">
        <v>31</v>
      </c>
      <c r="E12" s="1" t="s">
        <v>43</v>
      </c>
      <c r="F12" s="1" t="s">
        <v>24</v>
      </c>
      <c r="G12" s="1" t="s">
        <v>55</v>
      </c>
      <c r="H12" s="1"/>
      <c r="I12" s="1" t="s">
        <v>56</v>
      </c>
      <c r="J12" s="1" t="s">
        <v>57</v>
      </c>
      <c r="K12" s="1" t="s">
        <v>58</v>
      </c>
      <c r="L12" s="1">
        <v>20</v>
      </c>
      <c r="M12" s="9"/>
    </row>
    <row r="13" spans="1:13" x14ac:dyDescent="0.25">
      <c r="A13" s="6">
        <v>12</v>
      </c>
      <c r="B13" s="11" t="s">
        <v>59</v>
      </c>
      <c r="C13" s="16" t="s">
        <v>60</v>
      </c>
      <c r="D13" s="1" t="s">
        <v>37</v>
      </c>
      <c r="E13" s="1" t="s">
        <v>43</v>
      </c>
      <c r="F13" s="1" t="s">
        <v>24</v>
      </c>
      <c r="G13" s="1" t="s">
        <v>44</v>
      </c>
      <c r="H13" s="1" t="s">
        <v>26</v>
      </c>
      <c r="I13" s="1" t="s">
        <v>61</v>
      </c>
      <c r="J13" s="1" t="s">
        <v>57</v>
      </c>
      <c r="K13" s="1" t="s">
        <v>62</v>
      </c>
      <c r="L13" s="1">
        <v>15</v>
      </c>
      <c r="M13" s="9">
        <v>15</v>
      </c>
    </row>
    <row r="14" spans="1:13" x14ac:dyDescent="0.25">
      <c r="A14" s="6">
        <v>13</v>
      </c>
      <c r="B14" s="11" t="s">
        <v>59</v>
      </c>
      <c r="C14" s="16" t="s">
        <v>60</v>
      </c>
      <c r="D14" s="1" t="s">
        <v>37</v>
      </c>
      <c r="E14" s="1" t="s">
        <v>43</v>
      </c>
      <c r="F14" s="1" t="s">
        <v>48</v>
      </c>
      <c r="G14" s="1" t="s">
        <v>44</v>
      </c>
      <c r="H14" s="1" t="s">
        <v>19</v>
      </c>
      <c r="I14" s="1" t="s">
        <v>63</v>
      </c>
      <c r="J14" s="1" t="s">
        <v>57</v>
      </c>
      <c r="K14" s="1" t="s">
        <v>64</v>
      </c>
      <c r="L14" s="1">
        <v>10</v>
      </c>
      <c r="M14" s="9"/>
    </row>
    <row r="15" spans="1:13" x14ac:dyDescent="0.25">
      <c r="A15" s="6">
        <v>14</v>
      </c>
      <c r="B15" s="11" t="s">
        <v>59</v>
      </c>
      <c r="C15" s="16" t="s">
        <v>60</v>
      </c>
      <c r="D15" s="1" t="s">
        <v>37</v>
      </c>
      <c r="E15" s="1" t="s">
        <v>27</v>
      </c>
      <c r="F15" s="1" t="s">
        <v>17</v>
      </c>
      <c r="G15" s="1" t="s">
        <v>44</v>
      </c>
      <c r="H15" s="1" t="s">
        <v>28</v>
      </c>
      <c r="I15" s="1" t="s">
        <v>65</v>
      </c>
      <c r="J15" s="1" t="s">
        <v>57</v>
      </c>
      <c r="K15" s="1" t="s">
        <v>66</v>
      </c>
      <c r="L15" s="1">
        <v>7</v>
      </c>
      <c r="M15" s="9"/>
    </row>
    <row r="16" spans="1:13" x14ac:dyDescent="0.25">
      <c r="A16" s="6">
        <v>15</v>
      </c>
      <c r="B16" s="11" t="s">
        <v>13</v>
      </c>
      <c r="C16" s="16" t="s">
        <v>14</v>
      </c>
      <c r="D16" s="1" t="s">
        <v>47</v>
      </c>
      <c r="E16" s="1" t="s">
        <v>67</v>
      </c>
      <c r="F16" s="1" t="s">
        <v>32</v>
      </c>
      <c r="G16" s="1" t="s">
        <v>55</v>
      </c>
      <c r="H16" s="1" t="s">
        <v>68</v>
      </c>
      <c r="I16" s="1" t="s">
        <v>69</v>
      </c>
      <c r="J16" s="1" t="s">
        <v>70</v>
      </c>
      <c r="K16" s="1" t="s">
        <v>71</v>
      </c>
      <c r="L16" s="1">
        <v>18</v>
      </c>
      <c r="M16" s="9">
        <v>10</v>
      </c>
    </row>
    <row r="17" spans="1:13" x14ac:dyDescent="0.25">
      <c r="A17" s="6">
        <v>16</v>
      </c>
      <c r="B17" s="11" t="s">
        <v>13</v>
      </c>
      <c r="C17" s="16" t="s">
        <v>14</v>
      </c>
      <c r="D17" s="1" t="s">
        <v>31</v>
      </c>
      <c r="E17" s="1" t="s">
        <v>43</v>
      </c>
      <c r="F17" s="1" t="s">
        <v>24</v>
      </c>
      <c r="G17" s="1" t="s">
        <v>25</v>
      </c>
      <c r="H17" s="1" t="s">
        <v>28</v>
      </c>
      <c r="I17" s="1" t="s">
        <v>69</v>
      </c>
      <c r="J17" s="1" t="s">
        <v>70</v>
      </c>
      <c r="K17" s="1" t="s">
        <v>71</v>
      </c>
      <c r="L17" s="1">
        <v>18</v>
      </c>
      <c r="M17" s="9">
        <v>15</v>
      </c>
    </row>
    <row r="18" spans="1:13" x14ac:dyDescent="0.25">
      <c r="A18" s="6">
        <v>17</v>
      </c>
      <c r="B18" s="11" t="s">
        <v>13</v>
      </c>
      <c r="C18" s="16" t="s">
        <v>14</v>
      </c>
      <c r="D18" s="1" t="s">
        <v>23</v>
      </c>
      <c r="E18" s="1" t="s">
        <v>43</v>
      </c>
      <c r="F18" s="1" t="s">
        <v>32</v>
      </c>
      <c r="G18" s="1" t="s">
        <v>18</v>
      </c>
      <c r="H18" s="1" t="s">
        <v>68</v>
      </c>
      <c r="I18" s="1" t="s">
        <v>72</v>
      </c>
      <c r="J18" s="1" t="s">
        <v>70</v>
      </c>
      <c r="K18" s="1" t="s">
        <v>73</v>
      </c>
      <c r="L18" s="1">
        <v>14</v>
      </c>
      <c r="M18" s="9"/>
    </row>
    <row r="19" spans="1:13" x14ac:dyDescent="0.25">
      <c r="A19" s="6">
        <v>18</v>
      </c>
      <c r="B19" s="11" t="s">
        <v>35</v>
      </c>
      <c r="C19" s="16" t="s">
        <v>36</v>
      </c>
      <c r="D19" s="1" t="s">
        <v>37</v>
      </c>
      <c r="E19" s="1" t="s">
        <v>16</v>
      </c>
      <c r="F19" s="1" t="s">
        <v>17</v>
      </c>
      <c r="G19" s="1" t="s">
        <v>18</v>
      </c>
      <c r="H19" s="1" t="s">
        <v>28</v>
      </c>
      <c r="I19" s="1" t="s">
        <v>74</v>
      </c>
      <c r="J19" s="1" t="s">
        <v>70</v>
      </c>
      <c r="K19" s="1" t="s">
        <v>75</v>
      </c>
      <c r="L19" s="1">
        <v>9</v>
      </c>
      <c r="M19" s="9"/>
    </row>
    <row r="20" spans="1:13" x14ac:dyDescent="0.25">
      <c r="A20" s="6">
        <v>19</v>
      </c>
      <c r="B20" s="11" t="s">
        <v>35</v>
      </c>
      <c r="C20" s="16" t="s">
        <v>36</v>
      </c>
      <c r="D20" s="1" t="s">
        <v>76</v>
      </c>
      <c r="E20" s="1" t="s">
        <v>67</v>
      </c>
      <c r="F20" s="1" t="s">
        <v>24</v>
      </c>
      <c r="G20" s="1" t="s">
        <v>44</v>
      </c>
      <c r="H20" s="1" t="s">
        <v>28</v>
      </c>
      <c r="I20" s="1" t="s">
        <v>77</v>
      </c>
      <c r="J20" s="1" t="s">
        <v>70</v>
      </c>
      <c r="K20" s="1" t="s">
        <v>78</v>
      </c>
      <c r="L20" s="1">
        <v>5</v>
      </c>
      <c r="M20" s="9">
        <v>15</v>
      </c>
    </row>
    <row r="21" spans="1:13" x14ac:dyDescent="0.25">
      <c r="A21" s="6">
        <v>20</v>
      </c>
      <c r="B21" s="11" t="s">
        <v>35</v>
      </c>
      <c r="C21" s="16" t="s">
        <v>36</v>
      </c>
      <c r="D21" s="1" t="s">
        <v>76</v>
      </c>
      <c r="E21" s="1" t="s">
        <v>16</v>
      </c>
      <c r="F21" s="1" t="s">
        <v>48</v>
      </c>
      <c r="G21" s="1" t="s">
        <v>55</v>
      </c>
      <c r="H21" s="1" t="s">
        <v>28</v>
      </c>
      <c r="I21" s="1" t="s">
        <v>79</v>
      </c>
      <c r="J21" s="1" t="s">
        <v>80</v>
      </c>
      <c r="K21" s="1" t="s">
        <v>81</v>
      </c>
      <c r="L21" s="1">
        <v>25</v>
      </c>
      <c r="M21" s="9">
        <v>15</v>
      </c>
    </row>
    <row r="22" spans="1:13" x14ac:dyDescent="0.25">
      <c r="A22" s="6">
        <v>21</v>
      </c>
      <c r="B22" s="11" t="s">
        <v>35</v>
      </c>
      <c r="C22" s="16" t="s">
        <v>36</v>
      </c>
      <c r="D22" s="1" t="s">
        <v>37</v>
      </c>
      <c r="E22" s="1" t="s">
        <v>43</v>
      </c>
      <c r="F22" s="1" t="s">
        <v>32</v>
      </c>
      <c r="G22" s="1" t="s">
        <v>18</v>
      </c>
      <c r="H22" s="1" t="s">
        <v>28</v>
      </c>
      <c r="I22" s="1" t="s">
        <v>82</v>
      </c>
      <c r="J22" s="1" t="s">
        <v>80</v>
      </c>
      <c r="K22" s="1" t="s">
        <v>83</v>
      </c>
      <c r="L22" s="1">
        <v>20</v>
      </c>
      <c r="M22" s="9">
        <v>5</v>
      </c>
    </row>
    <row r="23" spans="1:13" x14ac:dyDescent="0.25">
      <c r="A23" s="6">
        <v>22</v>
      </c>
      <c r="B23" s="11" t="s">
        <v>45</v>
      </c>
      <c r="C23" s="16" t="s">
        <v>46</v>
      </c>
      <c r="D23" s="1" t="s">
        <v>76</v>
      </c>
      <c r="E23" s="1" t="s">
        <v>43</v>
      </c>
      <c r="F23" s="1" t="s">
        <v>17</v>
      </c>
      <c r="G23" s="1" t="s">
        <v>18</v>
      </c>
      <c r="H23" s="1" t="s">
        <v>68</v>
      </c>
      <c r="I23" s="1" t="s">
        <v>84</v>
      </c>
      <c r="J23" s="1" t="s">
        <v>80</v>
      </c>
      <c r="K23" s="1" t="s">
        <v>85</v>
      </c>
      <c r="L23" s="1">
        <v>15</v>
      </c>
      <c r="M23" s="9">
        <v>5</v>
      </c>
    </row>
    <row r="24" spans="1:13" x14ac:dyDescent="0.25">
      <c r="A24" s="6">
        <v>23</v>
      </c>
      <c r="B24" s="11" t="s">
        <v>45</v>
      </c>
      <c r="C24" s="16" t="s">
        <v>46</v>
      </c>
      <c r="D24" s="1" t="s">
        <v>37</v>
      </c>
      <c r="E24" s="1" t="s">
        <v>27</v>
      </c>
      <c r="F24" s="1" t="s">
        <v>17</v>
      </c>
      <c r="G24" s="1" t="s">
        <v>18</v>
      </c>
      <c r="H24" s="1" t="s">
        <v>26</v>
      </c>
      <c r="I24" s="1" t="s">
        <v>84</v>
      </c>
      <c r="J24" s="1" t="s">
        <v>80</v>
      </c>
      <c r="K24" s="1" t="s">
        <v>85</v>
      </c>
      <c r="L24" s="1">
        <v>15</v>
      </c>
      <c r="M24" s="9"/>
    </row>
    <row r="25" spans="1:13" x14ac:dyDescent="0.25">
      <c r="A25" s="6">
        <v>24</v>
      </c>
      <c r="B25" s="11" t="s">
        <v>45</v>
      </c>
      <c r="C25" s="16" t="s">
        <v>46</v>
      </c>
      <c r="D25" s="1" t="s">
        <v>76</v>
      </c>
      <c r="E25" s="1" t="s">
        <v>43</v>
      </c>
      <c r="F25" s="1" t="s">
        <v>48</v>
      </c>
      <c r="G25" s="1" t="s">
        <v>55</v>
      </c>
      <c r="H25" s="1" t="s">
        <v>26</v>
      </c>
      <c r="I25" s="1" t="s">
        <v>86</v>
      </c>
      <c r="J25" s="1" t="s">
        <v>80</v>
      </c>
      <c r="K25" s="1" t="s">
        <v>87</v>
      </c>
      <c r="L25" s="1">
        <v>10</v>
      </c>
      <c r="M25" s="9"/>
    </row>
    <row r="26" spans="1:13" x14ac:dyDescent="0.25">
      <c r="A26" s="6">
        <v>25</v>
      </c>
      <c r="B26" s="11" t="s">
        <v>59</v>
      </c>
      <c r="C26" s="16" t="s">
        <v>60</v>
      </c>
      <c r="D26" s="1" t="s">
        <v>15</v>
      </c>
      <c r="E26" s="1" t="s">
        <v>43</v>
      </c>
      <c r="F26" s="1" t="s">
        <v>32</v>
      </c>
      <c r="G26" s="1" t="s">
        <v>44</v>
      </c>
      <c r="H26" s="1" t="s">
        <v>19</v>
      </c>
      <c r="I26" s="1" t="s">
        <v>88</v>
      </c>
      <c r="J26" s="1" t="s">
        <v>89</v>
      </c>
      <c r="K26" s="1" t="s">
        <v>90</v>
      </c>
      <c r="L26" s="1">
        <v>30</v>
      </c>
      <c r="M26" s="9">
        <v>5</v>
      </c>
    </row>
    <row r="27" spans="1:13" x14ac:dyDescent="0.25">
      <c r="A27" s="6">
        <v>26</v>
      </c>
      <c r="B27" s="11" t="s">
        <v>59</v>
      </c>
      <c r="C27" s="16" t="s">
        <v>60</v>
      </c>
      <c r="D27" s="1" t="s">
        <v>15</v>
      </c>
      <c r="E27" s="1" t="s">
        <v>27</v>
      </c>
      <c r="F27" s="1" t="s">
        <v>17</v>
      </c>
      <c r="G27" s="1" t="s">
        <v>25</v>
      </c>
      <c r="H27" s="1" t="s">
        <v>28</v>
      </c>
      <c r="I27" s="1" t="s">
        <v>91</v>
      </c>
      <c r="J27" s="1" t="s">
        <v>89</v>
      </c>
      <c r="K27" s="1" t="s">
        <v>92</v>
      </c>
      <c r="L27" s="1">
        <v>22</v>
      </c>
      <c r="M27" s="9">
        <v>10</v>
      </c>
    </row>
    <row r="28" spans="1:13" x14ac:dyDescent="0.25">
      <c r="A28" s="6">
        <v>27</v>
      </c>
      <c r="B28" s="11" t="s">
        <v>59</v>
      </c>
      <c r="C28" s="16" t="s">
        <v>60</v>
      </c>
      <c r="D28" s="1" t="s">
        <v>15</v>
      </c>
      <c r="E28" s="1" t="s">
        <v>43</v>
      </c>
      <c r="F28" s="1" t="s">
        <v>24</v>
      </c>
      <c r="G28" s="1" t="s">
        <v>18</v>
      </c>
      <c r="H28" s="1" t="s">
        <v>19</v>
      </c>
      <c r="I28" s="1" t="s">
        <v>91</v>
      </c>
      <c r="J28" s="1" t="s">
        <v>89</v>
      </c>
      <c r="K28" s="1" t="s">
        <v>92</v>
      </c>
      <c r="L28" s="1">
        <v>22</v>
      </c>
      <c r="M28" s="9">
        <v>10</v>
      </c>
    </row>
    <row r="29" spans="1:13" x14ac:dyDescent="0.25">
      <c r="A29" s="6">
        <v>28</v>
      </c>
      <c r="B29" s="11" t="s">
        <v>59</v>
      </c>
      <c r="C29" s="16" t="s">
        <v>60</v>
      </c>
      <c r="D29" s="1" t="s">
        <v>76</v>
      </c>
      <c r="E29" s="1" t="s">
        <v>67</v>
      </c>
      <c r="F29" s="1" t="s">
        <v>17</v>
      </c>
      <c r="G29" s="1" t="s">
        <v>55</v>
      </c>
      <c r="H29" s="1"/>
      <c r="I29" s="1" t="s">
        <v>93</v>
      </c>
      <c r="J29" s="1" t="s">
        <v>89</v>
      </c>
      <c r="K29" s="1" t="s">
        <v>94</v>
      </c>
      <c r="L29" s="1">
        <v>17</v>
      </c>
      <c r="M29" s="9">
        <v>10</v>
      </c>
    </row>
    <row r="30" spans="1:13" x14ac:dyDescent="0.25">
      <c r="A30" s="6">
        <v>29</v>
      </c>
      <c r="B30" s="11" t="s">
        <v>13</v>
      </c>
      <c r="C30" s="16" t="s">
        <v>14</v>
      </c>
      <c r="D30" s="1" t="s">
        <v>76</v>
      </c>
      <c r="E30" s="1" t="s">
        <v>67</v>
      </c>
      <c r="F30" s="1" t="s">
        <v>17</v>
      </c>
      <c r="G30" s="1" t="s">
        <v>55</v>
      </c>
      <c r="H30" s="1" t="s">
        <v>28</v>
      </c>
      <c r="I30" s="1" t="s">
        <v>95</v>
      </c>
      <c r="J30" s="1" t="s">
        <v>89</v>
      </c>
      <c r="K30" s="1" t="s">
        <v>96</v>
      </c>
      <c r="L30" s="1">
        <v>12</v>
      </c>
      <c r="M30" s="9">
        <v>10</v>
      </c>
    </row>
    <row r="31" spans="1:13" x14ac:dyDescent="0.25">
      <c r="A31" s="6">
        <v>30</v>
      </c>
      <c r="B31" s="11" t="s">
        <v>13</v>
      </c>
      <c r="C31" s="16" t="s">
        <v>14</v>
      </c>
      <c r="D31" s="1" t="s">
        <v>31</v>
      </c>
      <c r="E31" s="1" t="s">
        <v>27</v>
      </c>
      <c r="F31" s="1" t="s">
        <v>48</v>
      </c>
      <c r="G31" s="1" t="s">
        <v>44</v>
      </c>
      <c r="H31" s="1" t="s">
        <v>68</v>
      </c>
      <c r="I31" s="1" t="s">
        <v>97</v>
      </c>
      <c r="J31" s="1" t="s">
        <v>98</v>
      </c>
      <c r="K31" s="1" t="s">
        <v>90</v>
      </c>
      <c r="L31" s="1">
        <v>19</v>
      </c>
      <c r="M31" s="9">
        <v>10</v>
      </c>
    </row>
    <row r="32" spans="1:13" x14ac:dyDescent="0.25">
      <c r="A32" s="6">
        <v>31</v>
      </c>
      <c r="B32" s="11" t="s">
        <v>13</v>
      </c>
      <c r="C32" s="16" t="s">
        <v>14</v>
      </c>
      <c r="D32" s="1" t="s">
        <v>47</v>
      </c>
      <c r="E32" s="1" t="s">
        <v>67</v>
      </c>
      <c r="F32" s="1" t="s">
        <v>48</v>
      </c>
      <c r="G32" s="1" t="s">
        <v>55</v>
      </c>
      <c r="H32" s="1" t="s">
        <v>28</v>
      </c>
      <c r="I32" s="1" t="s">
        <v>99</v>
      </c>
      <c r="J32" s="1" t="s">
        <v>98</v>
      </c>
      <c r="K32" s="1" t="s">
        <v>92</v>
      </c>
      <c r="L32" s="1">
        <v>16</v>
      </c>
      <c r="M32" s="9"/>
    </row>
    <row r="33" spans="1:13" x14ac:dyDescent="0.25">
      <c r="A33" s="6">
        <v>32</v>
      </c>
      <c r="B33" s="11" t="s">
        <v>35</v>
      </c>
      <c r="C33" s="16" t="s">
        <v>36</v>
      </c>
      <c r="D33" s="1" t="s">
        <v>76</v>
      </c>
      <c r="E33" s="1" t="s">
        <v>27</v>
      </c>
      <c r="F33" s="1" t="s">
        <v>17</v>
      </c>
      <c r="G33" s="1" t="s">
        <v>44</v>
      </c>
      <c r="H33" s="1" t="s">
        <v>19</v>
      </c>
      <c r="I33" s="1" t="s">
        <v>100</v>
      </c>
      <c r="J33" s="1" t="s">
        <v>98</v>
      </c>
      <c r="K33" s="1" t="s">
        <v>94</v>
      </c>
      <c r="L33" s="1">
        <v>13</v>
      </c>
      <c r="M33" s="9">
        <v>15</v>
      </c>
    </row>
    <row r="34" spans="1:13" x14ac:dyDescent="0.25">
      <c r="A34" s="6">
        <v>33</v>
      </c>
      <c r="B34" s="11" t="s">
        <v>35</v>
      </c>
      <c r="C34" s="16" t="s">
        <v>36</v>
      </c>
      <c r="D34" s="1" t="s">
        <v>15</v>
      </c>
      <c r="E34" s="1" t="s">
        <v>67</v>
      </c>
      <c r="F34" s="1" t="s">
        <v>24</v>
      </c>
      <c r="G34" s="1" t="s">
        <v>55</v>
      </c>
      <c r="H34" s="1" t="s">
        <v>68</v>
      </c>
      <c r="I34" s="1" t="s">
        <v>101</v>
      </c>
      <c r="J34" s="1" t="s">
        <v>98</v>
      </c>
      <c r="K34" s="1" t="s">
        <v>96</v>
      </c>
      <c r="L34" s="1">
        <v>8</v>
      </c>
      <c r="M34" s="9"/>
    </row>
    <row r="35" spans="1:13" x14ac:dyDescent="0.25">
      <c r="A35" s="6">
        <v>34</v>
      </c>
      <c r="B35" s="11" t="s">
        <v>35</v>
      </c>
      <c r="C35" s="16" t="s">
        <v>36</v>
      </c>
      <c r="D35" s="1" t="s">
        <v>15</v>
      </c>
      <c r="E35" s="1" t="s">
        <v>16</v>
      </c>
      <c r="F35" s="1" t="s">
        <v>32</v>
      </c>
      <c r="G35" s="1" t="s">
        <v>44</v>
      </c>
      <c r="H35" s="1" t="s">
        <v>26</v>
      </c>
      <c r="I35" s="1" t="s">
        <v>102</v>
      </c>
      <c r="J35" s="1" t="s">
        <v>103</v>
      </c>
      <c r="K35" s="1" t="s">
        <v>104</v>
      </c>
      <c r="L35" s="1">
        <v>11</v>
      </c>
      <c r="M35" s="9"/>
    </row>
    <row r="36" spans="1:13" x14ac:dyDescent="0.25">
      <c r="A36" s="6">
        <v>35</v>
      </c>
      <c r="B36" s="11" t="s">
        <v>35</v>
      </c>
      <c r="C36" s="16" t="s">
        <v>36</v>
      </c>
      <c r="D36" s="1" t="s">
        <v>76</v>
      </c>
      <c r="E36" s="1" t="s">
        <v>27</v>
      </c>
      <c r="F36" s="1" t="s">
        <v>48</v>
      </c>
      <c r="G36" s="1" t="s">
        <v>18</v>
      </c>
      <c r="H36" s="1" t="s">
        <v>28</v>
      </c>
      <c r="I36" s="1" t="s">
        <v>105</v>
      </c>
      <c r="J36" s="1" t="s">
        <v>103</v>
      </c>
      <c r="K36" s="1" t="s">
        <v>106</v>
      </c>
      <c r="L36" s="1">
        <v>9</v>
      </c>
      <c r="M36" s="9"/>
    </row>
    <row r="37" spans="1:13" x14ac:dyDescent="0.25">
      <c r="A37" s="6">
        <v>36</v>
      </c>
      <c r="B37" s="11" t="s">
        <v>45</v>
      </c>
      <c r="C37" s="16" t="s">
        <v>46</v>
      </c>
      <c r="D37" s="1" t="s">
        <v>37</v>
      </c>
      <c r="E37" s="1" t="s">
        <v>16</v>
      </c>
      <c r="F37" s="1" t="s">
        <v>24</v>
      </c>
      <c r="G37" s="1" t="s">
        <v>44</v>
      </c>
      <c r="H37" s="1" t="s">
        <v>28</v>
      </c>
      <c r="I37" s="1" t="s">
        <v>107</v>
      </c>
      <c r="J37" s="1" t="s">
        <v>103</v>
      </c>
      <c r="K37" s="1" t="s">
        <v>108</v>
      </c>
      <c r="L37" s="1">
        <v>7</v>
      </c>
      <c r="M37" s="9">
        <v>15</v>
      </c>
    </row>
    <row r="38" spans="1:13" x14ac:dyDescent="0.25">
      <c r="A38" s="6">
        <v>37</v>
      </c>
      <c r="B38" s="11" t="s">
        <v>45</v>
      </c>
      <c r="C38" s="16" t="s">
        <v>46</v>
      </c>
      <c r="D38" s="1" t="s">
        <v>37</v>
      </c>
      <c r="E38" s="1" t="s">
        <v>67</v>
      </c>
      <c r="F38" s="1" t="s">
        <v>48</v>
      </c>
      <c r="G38" s="1" t="s">
        <v>25</v>
      </c>
      <c r="H38" s="1" t="s">
        <v>28</v>
      </c>
      <c r="I38" s="1" t="s">
        <v>107</v>
      </c>
      <c r="J38" s="1" t="s">
        <v>103</v>
      </c>
      <c r="K38" s="1" t="s">
        <v>108</v>
      </c>
      <c r="L38" s="1">
        <v>7</v>
      </c>
      <c r="M38" s="9"/>
    </row>
    <row r="39" spans="1:13" x14ac:dyDescent="0.25">
      <c r="A39" s="6">
        <v>38</v>
      </c>
      <c r="B39" s="11" t="s">
        <v>45</v>
      </c>
      <c r="C39" s="16" t="s">
        <v>46</v>
      </c>
      <c r="D39" s="1" t="s">
        <v>15</v>
      </c>
      <c r="E39" s="1" t="s">
        <v>16</v>
      </c>
      <c r="F39" s="1" t="s">
        <v>24</v>
      </c>
      <c r="G39" s="1" t="s">
        <v>55</v>
      </c>
      <c r="H39" s="1" t="s">
        <v>26</v>
      </c>
      <c r="I39" s="1" t="s">
        <v>109</v>
      </c>
      <c r="J39" s="1" t="s">
        <v>103</v>
      </c>
      <c r="K39" s="1" t="s">
        <v>110</v>
      </c>
      <c r="L39" s="1">
        <v>5</v>
      </c>
      <c r="M39" s="9">
        <v>10</v>
      </c>
    </row>
    <row r="40" spans="1:13" x14ac:dyDescent="0.25">
      <c r="A40" s="6">
        <v>39</v>
      </c>
      <c r="B40" s="11" t="s">
        <v>59</v>
      </c>
      <c r="C40" s="16" t="s">
        <v>60</v>
      </c>
      <c r="D40" s="1" t="s">
        <v>15</v>
      </c>
      <c r="E40" s="1" t="s">
        <v>16</v>
      </c>
      <c r="F40" s="1" t="s">
        <v>24</v>
      </c>
      <c r="G40" s="1" t="s">
        <v>44</v>
      </c>
      <c r="H40" s="1" t="s">
        <v>28</v>
      </c>
      <c r="I40" s="1" t="s">
        <v>111</v>
      </c>
      <c r="J40" s="1" t="s">
        <v>112</v>
      </c>
      <c r="K40" s="1" t="s">
        <v>113</v>
      </c>
      <c r="L40" s="1">
        <v>14</v>
      </c>
      <c r="M40" s="9">
        <v>10</v>
      </c>
    </row>
    <row r="41" spans="1:13" x14ac:dyDescent="0.25">
      <c r="A41" s="6">
        <v>40</v>
      </c>
      <c r="B41" s="11" t="s">
        <v>59</v>
      </c>
      <c r="C41" s="16" t="s">
        <v>60</v>
      </c>
      <c r="D41" s="1" t="s">
        <v>37</v>
      </c>
      <c r="E41" s="1" t="s">
        <v>16</v>
      </c>
      <c r="F41" s="1" t="s">
        <v>48</v>
      </c>
      <c r="G41" s="1" t="s">
        <v>55</v>
      </c>
      <c r="H41" s="1" t="s">
        <v>26</v>
      </c>
      <c r="I41" s="1" t="s">
        <v>114</v>
      </c>
      <c r="J41" s="1" t="s">
        <v>112</v>
      </c>
      <c r="K41" s="1" t="s">
        <v>115</v>
      </c>
      <c r="L41" s="1">
        <v>10</v>
      </c>
      <c r="M41" s="9">
        <v>15</v>
      </c>
    </row>
    <row r="42" spans="1:13" x14ac:dyDescent="0.25">
      <c r="A42" s="6">
        <v>41</v>
      </c>
      <c r="B42" s="11" t="s">
        <v>59</v>
      </c>
      <c r="C42" s="16" t="s">
        <v>60</v>
      </c>
      <c r="D42" s="1" t="s">
        <v>23</v>
      </c>
      <c r="E42" s="1" t="s">
        <v>16</v>
      </c>
      <c r="F42" s="1" t="s">
        <v>24</v>
      </c>
      <c r="G42" s="1" t="s">
        <v>25</v>
      </c>
      <c r="H42" s="1" t="s">
        <v>68</v>
      </c>
      <c r="I42" s="1" t="s">
        <v>116</v>
      </c>
      <c r="J42" s="1" t="s">
        <v>112</v>
      </c>
      <c r="K42" s="1" t="s">
        <v>117</v>
      </c>
      <c r="L42" s="1">
        <v>8</v>
      </c>
      <c r="M42" s="9">
        <v>10</v>
      </c>
    </row>
    <row r="43" spans="1:13" x14ac:dyDescent="0.25">
      <c r="A43" s="6">
        <v>42</v>
      </c>
      <c r="B43" s="11" t="s">
        <v>13</v>
      </c>
      <c r="C43" s="16" t="s">
        <v>14</v>
      </c>
      <c r="D43" s="1" t="s">
        <v>23</v>
      </c>
      <c r="E43" s="1" t="s">
        <v>67</v>
      </c>
      <c r="F43" s="1" t="s">
        <v>32</v>
      </c>
      <c r="G43" s="1" t="s">
        <v>44</v>
      </c>
      <c r="H43" s="1" t="s">
        <v>68</v>
      </c>
      <c r="I43" s="1" t="s">
        <v>118</v>
      </c>
      <c r="J43" s="1" t="s">
        <v>112</v>
      </c>
      <c r="K43" s="1" t="s">
        <v>119</v>
      </c>
      <c r="L43" s="1">
        <v>4</v>
      </c>
      <c r="M43" s="9">
        <v>15</v>
      </c>
    </row>
    <row r="44" spans="1:13" x14ac:dyDescent="0.25">
      <c r="A44" s="6">
        <v>43</v>
      </c>
      <c r="B44" s="11" t="s">
        <v>13</v>
      </c>
      <c r="C44" s="16" t="s">
        <v>14</v>
      </c>
      <c r="D44" s="1" t="s">
        <v>31</v>
      </c>
      <c r="E44" s="1" t="s">
        <v>27</v>
      </c>
      <c r="F44" s="1" t="s">
        <v>17</v>
      </c>
      <c r="G44" s="1" t="s">
        <v>18</v>
      </c>
      <c r="H44" s="1"/>
      <c r="I44" s="1" t="s">
        <v>120</v>
      </c>
      <c r="J44" s="1" t="s">
        <v>121</v>
      </c>
      <c r="K44" s="1" t="s">
        <v>122</v>
      </c>
      <c r="L44" s="1">
        <v>16</v>
      </c>
      <c r="M44" s="9">
        <v>10</v>
      </c>
    </row>
    <row r="45" spans="1:13" x14ac:dyDescent="0.25">
      <c r="A45" s="6">
        <v>44</v>
      </c>
      <c r="B45" s="11" t="s">
        <v>13</v>
      </c>
      <c r="C45" s="16" t="s">
        <v>14</v>
      </c>
      <c r="D45" s="1" t="s">
        <v>23</v>
      </c>
      <c r="E45" s="1" t="s">
        <v>43</v>
      </c>
      <c r="F45" s="1" t="s">
        <v>32</v>
      </c>
      <c r="G45" s="1" t="s">
        <v>18</v>
      </c>
      <c r="H45" s="1" t="s">
        <v>19</v>
      </c>
      <c r="I45" s="1" t="s">
        <v>123</v>
      </c>
      <c r="J45" s="1" t="s">
        <v>121</v>
      </c>
      <c r="K45" s="1" t="s">
        <v>124</v>
      </c>
      <c r="L45" s="1">
        <v>12</v>
      </c>
      <c r="M45" s="9">
        <v>5</v>
      </c>
    </row>
    <row r="46" spans="1:13" x14ac:dyDescent="0.25">
      <c r="A46" s="6">
        <v>45</v>
      </c>
      <c r="B46" s="11" t="s">
        <v>35</v>
      </c>
      <c r="C46" s="16" t="s">
        <v>36</v>
      </c>
      <c r="D46" s="1" t="s">
        <v>15</v>
      </c>
      <c r="E46" s="1" t="s">
        <v>43</v>
      </c>
      <c r="F46" s="1" t="s">
        <v>48</v>
      </c>
      <c r="G46" s="1" t="s">
        <v>25</v>
      </c>
      <c r="H46" s="1" t="s">
        <v>26</v>
      </c>
      <c r="I46" s="1" t="s">
        <v>125</v>
      </c>
      <c r="J46" s="1" t="s">
        <v>121</v>
      </c>
      <c r="K46" s="1" t="s">
        <v>126</v>
      </c>
      <c r="L46" s="1">
        <v>9</v>
      </c>
      <c r="M46" s="9"/>
    </row>
    <row r="47" spans="1:13" x14ac:dyDescent="0.25">
      <c r="A47" s="6">
        <v>46</v>
      </c>
      <c r="B47" s="11" t="s">
        <v>35</v>
      </c>
      <c r="C47" s="16" t="s">
        <v>36</v>
      </c>
      <c r="D47" s="1" t="s">
        <v>47</v>
      </c>
      <c r="E47" s="1" t="s">
        <v>43</v>
      </c>
      <c r="F47" s="1" t="s">
        <v>32</v>
      </c>
      <c r="G47" s="1" t="s">
        <v>55</v>
      </c>
      <c r="H47" s="1" t="s">
        <v>68</v>
      </c>
      <c r="I47" s="1" t="s">
        <v>127</v>
      </c>
      <c r="J47" s="1" t="s">
        <v>121</v>
      </c>
      <c r="K47" s="1" t="s">
        <v>128</v>
      </c>
      <c r="L47" s="1">
        <v>6</v>
      </c>
      <c r="M47" s="9">
        <v>15</v>
      </c>
    </row>
    <row r="48" spans="1:13" x14ac:dyDescent="0.25">
      <c r="A48" s="6">
        <v>47</v>
      </c>
      <c r="B48" s="11" t="s">
        <v>35</v>
      </c>
      <c r="C48" s="16" t="s">
        <v>36</v>
      </c>
      <c r="D48" s="1" t="s">
        <v>23</v>
      </c>
      <c r="E48" s="1" t="s">
        <v>27</v>
      </c>
      <c r="F48" s="1" t="s">
        <v>24</v>
      </c>
      <c r="G48" s="1" t="s">
        <v>44</v>
      </c>
      <c r="H48" s="1" t="s">
        <v>28</v>
      </c>
      <c r="I48" s="1" t="s">
        <v>129</v>
      </c>
      <c r="J48" s="1" t="s">
        <v>130</v>
      </c>
      <c r="K48" s="1" t="s">
        <v>131</v>
      </c>
      <c r="L48" s="1">
        <v>13</v>
      </c>
      <c r="M48" s="9"/>
    </row>
    <row r="49" spans="1:13" x14ac:dyDescent="0.25">
      <c r="A49" s="6">
        <v>48</v>
      </c>
      <c r="B49" s="11" t="s">
        <v>45</v>
      </c>
      <c r="C49" s="16" t="s">
        <v>46</v>
      </c>
      <c r="D49" s="1" t="s">
        <v>47</v>
      </c>
      <c r="E49" s="1" t="s">
        <v>27</v>
      </c>
      <c r="F49" s="1" t="s">
        <v>48</v>
      </c>
      <c r="G49" s="1" t="s">
        <v>44</v>
      </c>
      <c r="H49" s="1" t="s">
        <v>28</v>
      </c>
      <c r="I49" s="1" t="s">
        <v>132</v>
      </c>
      <c r="J49" s="1" t="s">
        <v>130</v>
      </c>
      <c r="K49" s="1" t="s">
        <v>133</v>
      </c>
      <c r="L49" s="1">
        <v>10</v>
      </c>
      <c r="M49" s="9">
        <v>5</v>
      </c>
    </row>
    <row r="50" spans="1:13" x14ac:dyDescent="0.25">
      <c r="A50" s="6">
        <v>49</v>
      </c>
      <c r="B50" s="11" t="s">
        <v>45</v>
      </c>
      <c r="C50" s="16" t="s">
        <v>46</v>
      </c>
      <c r="D50" s="1" t="s">
        <v>23</v>
      </c>
      <c r="E50" s="1" t="s">
        <v>16</v>
      </c>
      <c r="F50" s="1" t="s">
        <v>32</v>
      </c>
      <c r="G50" s="1" t="s">
        <v>25</v>
      </c>
      <c r="H50" s="1" t="s">
        <v>26</v>
      </c>
      <c r="I50" s="1" t="s">
        <v>134</v>
      </c>
      <c r="J50" s="1" t="s">
        <v>130</v>
      </c>
      <c r="K50" s="1" t="s">
        <v>135</v>
      </c>
      <c r="L50" s="1">
        <v>7</v>
      </c>
      <c r="M50" s="9">
        <v>5</v>
      </c>
    </row>
    <row r="51" spans="1:13" x14ac:dyDescent="0.25">
      <c r="A51" s="6">
        <v>50</v>
      </c>
      <c r="B51" s="11" t="s">
        <v>45</v>
      </c>
      <c r="C51" s="16" t="s">
        <v>46</v>
      </c>
      <c r="D51" s="1" t="s">
        <v>15</v>
      </c>
      <c r="E51" s="1" t="s">
        <v>43</v>
      </c>
      <c r="F51" s="1" t="s">
        <v>48</v>
      </c>
      <c r="G51" s="1" t="s">
        <v>44</v>
      </c>
      <c r="H51" s="1" t="s">
        <v>19</v>
      </c>
      <c r="I51" s="1" t="s">
        <v>136</v>
      </c>
      <c r="J51" s="1" t="s">
        <v>130</v>
      </c>
      <c r="K51" s="1" t="s">
        <v>137</v>
      </c>
      <c r="L51" s="1">
        <v>5</v>
      </c>
      <c r="M51" s="9">
        <v>5</v>
      </c>
    </row>
    <row r="52" spans="1:13" x14ac:dyDescent="0.25">
      <c r="A52" s="6">
        <v>51</v>
      </c>
      <c r="B52" s="11" t="s">
        <v>45</v>
      </c>
      <c r="C52" s="16" t="s">
        <v>46</v>
      </c>
      <c r="D52" s="1" t="s">
        <v>15</v>
      </c>
      <c r="E52" s="1" t="s">
        <v>27</v>
      </c>
      <c r="F52" s="1" t="s">
        <v>24</v>
      </c>
      <c r="G52" s="1" t="s">
        <v>18</v>
      </c>
      <c r="H52" s="1" t="s">
        <v>68</v>
      </c>
      <c r="I52" s="1" t="s">
        <v>138</v>
      </c>
      <c r="J52" s="1" t="s">
        <v>139</v>
      </c>
      <c r="K52" s="1" t="s">
        <v>140</v>
      </c>
      <c r="L52" s="1">
        <v>18</v>
      </c>
      <c r="M52" s="9">
        <v>10</v>
      </c>
    </row>
    <row r="53" spans="1:13" x14ac:dyDescent="0.25">
      <c r="A53" s="6">
        <v>52</v>
      </c>
      <c r="B53" s="11" t="s">
        <v>59</v>
      </c>
      <c r="C53" s="16" t="s">
        <v>60</v>
      </c>
      <c r="D53" s="1" t="s">
        <v>23</v>
      </c>
      <c r="E53" s="1" t="s">
        <v>67</v>
      </c>
      <c r="F53" s="1" t="s">
        <v>17</v>
      </c>
      <c r="G53" s="1" t="s">
        <v>25</v>
      </c>
      <c r="H53" s="1" t="s">
        <v>26</v>
      </c>
      <c r="I53" s="1" t="s">
        <v>141</v>
      </c>
      <c r="J53" s="1" t="s">
        <v>139</v>
      </c>
      <c r="K53" s="1" t="s">
        <v>142</v>
      </c>
      <c r="L53" s="1">
        <v>15</v>
      </c>
      <c r="M53" s="9">
        <v>15</v>
      </c>
    </row>
    <row r="54" spans="1:13" x14ac:dyDescent="0.25">
      <c r="A54" s="6">
        <v>53</v>
      </c>
      <c r="B54" s="11" t="s">
        <v>59</v>
      </c>
      <c r="C54" s="16" t="s">
        <v>60</v>
      </c>
      <c r="D54" s="1" t="s">
        <v>15</v>
      </c>
      <c r="E54" s="1" t="s">
        <v>27</v>
      </c>
      <c r="F54" s="1" t="s">
        <v>17</v>
      </c>
      <c r="G54" s="1" t="s">
        <v>18</v>
      </c>
      <c r="H54" s="1" t="s">
        <v>26</v>
      </c>
      <c r="I54" s="1" t="s">
        <v>143</v>
      </c>
      <c r="J54" s="1" t="s">
        <v>139</v>
      </c>
      <c r="K54" s="1" t="s">
        <v>144</v>
      </c>
      <c r="L54" s="1">
        <v>12</v>
      </c>
      <c r="M54" s="9">
        <v>5</v>
      </c>
    </row>
    <row r="55" spans="1:13" x14ac:dyDescent="0.25">
      <c r="A55" s="6">
        <v>54</v>
      </c>
      <c r="B55" s="11" t="s">
        <v>59</v>
      </c>
      <c r="C55" s="16" t="s">
        <v>60</v>
      </c>
      <c r="D55" s="1" t="s">
        <v>23</v>
      </c>
      <c r="E55" s="1" t="s">
        <v>67</v>
      </c>
      <c r="F55" s="1" t="s">
        <v>32</v>
      </c>
      <c r="G55" s="1" t="s">
        <v>25</v>
      </c>
      <c r="H55" s="1" t="s">
        <v>26</v>
      </c>
      <c r="I55" s="1" t="s">
        <v>143</v>
      </c>
      <c r="J55" s="1" t="s">
        <v>139</v>
      </c>
      <c r="K55" s="1" t="s">
        <v>144</v>
      </c>
      <c r="L55" s="1">
        <v>12</v>
      </c>
      <c r="M55" s="9">
        <v>10</v>
      </c>
    </row>
    <row r="56" spans="1:13" x14ac:dyDescent="0.25">
      <c r="A56" s="6">
        <v>55</v>
      </c>
      <c r="B56" s="11" t="s">
        <v>13</v>
      </c>
      <c r="C56" s="16" t="s">
        <v>14</v>
      </c>
      <c r="D56" s="1" t="s">
        <v>76</v>
      </c>
      <c r="E56" s="1" t="s">
        <v>43</v>
      </c>
      <c r="F56" s="1" t="s">
        <v>17</v>
      </c>
      <c r="G56" s="1" t="s">
        <v>55</v>
      </c>
      <c r="H56" s="1" t="s">
        <v>26</v>
      </c>
      <c r="I56" s="1" t="s">
        <v>145</v>
      </c>
      <c r="J56" s="1" t="s">
        <v>139</v>
      </c>
      <c r="K56" s="1" t="s">
        <v>146</v>
      </c>
      <c r="L56" s="1">
        <v>8</v>
      </c>
      <c r="M56" s="9"/>
    </row>
    <row r="57" spans="1:13" x14ac:dyDescent="0.25">
      <c r="A57" s="6">
        <v>56</v>
      </c>
      <c r="B57" s="11" t="s">
        <v>13</v>
      </c>
      <c r="C57" s="16" t="s">
        <v>14</v>
      </c>
      <c r="D57" s="1" t="s">
        <v>76</v>
      </c>
      <c r="E57" s="1" t="s">
        <v>43</v>
      </c>
      <c r="F57" s="1" t="s">
        <v>32</v>
      </c>
      <c r="G57" s="1" t="s">
        <v>25</v>
      </c>
      <c r="H57" s="1" t="s">
        <v>19</v>
      </c>
      <c r="I57" s="1" t="s">
        <v>20</v>
      </c>
      <c r="J57" s="1" t="s">
        <v>21</v>
      </c>
      <c r="K57" s="1" t="s">
        <v>22</v>
      </c>
      <c r="L57" s="1">
        <v>18</v>
      </c>
      <c r="M57" s="9">
        <v>15</v>
      </c>
    </row>
    <row r="58" spans="1:13" x14ac:dyDescent="0.25">
      <c r="A58" s="6">
        <v>57</v>
      </c>
      <c r="B58" s="11" t="s">
        <v>13</v>
      </c>
      <c r="C58" s="16" t="s">
        <v>14</v>
      </c>
      <c r="D58" s="1" t="s">
        <v>47</v>
      </c>
      <c r="E58" s="1" t="s">
        <v>27</v>
      </c>
      <c r="F58" s="1" t="s">
        <v>24</v>
      </c>
      <c r="G58" s="1" t="s">
        <v>25</v>
      </c>
      <c r="H58" s="1" t="s">
        <v>68</v>
      </c>
      <c r="I58" s="1" t="s">
        <v>29</v>
      </c>
      <c r="J58" s="1" t="s">
        <v>21</v>
      </c>
      <c r="K58" s="1" t="s">
        <v>30</v>
      </c>
      <c r="L58" s="1">
        <v>12</v>
      </c>
      <c r="M58" s="9">
        <v>10</v>
      </c>
    </row>
    <row r="59" spans="1:13" x14ac:dyDescent="0.25">
      <c r="A59" s="6">
        <v>58</v>
      </c>
      <c r="B59" s="11" t="s">
        <v>35</v>
      </c>
      <c r="C59" s="16" t="s">
        <v>36</v>
      </c>
      <c r="D59" s="1" t="s">
        <v>76</v>
      </c>
      <c r="E59" s="1" t="s">
        <v>43</v>
      </c>
      <c r="F59" s="1" t="s">
        <v>48</v>
      </c>
      <c r="G59" s="1" t="s">
        <v>18</v>
      </c>
      <c r="H59" s="1" t="s">
        <v>26</v>
      </c>
      <c r="I59" s="1" t="s">
        <v>33</v>
      </c>
      <c r="J59" s="1" t="s">
        <v>21</v>
      </c>
      <c r="K59" s="1" t="s">
        <v>34</v>
      </c>
      <c r="L59" s="1">
        <v>10</v>
      </c>
      <c r="M59" s="9"/>
    </row>
    <row r="60" spans="1:13" x14ac:dyDescent="0.25">
      <c r="A60" s="6">
        <v>59</v>
      </c>
      <c r="B60" s="11" t="s">
        <v>35</v>
      </c>
      <c r="C60" s="16" t="s">
        <v>36</v>
      </c>
      <c r="D60" s="1" t="s">
        <v>15</v>
      </c>
      <c r="E60" s="1" t="s">
        <v>27</v>
      </c>
      <c r="F60" s="1" t="s">
        <v>17</v>
      </c>
      <c r="G60" s="1" t="s">
        <v>44</v>
      </c>
      <c r="H60" s="1" t="s">
        <v>68</v>
      </c>
      <c r="I60" s="1" t="s">
        <v>38</v>
      </c>
      <c r="J60" s="1" t="s">
        <v>21</v>
      </c>
      <c r="K60" s="1" t="s">
        <v>39</v>
      </c>
      <c r="L60" s="1">
        <v>6</v>
      </c>
      <c r="M60" s="9">
        <v>15</v>
      </c>
    </row>
    <row r="61" spans="1:13" x14ac:dyDescent="0.25">
      <c r="A61" s="6">
        <v>60</v>
      </c>
      <c r="B61" s="11" t="s">
        <v>35</v>
      </c>
      <c r="C61" s="16" t="s">
        <v>36</v>
      </c>
      <c r="D61" s="1" t="s">
        <v>31</v>
      </c>
      <c r="E61" s="1" t="s">
        <v>67</v>
      </c>
      <c r="F61" s="1" t="s">
        <v>24</v>
      </c>
      <c r="G61" s="1" t="s">
        <v>55</v>
      </c>
      <c r="H61" s="1" t="s">
        <v>68</v>
      </c>
      <c r="I61" s="1" t="s">
        <v>40</v>
      </c>
      <c r="J61" s="1" t="s">
        <v>41</v>
      </c>
      <c r="K61" s="1" t="s">
        <v>42</v>
      </c>
      <c r="L61" s="1">
        <v>15</v>
      </c>
      <c r="M61" s="9">
        <v>5</v>
      </c>
    </row>
    <row r="62" spans="1:13" x14ac:dyDescent="0.25">
      <c r="A62" s="6">
        <v>61</v>
      </c>
      <c r="B62" s="11" t="s">
        <v>35</v>
      </c>
      <c r="C62" s="16" t="s">
        <v>36</v>
      </c>
      <c r="D62" s="1" t="s">
        <v>47</v>
      </c>
      <c r="E62" s="1" t="s">
        <v>43</v>
      </c>
      <c r="F62" s="1" t="s">
        <v>24</v>
      </c>
      <c r="G62" s="1" t="s">
        <v>55</v>
      </c>
      <c r="H62" s="1" t="s">
        <v>26</v>
      </c>
      <c r="I62" s="1" t="s">
        <v>49</v>
      </c>
      <c r="J62" s="1" t="s">
        <v>41</v>
      </c>
      <c r="K62" s="1" t="s">
        <v>50</v>
      </c>
      <c r="L62" s="1">
        <v>11</v>
      </c>
      <c r="M62" s="9"/>
    </row>
    <row r="63" spans="1:13" x14ac:dyDescent="0.25">
      <c r="A63" s="6">
        <v>62</v>
      </c>
      <c r="B63" s="11" t="s">
        <v>45</v>
      </c>
      <c r="C63" s="16" t="s">
        <v>46</v>
      </c>
      <c r="D63" s="1" t="s">
        <v>15</v>
      </c>
      <c r="E63" s="1" t="s">
        <v>43</v>
      </c>
      <c r="F63" s="1" t="s">
        <v>24</v>
      </c>
      <c r="G63" s="1" t="s">
        <v>55</v>
      </c>
      <c r="H63" s="1" t="s">
        <v>68</v>
      </c>
      <c r="I63" s="1" t="s">
        <v>51</v>
      </c>
      <c r="J63" s="1" t="s">
        <v>41</v>
      </c>
      <c r="K63" s="1" t="s">
        <v>52</v>
      </c>
      <c r="L63" s="1">
        <v>7</v>
      </c>
      <c r="M63" s="9"/>
    </row>
    <row r="64" spans="1:13" x14ac:dyDescent="0.25">
      <c r="A64" s="6">
        <v>63</v>
      </c>
      <c r="B64" s="11" t="s">
        <v>45</v>
      </c>
      <c r="C64" s="16" t="s">
        <v>46</v>
      </c>
      <c r="D64" s="1" t="s">
        <v>37</v>
      </c>
      <c r="E64" s="1" t="s">
        <v>43</v>
      </c>
      <c r="F64" s="1" t="s">
        <v>17</v>
      </c>
      <c r="G64" s="1" t="s">
        <v>55</v>
      </c>
      <c r="H64" s="1" t="s">
        <v>68</v>
      </c>
      <c r="I64" s="1" t="s">
        <v>53</v>
      </c>
      <c r="J64" s="1" t="s">
        <v>41</v>
      </c>
      <c r="K64" s="1" t="s">
        <v>54</v>
      </c>
      <c r="L64" s="1">
        <v>5</v>
      </c>
      <c r="M64" s="9">
        <v>15</v>
      </c>
    </row>
    <row r="65" spans="1:13" x14ac:dyDescent="0.25">
      <c r="A65" s="6">
        <v>64</v>
      </c>
      <c r="B65" s="11" t="s">
        <v>45</v>
      </c>
      <c r="C65" s="16" t="s">
        <v>46</v>
      </c>
      <c r="D65" s="1" t="s">
        <v>47</v>
      </c>
      <c r="E65" s="1" t="s">
        <v>43</v>
      </c>
      <c r="F65" s="1" t="s">
        <v>17</v>
      </c>
      <c r="G65" s="1" t="s">
        <v>18</v>
      </c>
      <c r="H65" s="1" t="s">
        <v>68</v>
      </c>
      <c r="I65" s="1" t="s">
        <v>56</v>
      </c>
      <c r="J65" s="1" t="s">
        <v>57</v>
      </c>
      <c r="K65" s="1" t="s">
        <v>58</v>
      </c>
      <c r="L65" s="1">
        <v>22</v>
      </c>
      <c r="M65" s="9"/>
    </row>
    <row r="66" spans="1:13" x14ac:dyDescent="0.25">
      <c r="A66" s="6">
        <v>65</v>
      </c>
      <c r="B66" s="11" t="s">
        <v>59</v>
      </c>
      <c r="C66" s="16" t="s">
        <v>60</v>
      </c>
      <c r="D66" s="1" t="s">
        <v>15</v>
      </c>
      <c r="E66" s="1" t="s">
        <v>43</v>
      </c>
      <c r="F66" s="1" t="s">
        <v>24</v>
      </c>
      <c r="G66" s="1" t="s">
        <v>25</v>
      </c>
      <c r="H66" s="1" t="s">
        <v>19</v>
      </c>
      <c r="I66" s="1" t="s">
        <v>61</v>
      </c>
      <c r="J66" s="1" t="s">
        <v>57</v>
      </c>
      <c r="K66" s="1" t="s">
        <v>62</v>
      </c>
      <c r="L66" s="1">
        <v>16</v>
      </c>
      <c r="M66" s="9">
        <v>10</v>
      </c>
    </row>
    <row r="67" spans="1:13" x14ac:dyDescent="0.25">
      <c r="A67" s="6">
        <v>66</v>
      </c>
      <c r="B67" s="11" t="s">
        <v>59</v>
      </c>
      <c r="C67" s="16" t="s">
        <v>60</v>
      </c>
      <c r="D67" s="1" t="s">
        <v>37</v>
      </c>
      <c r="E67" s="1" t="s">
        <v>67</v>
      </c>
      <c r="F67" s="1" t="s">
        <v>32</v>
      </c>
      <c r="G67" s="1" t="s">
        <v>18</v>
      </c>
      <c r="H67" s="1" t="s">
        <v>26</v>
      </c>
      <c r="I67" s="1" t="s">
        <v>63</v>
      </c>
      <c r="J67" s="1" t="s">
        <v>57</v>
      </c>
      <c r="K67" s="1" t="s">
        <v>64</v>
      </c>
      <c r="L67" s="1">
        <v>14</v>
      </c>
      <c r="M67" s="9"/>
    </row>
    <row r="68" spans="1:13" x14ac:dyDescent="0.25">
      <c r="A68" s="6">
        <v>67</v>
      </c>
      <c r="B68" s="11" t="s">
        <v>59</v>
      </c>
      <c r="C68" s="16" t="s">
        <v>60</v>
      </c>
      <c r="D68" s="1" t="s">
        <v>76</v>
      </c>
      <c r="E68" s="1" t="s">
        <v>67</v>
      </c>
      <c r="F68" s="1" t="s">
        <v>17</v>
      </c>
      <c r="G68" s="1" t="s">
        <v>25</v>
      </c>
      <c r="H68" s="1" t="s">
        <v>68</v>
      </c>
      <c r="I68" s="1" t="s">
        <v>65</v>
      </c>
      <c r="J68" s="1" t="s">
        <v>57</v>
      </c>
      <c r="K68" s="1" t="s">
        <v>66</v>
      </c>
      <c r="L68" s="1">
        <v>8</v>
      </c>
      <c r="M68" s="9">
        <v>15</v>
      </c>
    </row>
    <row r="69" spans="1:13" x14ac:dyDescent="0.25">
      <c r="A69" s="6">
        <v>68</v>
      </c>
      <c r="B69" s="11" t="s">
        <v>13</v>
      </c>
      <c r="C69" s="16" t="s">
        <v>14</v>
      </c>
      <c r="D69" s="1" t="s">
        <v>76</v>
      </c>
      <c r="E69" s="1" t="s">
        <v>67</v>
      </c>
      <c r="F69" s="1" t="s">
        <v>48</v>
      </c>
      <c r="G69" s="1" t="s">
        <v>55</v>
      </c>
      <c r="H69" s="1" t="s">
        <v>26</v>
      </c>
      <c r="I69" s="1" t="s">
        <v>69</v>
      </c>
      <c r="J69" s="1" t="s">
        <v>70</v>
      </c>
      <c r="K69" s="1" t="s">
        <v>71</v>
      </c>
      <c r="L69" s="1">
        <v>20</v>
      </c>
      <c r="M69" s="9"/>
    </row>
    <row r="70" spans="1:13" x14ac:dyDescent="0.25">
      <c r="A70" s="6">
        <v>69</v>
      </c>
      <c r="B70" s="11" t="s">
        <v>13</v>
      </c>
      <c r="C70" s="16" t="s">
        <v>14</v>
      </c>
      <c r="D70" s="1" t="s">
        <v>31</v>
      </c>
      <c r="E70" s="1" t="s">
        <v>43</v>
      </c>
      <c r="F70" s="1" t="s">
        <v>24</v>
      </c>
      <c r="G70" s="1" t="s">
        <v>44</v>
      </c>
      <c r="H70" s="1" t="s">
        <v>26</v>
      </c>
      <c r="I70" s="1" t="s">
        <v>72</v>
      </c>
      <c r="J70" s="1" t="s">
        <v>70</v>
      </c>
      <c r="K70" s="1" t="s">
        <v>73</v>
      </c>
      <c r="L70" s="1">
        <v>13</v>
      </c>
      <c r="M70" s="9">
        <v>5</v>
      </c>
    </row>
    <row r="71" spans="1:13" x14ac:dyDescent="0.25">
      <c r="A71" s="6">
        <v>70</v>
      </c>
      <c r="B71" s="11" t="s">
        <v>13</v>
      </c>
      <c r="C71" s="16" t="s">
        <v>14</v>
      </c>
      <c r="D71" s="1" t="s">
        <v>15</v>
      </c>
      <c r="E71" s="1" t="s">
        <v>27</v>
      </c>
      <c r="F71" s="1" t="s">
        <v>24</v>
      </c>
      <c r="G71" s="1" t="s">
        <v>44</v>
      </c>
      <c r="H71" s="1"/>
      <c r="I71" s="1" t="s">
        <v>74</v>
      </c>
      <c r="J71" s="1" t="s">
        <v>70</v>
      </c>
      <c r="K71" s="1" t="s">
        <v>75</v>
      </c>
      <c r="L71" s="1">
        <v>10</v>
      </c>
      <c r="M71" s="9">
        <v>15</v>
      </c>
    </row>
    <row r="72" spans="1:13" x14ac:dyDescent="0.25">
      <c r="A72" s="6">
        <v>71</v>
      </c>
      <c r="B72" s="11" t="s">
        <v>35</v>
      </c>
      <c r="C72" s="16" t="s">
        <v>36</v>
      </c>
      <c r="D72" s="1" t="s">
        <v>15</v>
      </c>
      <c r="E72" s="1" t="s">
        <v>27</v>
      </c>
      <c r="F72" s="1" t="s">
        <v>48</v>
      </c>
      <c r="G72" s="1" t="s">
        <v>18</v>
      </c>
      <c r="H72" s="1" t="s">
        <v>28</v>
      </c>
      <c r="I72" s="1" t="s">
        <v>77</v>
      </c>
      <c r="J72" s="1" t="s">
        <v>70</v>
      </c>
      <c r="K72" s="1" t="s">
        <v>78</v>
      </c>
      <c r="L72" s="1">
        <v>6</v>
      </c>
      <c r="M72" s="9"/>
    </row>
    <row r="73" spans="1:13" x14ac:dyDescent="0.25">
      <c r="A73" s="6">
        <v>72</v>
      </c>
      <c r="B73" s="11" t="s">
        <v>35</v>
      </c>
      <c r="C73" s="16" t="s">
        <v>36</v>
      </c>
      <c r="D73" s="1" t="s">
        <v>23</v>
      </c>
      <c r="E73" s="1" t="s">
        <v>16</v>
      </c>
      <c r="F73" s="1" t="s">
        <v>48</v>
      </c>
      <c r="G73" s="1" t="s">
        <v>25</v>
      </c>
      <c r="H73" s="1" t="s">
        <v>26</v>
      </c>
      <c r="I73" s="1" t="s">
        <v>79</v>
      </c>
      <c r="J73" s="1" t="s">
        <v>80</v>
      </c>
      <c r="K73" s="1" t="s">
        <v>81</v>
      </c>
      <c r="L73" s="1">
        <v>28</v>
      </c>
      <c r="M73" s="9"/>
    </row>
    <row r="74" spans="1:13" x14ac:dyDescent="0.25">
      <c r="A74" s="6">
        <v>73</v>
      </c>
      <c r="B74" s="11" t="s">
        <v>35</v>
      </c>
      <c r="C74" s="16" t="s">
        <v>36</v>
      </c>
      <c r="D74" s="1" t="s">
        <v>37</v>
      </c>
      <c r="E74" s="1" t="s">
        <v>67</v>
      </c>
      <c r="F74" s="1" t="s">
        <v>48</v>
      </c>
      <c r="G74" s="1" t="s">
        <v>44</v>
      </c>
      <c r="H74" s="1" t="s">
        <v>68</v>
      </c>
      <c r="I74" s="1" t="s">
        <v>82</v>
      </c>
      <c r="J74" s="1" t="s">
        <v>80</v>
      </c>
      <c r="K74" s="1" t="s">
        <v>83</v>
      </c>
      <c r="L74" s="1">
        <v>21</v>
      </c>
      <c r="M74" s="9">
        <v>10</v>
      </c>
    </row>
    <row r="75" spans="1:13" x14ac:dyDescent="0.25">
      <c r="A75" s="6">
        <v>74</v>
      </c>
      <c r="B75" s="11" t="s">
        <v>45</v>
      </c>
      <c r="C75" s="16" t="s">
        <v>46</v>
      </c>
      <c r="D75" s="1" t="s">
        <v>15</v>
      </c>
      <c r="E75" s="1" t="s">
        <v>16</v>
      </c>
      <c r="F75" s="1" t="s">
        <v>17</v>
      </c>
      <c r="G75" s="1" t="s">
        <v>18</v>
      </c>
      <c r="H75" s="1" t="s">
        <v>26</v>
      </c>
      <c r="I75" s="1" t="s">
        <v>84</v>
      </c>
      <c r="J75" s="1" t="s">
        <v>80</v>
      </c>
      <c r="K75" s="1" t="s">
        <v>85</v>
      </c>
      <c r="L75" s="1">
        <v>15</v>
      </c>
      <c r="M75" s="9"/>
    </row>
    <row r="76" spans="1:13" x14ac:dyDescent="0.25">
      <c r="A76" s="6">
        <v>75</v>
      </c>
      <c r="B76" s="11" t="s">
        <v>45</v>
      </c>
      <c r="C76" s="16" t="s">
        <v>46</v>
      </c>
      <c r="D76" s="1" t="s">
        <v>47</v>
      </c>
      <c r="E76" s="1" t="s">
        <v>27</v>
      </c>
      <c r="F76" s="1" t="s">
        <v>17</v>
      </c>
      <c r="G76" s="1" t="s">
        <v>25</v>
      </c>
      <c r="H76" s="1" t="s">
        <v>26</v>
      </c>
      <c r="I76" s="1" t="s">
        <v>86</v>
      </c>
      <c r="J76" s="1" t="s">
        <v>80</v>
      </c>
      <c r="K76" s="1" t="s">
        <v>87</v>
      </c>
      <c r="L76" s="1">
        <v>9</v>
      </c>
      <c r="M76" s="9">
        <v>15</v>
      </c>
    </row>
    <row r="77" spans="1:13" x14ac:dyDescent="0.25">
      <c r="A77" s="6">
        <v>76</v>
      </c>
      <c r="B77" s="11" t="s">
        <v>45</v>
      </c>
      <c r="C77" s="16" t="s">
        <v>46</v>
      </c>
      <c r="D77" s="1" t="s">
        <v>47</v>
      </c>
      <c r="E77" s="1" t="s">
        <v>67</v>
      </c>
      <c r="F77" s="1" t="s">
        <v>32</v>
      </c>
      <c r="G77" s="1" t="s">
        <v>55</v>
      </c>
      <c r="H77" s="1" t="s">
        <v>68</v>
      </c>
      <c r="I77" s="1" t="s">
        <v>88</v>
      </c>
      <c r="J77" s="1" t="s">
        <v>89</v>
      </c>
      <c r="K77" s="1" t="s">
        <v>90</v>
      </c>
      <c r="L77" s="1">
        <v>25</v>
      </c>
      <c r="M77" s="9"/>
    </row>
    <row r="78" spans="1:13" x14ac:dyDescent="0.25">
      <c r="A78" s="6">
        <v>77</v>
      </c>
      <c r="B78" s="11" t="s">
        <v>59</v>
      </c>
      <c r="C78" s="16" t="s">
        <v>60</v>
      </c>
      <c r="D78" s="1" t="s">
        <v>23</v>
      </c>
      <c r="E78" s="1" t="s">
        <v>16</v>
      </c>
      <c r="F78" s="1" t="s">
        <v>48</v>
      </c>
      <c r="G78" s="1" t="s">
        <v>25</v>
      </c>
      <c r="H78" s="1" t="s">
        <v>28</v>
      </c>
      <c r="I78" s="1" t="s">
        <v>91</v>
      </c>
      <c r="J78" s="1" t="s">
        <v>89</v>
      </c>
      <c r="K78" s="1" t="s">
        <v>92</v>
      </c>
      <c r="L78" s="1">
        <v>19</v>
      </c>
      <c r="M78" s="9"/>
    </row>
    <row r="79" spans="1:13" x14ac:dyDescent="0.25">
      <c r="A79" s="6">
        <v>78</v>
      </c>
      <c r="B79" s="11" t="s">
        <v>59</v>
      </c>
      <c r="C79" s="16" t="s">
        <v>60</v>
      </c>
      <c r="D79" s="1" t="s">
        <v>37</v>
      </c>
      <c r="E79" s="1" t="s">
        <v>67</v>
      </c>
      <c r="F79" s="1" t="s">
        <v>32</v>
      </c>
      <c r="G79" s="1" t="s">
        <v>18</v>
      </c>
      <c r="H79" s="1" t="s">
        <v>26</v>
      </c>
      <c r="I79" s="1" t="s">
        <v>93</v>
      </c>
      <c r="J79" s="1" t="s">
        <v>89</v>
      </c>
      <c r="K79" s="1" t="s">
        <v>94</v>
      </c>
      <c r="L79" s="1">
        <v>17</v>
      </c>
      <c r="M79" s="9">
        <v>15</v>
      </c>
    </row>
    <row r="80" spans="1:13" x14ac:dyDescent="0.25">
      <c r="A80" s="6">
        <v>79</v>
      </c>
      <c r="B80" s="11" t="s">
        <v>59</v>
      </c>
      <c r="C80" s="16" t="s">
        <v>60</v>
      </c>
      <c r="D80" s="1" t="s">
        <v>76</v>
      </c>
      <c r="E80" s="1" t="s">
        <v>67</v>
      </c>
      <c r="F80" s="1" t="s">
        <v>17</v>
      </c>
      <c r="G80" s="1" t="s">
        <v>44</v>
      </c>
      <c r="H80" s="1" t="s">
        <v>68</v>
      </c>
      <c r="I80" s="1" t="s">
        <v>95</v>
      </c>
      <c r="J80" s="1" t="s">
        <v>89</v>
      </c>
      <c r="K80" s="1" t="s">
        <v>96</v>
      </c>
      <c r="L80" s="1">
        <v>12</v>
      </c>
      <c r="M80" s="9">
        <v>15</v>
      </c>
    </row>
    <row r="81" spans="1:13" x14ac:dyDescent="0.25">
      <c r="A81" s="6">
        <v>80</v>
      </c>
      <c r="B81" s="11" t="s">
        <v>59</v>
      </c>
      <c r="C81" s="16" t="s">
        <v>60</v>
      </c>
      <c r="D81" s="1" t="s">
        <v>37</v>
      </c>
      <c r="E81" s="1" t="s">
        <v>43</v>
      </c>
      <c r="F81" s="1" t="s">
        <v>32</v>
      </c>
      <c r="G81" s="1" t="s">
        <v>44</v>
      </c>
      <c r="H81" s="1" t="s">
        <v>68</v>
      </c>
      <c r="I81" s="1" t="s">
        <v>97</v>
      </c>
      <c r="J81" s="1" t="s">
        <v>98</v>
      </c>
      <c r="K81" s="1" t="s">
        <v>90</v>
      </c>
      <c r="L81" s="1">
        <v>20</v>
      </c>
      <c r="M81" s="9">
        <v>5</v>
      </c>
    </row>
    <row r="82" spans="1:13" x14ac:dyDescent="0.25">
      <c r="A82" s="6">
        <v>81</v>
      </c>
      <c r="B82" s="11" t="s">
        <v>59</v>
      </c>
      <c r="C82" s="16" t="s">
        <v>60</v>
      </c>
      <c r="D82" s="1" t="s">
        <v>31</v>
      </c>
      <c r="E82" s="1" t="s">
        <v>16</v>
      </c>
      <c r="F82" s="1" t="s">
        <v>48</v>
      </c>
      <c r="G82" s="1" t="s">
        <v>18</v>
      </c>
      <c r="H82" s="1" t="s">
        <v>28</v>
      </c>
      <c r="I82" s="1" t="s">
        <v>97</v>
      </c>
      <c r="J82" s="1" t="s">
        <v>98</v>
      </c>
      <c r="K82" s="1" t="s">
        <v>90</v>
      </c>
      <c r="L82" s="1">
        <v>20</v>
      </c>
      <c r="M82" s="9">
        <v>5</v>
      </c>
    </row>
    <row r="83" spans="1:13" x14ac:dyDescent="0.25">
      <c r="A83" s="6">
        <v>82</v>
      </c>
      <c r="B83" s="11" t="s">
        <v>13</v>
      </c>
      <c r="C83" s="16" t="s">
        <v>14</v>
      </c>
      <c r="D83" s="1" t="s">
        <v>76</v>
      </c>
      <c r="E83" s="1" t="s">
        <v>67</v>
      </c>
      <c r="F83" s="1" t="s">
        <v>17</v>
      </c>
      <c r="G83" s="1" t="s">
        <v>44</v>
      </c>
      <c r="H83" s="1" t="s">
        <v>19</v>
      </c>
      <c r="I83" s="1" t="s">
        <v>99</v>
      </c>
      <c r="J83" s="1" t="s">
        <v>98</v>
      </c>
      <c r="K83" s="1" t="s">
        <v>92</v>
      </c>
      <c r="L83" s="1">
        <v>14</v>
      </c>
      <c r="M83" s="9">
        <v>5</v>
      </c>
    </row>
    <row r="84" spans="1:13" x14ac:dyDescent="0.25">
      <c r="A84" s="6">
        <v>83</v>
      </c>
      <c r="B84" s="11" t="s">
        <v>13</v>
      </c>
      <c r="C84" s="16" t="s">
        <v>14</v>
      </c>
      <c r="D84" s="1" t="s">
        <v>23</v>
      </c>
      <c r="E84" s="1" t="s">
        <v>16</v>
      </c>
      <c r="F84" s="1" t="s">
        <v>48</v>
      </c>
      <c r="G84" s="1" t="s">
        <v>18</v>
      </c>
      <c r="H84" s="1" t="s">
        <v>19</v>
      </c>
      <c r="I84" s="1" t="s">
        <v>100</v>
      </c>
      <c r="J84" s="1" t="s">
        <v>98</v>
      </c>
      <c r="K84" s="1" t="s">
        <v>94</v>
      </c>
      <c r="L84" s="1">
        <v>10</v>
      </c>
      <c r="M84" s="9">
        <v>15</v>
      </c>
    </row>
    <row r="85" spans="1:13" x14ac:dyDescent="0.25">
      <c r="A85" s="6">
        <v>84</v>
      </c>
      <c r="B85" s="11" t="s">
        <v>13</v>
      </c>
      <c r="C85" s="16" t="s">
        <v>14</v>
      </c>
      <c r="D85" s="1" t="s">
        <v>37</v>
      </c>
      <c r="E85" s="1" t="s">
        <v>16</v>
      </c>
      <c r="F85" s="1" t="s">
        <v>48</v>
      </c>
      <c r="G85" s="1" t="s">
        <v>25</v>
      </c>
      <c r="H85" s="1" t="s">
        <v>19</v>
      </c>
      <c r="I85" s="1" t="s">
        <v>101</v>
      </c>
      <c r="J85" s="1" t="s">
        <v>98</v>
      </c>
      <c r="K85" s="1" t="s">
        <v>96</v>
      </c>
      <c r="L85" s="1">
        <v>8</v>
      </c>
      <c r="M85" s="9"/>
    </row>
    <row r="86" spans="1:13" x14ac:dyDescent="0.25">
      <c r="A86" s="6">
        <v>85</v>
      </c>
      <c r="B86" s="11" t="s">
        <v>35</v>
      </c>
      <c r="C86" s="16" t="s">
        <v>36</v>
      </c>
      <c r="D86" s="1" t="s">
        <v>37</v>
      </c>
      <c r="E86" s="1" t="s">
        <v>27</v>
      </c>
      <c r="F86" s="1" t="s">
        <v>24</v>
      </c>
      <c r="G86" s="1" t="s">
        <v>44</v>
      </c>
      <c r="H86" s="1" t="s">
        <v>19</v>
      </c>
      <c r="I86" s="1" t="s">
        <v>102</v>
      </c>
      <c r="J86" s="1" t="s">
        <v>103</v>
      </c>
      <c r="K86" s="1" t="s">
        <v>104</v>
      </c>
      <c r="L86" s="1">
        <v>12</v>
      </c>
      <c r="M86" s="9"/>
    </row>
    <row r="87" spans="1:13" x14ac:dyDescent="0.25">
      <c r="A87" s="6">
        <v>86</v>
      </c>
      <c r="B87" s="11" t="s">
        <v>35</v>
      </c>
      <c r="C87" s="16" t="s">
        <v>36</v>
      </c>
      <c r="D87" s="1" t="s">
        <v>37</v>
      </c>
      <c r="E87" s="1" t="s">
        <v>16</v>
      </c>
      <c r="F87" s="1" t="s">
        <v>24</v>
      </c>
      <c r="G87" s="1" t="s">
        <v>25</v>
      </c>
      <c r="H87" s="1" t="s">
        <v>26</v>
      </c>
      <c r="I87" s="1" t="s">
        <v>105</v>
      </c>
      <c r="J87" s="1" t="s">
        <v>103</v>
      </c>
      <c r="K87" s="1" t="s">
        <v>106</v>
      </c>
      <c r="L87" s="1">
        <v>9</v>
      </c>
      <c r="M87" s="9"/>
    </row>
    <row r="88" spans="1:13" x14ac:dyDescent="0.25">
      <c r="A88" s="6">
        <v>87</v>
      </c>
      <c r="B88" s="11" t="s">
        <v>35</v>
      </c>
      <c r="C88" s="16" t="s">
        <v>36</v>
      </c>
      <c r="D88" s="1" t="s">
        <v>76</v>
      </c>
      <c r="E88" s="1" t="s">
        <v>67</v>
      </c>
      <c r="F88" s="1" t="s">
        <v>32</v>
      </c>
      <c r="G88" s="1" t="s">
        <v>44</v>
      </c>
      <c r="H88" s="1" t="s">
        <v>26</v>
      </c>
      <c r="I88" s="1" t="s">
        <v>107</v>
      </c>
      <c r="J88" s="1" t="s">
        <v>103</v>
      </c>
      <c r="K88" s="1" t="s">
        <v>108</v>
      </c>
      <c r="L88" s="1">
        <v>7</v>
      </c>
      <c r="M88" s="9">
        <v>15</v>
      </c>
    </row>
    <row r="89" spans="1:13" x14ac:dyDescent="0.25">
      <c r="A89" s="6">
        <v>88</v>
      </c>
      <c r="B89" s="11" t="s">
        <v>45</v>
      </c>
      <c r="C89" s="16" t="s">
        <v>46</v>
      </c>
      <c r="D89" s="1" t="s">
        <v>37</v>
      </c>
      <c r="E89" s="1" t="s">
        <v>16</v>
      </c>
      <c r="F89" s="1" t="s">
        <v>32</v>
      </c>
      <c r="G89" s="1" t="s">
        <v>25</v>
      </c>
      <c r="H89" s="1" t="s">
        <v>19</v>
      </c>
      <c r="I89" s="1" t="s">
        <v>109</v>
      </c>
      <c r="J89" s="1" t="s">
        <v>103</v>
      </c>
      <c r="K89" s="1" t="s">
        <v>110</v>
      </c>
      <c r="L89" s="1">
        <v>5</v>
      </c>
      <c r="M89" s="9">
        <v>15</v>
      </c>
    </row>
    <row r="90" spans="1:13" x14ac:dyDescent="0.25">
      <c r="A90" s="6">
        <v>89</v>
      </c>
      <c r="B90" s="11" t="s">
        <v>45</v>
      </c>
      <c r="C90" s="16" t="s">
        <v>46</v>
      </c>
      <c r="D90" s="1" t="s">
        <v>37</v>
      </c>
      <c r="E90" s="1" t="s">
        <v>16</v>
      </c>
      <c r="F90" s="1" t="s">
        <v>32</v>
      </c>
      <c r="G90" s="1" t="s">
        <v>44</v>
      </c>
      <c r="H90" s="1" t="s">
        <v>28</v>
      </c>
      <c r="I90" s="1" t="s">
        <v>111</v>
      </c>
      <c r="J90" s="1" t="s">
        <v>112</v>
      </c>
      <c r="K90" s="1" t="s">
        <v>113</v>
      </c>
      <c r="L90" s="1">
        <v>16</v>
      </c>
      <c r="M90" s="9">
        <v>5</v>
      </c>
    </row>
    <row r="91" spans="1:13" x14ac:dyDescent="0.25">
      <c r="A91" s="6">
        <v>90</v>
      </c>
      <c r="B91" s="11" t="s">
        <v>45</v>
      </c>
      <c r="C91" s="16" t="s">
        <v>46</v>
      </c>
      <c r="D91" s="1" t="s">
        <v>76</v>
      </c>
      <c r="E91" s="1" t="s">
        <v>67</v>
      </c>
      <c r="F91" s="1" t="s">
        <v>17</v>
      </c>
      <c r="G91" s="1" t="s">
        <v>55</v>
      </c>
      <c r="H91" s="1" t="s">
        <v>26</v>
      </c>
      <c r="I91" s="1" t="s">
        <v>114</v>
      </c>
      <c r="J91" s="1" t="s">
        <v>112</v>
      </c>
      <c r="K91" s="1" t="s">
        <v>115</v>
      </c>
      <c r="L91" s="1">
        <v>13</v>
      </c>
      <c r="M91" s="9">
        <v>5</v>
      </c>
    </row>
    <row r="92" spans="1:13" x14ac:dyDescent="0.25">
      <c r="A92" s="6">
        <v>91</v>
      </c>
      <c r="B92" s="11" t="s">
        <v>59</v>
      </c>
      <c r="C92" s="16" t="s">
        <v>60</v>
      </c>
      <c r="D92" s="1" t="s">
        <v>76</v>
      </c>
      <c r="E92" s="1" t="s">
        <v>27</v>
      </c>
      <c r="F92" s="1" t="s">
        <v>24</v>
      </c>
      <c r="G92" s="1" t="s">
        <v>18</v>
      </c>
      <c r="H92" s="1" t="s">
        <v>26</v>
      </c>
      <c r="I92" s="1" t="s">
        <v>116</v>
      </c>
      <c r="J92" s="1" t="s">
        <v>112</v>
      </c>
      <c r="K92" s="1" t="s">
        <v>117</v>
      </c>
      <c r="L92" s="1">
        <v>11</v>
      </c>
      <c r="M92" s="9"/>
    </row>
    <row r="93" spans="1:13" x14ac:dyDescent="0.25">
      <c r="A93" s="6">
        <v>92</v>
      </c>
      <c r="B93" s="11" t="s">
        <v>59</v>
      </c>
      <c r="C93" s="16" t="s">
        <v>60</v>
      </c>
      <c r="D93" s="1" t="s">
        <v>23</v>
      </c>
      <c r="E93" s="1" t="s">
        <v>43</v>
      </c>
      <c r="F93" s="1" t="s">
        <v>17</v>
      </c>
      <c r="G93" s="1" t="s">
        <v>55</v>
      </c>
      <c r="H93" s="1"/>
      <c r="I93" s="1" t="s">
        <v>118</v>
      </c>
      <c r="J93" s="1" t="s">
        <v>112</v>
      </c>
      <c r="K93" s="1" t="s">
        <v>119</v>
      </c>
      <c r="L93" s="1">
        <v>6</v>
      </c>
      <c r="M93" s="9">
        <v>5</v>
      </c>
    </row>
    <row r="94" spans="1:13" x14ac:dyDescent="0.25">
      <c r="A94" s="6">
        <v>93</v>
      </c>
      <c r="B94" s="11" t="s">
        <v>59</v>
      </c>
      <c r="C94" s="16" t="s">
        <v>60</v>
      </c>
      <c r="D94" s="1" t="s">
        <v>15</v>
      </c>
      <c r="E94" s="1" t="s">
        <v>67</v>
      </c>
      <c r="F94" s="1" t="s">
        <v>48</v>
      </c>
      <c r="G94" s="1" t="s">
        <v>44</v>
      </c>
      <c r="H94" s="1" t="s">
        <v>28</v>
      </c>
      <c r="I94" s="1" t="s">
        <v>120</v>
      </c>
      <c r="J94" s="1" t="s">
        <v>121</v>
      </c>
      <c r="K94" s="1" t="s">
        <v>122</v>
      </c>
      <c r="L94" s="1">
        <v>14</v>
      </c>
      <c r="M94" s="9">
        <v>10</v>
      </c>
    </row>
    <row r="95" spans="1:13" x14ac:dyDescent="0.25">
      <c r="A95" s="6">
        <v>94</v>
      </c>
      <c r="B95" s="11" t="s">
        <v>13</v>
      </c>
      <c r="C95" s="16" t="s">
        <v>14</v>
      </c>
      <c r="D95" s="1" t="s">
        <v>37</v>
      </c>
      <c r="E95" s="1" t="s">
        <v>43</v>
      </c>
      <c r="F95" s="1" t="s">
        <v>17</v>
      </c>
      <c r="G95" s="1" t="s">
        <v>25</v>
      </c>
      <c r="H95" s="1" t="s">
        <v>28</v>
      </c>
      <c r="I95" s="1" t="s">
        <v>123</v>
      </c>
      <c r="J95" s="1" t="s">
        <v>121</v>
      </c>
      <c r="K95" s="1" t="s">
        <v>124</v>
      </c>
      <c r="L95" s="1">
        <v>10</v>
      </c>
      <c r="M95" s="9">
        <v>15</v>
      </c>
    </row>
    <row r="96" spans="1:13" x14ac:dyDescent="0.25">
      <c r="A96" s="6">
        <v>95</v>
      </c>
      <c r="B96" s="11" t="s">
        <v>13</v>
      </c>
      <c r="C96" s="16" t="s">
        <v>14</v>
      </c>
      <c r="D96" s="1" t="s">
        <v>47</v>
      </c>
      <c r="E96" s="1" t="s">
        <v>16</v>
      </c>
      <c r="F96" s="1" t="s">
        <v>17</v>
      </c>
      <c r="G96" s="1" t="s">
        <v>55</v>
      </c>
      <c r="H96" s="1" t="s">
        <v>26</v>
      </c>
      <c r="I96" s="1" t="s">
        <v>125</v>
      </c>
      <c r="J96" s="1" t="s">
        <v>121</v>
      </c>
      <c r="K96" s="1" t="s">
        <v>126</v>
      </c>
      <c r="L96" s="1">
        <v>7</v>
      </c>
      <c r="M96" s="9"/>
    </row>
    <row r="97" spans="1:13" x14ac:dyDescent="0.25">
      <c r="A97" s="6">
        <v>96</v>
      </c>
      <c r="B97" s="11" t="s">
        <v>13</v>
      </c>
      <c r="C97" s="16" t="s">
        <v>14</v>
      </c>
      <c r="D97" s="1" t="s">
        <v>23</v>
      </c>
      <c r="E97" s="1" t="s">
        <v>16</v>
      </c>
      <c r="F97" s="1" t="s">
        <v>17</v>
      </c>
      <c r="G97" s="1" t="s">
        <v>25</v>
      </c>
      <c r="H97" s="1" t="s">
        <v>68</v>
      </c>
      <c r="I97" s="1" t="s">
        <v>127</v>
      </c>
      <c r="J97" s="1" t="s">
        <v>121</v>
      </c>
      <c r="K97" s="1" t="s">
        <v>128</v>
      </c>
      <c r="L97" s="1">
        <v>5</v>
      </c>
      <c r="M97" s="9">
        <v>10</v>
      </c>
    </row>
    <row r="98" spans="1:13" x14ac:dyDescent="0.25">
      <c r="A98" s="6">
        <v>97</v>
      </c>
      <c r="B98" s="11" t="s">
        <v>13</v>
      </c>
      <c r="C98" s="16" t="s">
        <v>14</v>
      </c>
      <c r="D98" s="1" t="s">
        <v>31</v>
      </c>
      <c r="E98" s="1" t="s">
        <v>67</v>
      </c>
      <c r="F98" s="1" t="s">
        <v>17</v>
      </c>
      <c r="G98" s="1" t="s">
        <v>44</v>
      </c>
      <c r="H98" s="1" t="s">
        <v>28</v>
      </c>
      <c r="I98" s="1" t="s">
        <v>129</v>
      </c>
      <c r="J98" s="1" t="s">
        <v>130</v>
      </c>
      <c r="K98" s="1" t="s">
        <v>131</v>
      </c>
      <c r="L98" s="1">
        <v>19</v>
      </c>
      <c r="M98" s="9"/>
    </row>
    <row r="99" spans="1:13" x14ac:dyDescent="0.25">
      <c r="A99" s="6">
        <v>98</v>
      </c>
      <c r="B99" s="11" t="s">
        <v>35</v>
      </c>
      <c r="C99" s="16" t="s">
        <v>36</v>
      </c>
      <c r="D99" s="1" t="s">
        <v>23</v>
      </c>
      <c r="E99" s="1" t="s">
        <v>16</v>
      </c>
      <c r="F99" s="1" t="s">
        <v>32</v>
      </c>
      <c r="G99" s="1" t="s">
        <v>18</v>
      </c>
      <c r="H99" s="1" t="s">
        <v>68</v>
      </c>
      <c r="I99" s="1" t="s">
        <v>132</v>
      </c>
      <c r="J99" s="1" t="s">
        <v>130</v>
      </c>
      <c r="K99" s="1" t="s">
        <v>133</v>
      </c>
      <c r="L99" s="1">
        <v>15</v>
      </c>
      <c r="M99" s="9">
        <v>15</v>
      </c>
    </row>
    <row r="100" spans="1:13" x14ac:dyDescent="0.25">
      <c r="A100" s="6">
        <v>99</v>
      </c>
      <c r="B100" s="11" t="s">
        <v>35</v>
      </c>
      <c r="C100" s="16" t="s">
        <v>36</v>
      </c>
      <c r="D100" s="1" t="s">
        <v>15</v>
      </c>
      <c r="E100" s="1" t="s">
        <v>67</v>
      </c>
      <c r="F100" s="1" t="s">
        <v>17</v>
      </c>
      <c r="G100" s="1" t="s">
        <v>18</v>
      </c>
      <c r="H100" s="1" t="s">
        <v>28</v>
      </c>
      <c r="I100" s="1" t="s">
        <v>132</v>
      </c>
      <c r="J100" s="1" t="s">
        <v>130</v>
      </c>
      <c r="K100" s="1" t="s">
        <v>133</v>
      </c>
      <c r="L100" s="1">
        <v>15</v>
      </c>
      <c r="M100" s="9">
        <v>10</v>
      </c>
    </row>
    <row r="101" spans="1:13" x14ac:dyDescent="0.25">
      <c r="A101" s="6">
        <v>100</v>
      </c>
      <c r="B101" s="11" t="s">
        <v>35</v>
      </c>
      <c r="C101" s="16" t="s">
        <v>36</v>
      </c>
      <c r="D101" s="1" t="s">
        <v>31</v>
      </c>
      <c r="E101" s="1" t="s">
        <v>16</v>
      </c>
      <c r="F101" s="1" t="s">
        <v>32</v>
      </c>
      <c r="G101" s="1" t="s">
        <v>55</v>
      </c>
      <c r="H101" s="1" t="s">
        <v>26</v>
      </c>
      <c r="I101" s="1" t="s">
        <v>134</v>
      </c>
      <c r="J101" s="1" t="s">
        <v>130</v>
      </c>
      <c r="K101" s="1" t="s">
        <v>135</v>
      </c>
      <c r="L101" s="1">
        <v>11</v>
      </c>
      <c r="M101" s="9">
        <v>10</v>
      </c>
    </row>
    <row r="102" spans="1:13" x14ac:dyDescent="0.25">
      <c r="A102" s="6">
        <v>101</v>
      </c>
      <c r="B102" s="11" t="s">
        <v>45</v>
      </c>
      <c r="C102" s="16" t="s">
        <v>46</v>
      </c>
      <c r="D102" s="1" t="s">
        <v>37</v>
      </c>
      <c r="E102" s="1" t="s">
        <v>16</v>
      </c>
      <c r="F102" s="1" t="s">
        <v>48</v>
      </c>
      <c r="G102" s="1" t="s">
        <v>55</v>
      </c>
      <c r="H102" s="1" t="s">
        <v>28</v>
      </c>
      <c r="I102" s="1" t="s">
        <v>136</v>
      </c>
      <c r="J102" s="1" t="s">
        <v>130</v>
      </c>
      <c r="K102" s="1" t="s">
        <v>137</v>
      </c>
      <c r="L102" s="1">
        <v>8</v>
      </c>
      <c r="M102" s="9">
        <v>15</v>
      </c>
    </row>
    <row r="103" spans="1:13" x14ac:dyDescent="0.25">
      <c r="A103" s="6">
        <v>102</v>
      </c>
      <c r="B103" s="11" t="s">
        <v>45</v>
      </c>
      <c r="C103" s="16" t="s">
        <v>46</v>
      </c>
      <c r="D103" s="1" t="s">
        <v>15</v>
      </c>
      <c r="E103" s="1" t="s">
        <v>16</v>
      </c>
      <c r="F103" s="1" t="s">
        <v>17</v>
      </c>
      <c r="G103" s="1" t="s">
        <v>55</v>
      </c>
      <c r="H103" s="1" t="s">
        <v>68</v>
      </c>
      <c r="I103" s="1" t="s">
        <v>138</v>
      </c>
      <c r="J103" s="1" t="s">
        <v>139</v>
      </c>
      <c r="K103" s="1" t="s">
        <v>140</v>
      </c>
      <c r="L103" s="1">
        <v>20</v>
      </c>
      <c r="M103" s="9">
        <v>5</v>
      </c>
    </row>
    <row r="104" spans="1:13" x14ac:dyDescent="0.25">
      <c r="A104" s="6">
        <v>103</v>
      </c>
      <c r="B104" s="11" t="s">
        <v>45</v>
      </c>
      <c r="C104" s="16" t="s">
        <v>46</v>
      </c>
      <c r="D104" s="1" t="s">
        <v>23</v>
      </c>
      <c r="E104" s="1" t="s">
        <v>16</v>
      </c>
      <c r="F104" s="1" t="s">
        <v>17</v>
      </c>
      <c r="G104" s="1" t="s">
        <v>44</v>
      </c>
      <c r="H104" s="1" t="s">
        <v>19</v>
      </c>
      <c r="I104" s="1" t="s">
        <v>141</v>
      </c>
      <c r="J104" s="1" t="s">
        <v>139</v>
      </c>
      <c r="K104" s="1" t="s">
        <v>142</v>
      </c>
      <c r="L104" s="1">
        <v>15</v>
      </c>
      <c r="M104" s="9"/>
    </row>
    <row r="105" spans="1:13" x14ac:dyDescent="0.25">
      <c r="A105" s="6">
        <v>104</v>
      </c>
      <c r="B105" s="11" t="s">
        <v>45</v>
      </c>
      <c r="C105" s="16" t="s">
        <v>46</v>
      </c>
      <c r="D105" s="1" t="s">
        <v>31</v>
      </c>
      <c r="E105" s="1" t="s">
        <v>43</v>
      </c>
      <c r="F105" s="1" t="s">
        <v>48</v>
      </c>
      <c r="G105" s="1" t="s">
        <v>44</v>
      </c>
      <c r="H105" s="1" t="s">
        <v>68</v>
      </c>
      <c r="I105" s="1" t="s">
        <v>143</v>
      </c>
      <c r="J105" s="1" t="s">
        <v>139</v>
      </c>
      <c r="K105" s="1" t="s">
        <v>144</v>
      </c>
      <c r="L105" s="1">
        <v>12</v>
      </c>
      <c r="M105" s="9"/>
    </row>
    <row r="106" spans="1:13" x14ac:dyDescent="0.25">
      <c r="A106" s="6">
        <v>105</v>
      </c>
      <c r="B106" s="11" t="s">
        <v>59</v>
      </c>
      <c r="C106" s="16" t="s">
        <v>60</v>
      </c>
      <c r="D106" s="1" t="s">
        <v>76</v>
      </c>
      <c r="E106" s="1" t="s">
        <v>67</v>
      </c>
      <c r="F106" s="1" t="s">
        <v>32</v>
      </c>
      <c r="G106" s="1" t="s">
        <v>25</v>
      </c>
      <c r="H106" s="1" t="s">
        <v>26</v>
      </c>
      <c r="I106" s="1" t="s">
        <v>145</v>
      </c>
      <c r="J106" s="1" t="s">
        <v>139</v>
      </c>
      <c r="K106" s="1" t="s">
        <v>146</v>
      </c>
      <c r="L106" s="1">
        <v>10</v>
      </c>
      <c r="M106" s="9">
        <v>15</v>
      </c>
    </row>
    <row r="107" spans="1:13" x14ac:dyDescent="0.25">
      <c r="A107" s="6">
        <v>106</v>
      </c>
      <c r="B107" s="11" t="s">
        <v>59</v>
      </c>
      <c r="C107" s="16" t="s">
        <v>60</v>
      </c>
      <c r="D107" s="1" t="s">
        <v>47</v>
      </c>
      <c r="E107" s="1" t="s">
        <v>16</v>
      </c>
      <c r="F107" s="1" t="s">
        <v>32</v>
      </c>
      <c r="G107" s="1" t="s">
        <v>44</v>
      </c>
      <c r="H107" s="1" t="s">
        <v>28</v>
      </c>
      <c r="I107" s="1" t="s">
        <v>20</v>
      </c>
      <c r="J107" s="1" t="s">
        <v>21</v>
      </c>
      <c r="K107" s="1" t="s">
        <v>22</v>
      </c>
      <c r="L107" s="1">
        <v>18</v>
      </c>
      <c r="M107" s="9">
        <v>10</v>
      </c>
    </row>
    <row r="108" spans="1:13" x14ac:dyDescent="0.25">
      <c r="A108" s="6">
        <v>107</v>
      </c>
      <c r="B108" s="11" t="s">
        <v>59</v>
      </c>
      <c r="C108" s="16" t="s">
        <v>60</v>
      </c>
      <c r="D108" s="1" t="s">
        <v>31</v>
      </c>
      <c r="E108" s="1" t="s">
        <v>27</v>
      </c>
      <c r="F108" s="1" t="s">
        <v>32</v>
      </c>
      <c r="G108" s="1" t="s">
        <v>25</v>
      </c>
      <c r="H108" s="1" t="s">
        <v>28</v>
      </c>
      <c r="I108" s="1" t="s">
        <v>29</v>
      </c>
      <c r="J108" s="1" t="s">
        <v>21</v>
      </c>
      <c r="K108" s="1" t="s">
        <v>30</v>
      </c>
      <c r="L108" s="1">
        <v>14</v>
      </c>
      <c r="M108" s="9"/>
    </row>
    <row r="109" spans="1:13" x14ac:dyDescent="0.25">
      <c r="A109" s="6">
        <v>108</v>
      </c>
      <c r="B109" s="11" t="s">
        <v>13</v>
      </c>
      <c r="C109" s="16" t="s">
        <v>14</v>
      </c>
      <c r="D109" s="1" t="s">
        <v>15</v>
      </c>
      <c r="E109" s="1" t="s">
        <v>16</v>
      </c>
      <c r="F109" s="1" t="s">
        <v>48</v>
      </c>
      <c r="G109" s="1" t="s">
        <v>25</v>
      </c>
      <c r="H109" s="1" t="s">
        <v>68</v>
      </c>
      <c r="I109" s="1" t="s">
        <v>33</v>
      </c>
      <c r="J109" s="1" t="s">
        <v>21</v>
      </c>
      <c r="K109" s="1" t="s">
        <v>34</v>
      </c>
      <c r="L109" s="1">
        <v>9</v>
      </c>
      <c r="M109" s="9">
        <v>15</v>
      </c>
    </row>
    <row r="110" spans="1:13" x14ac:dyDescent="0.25">
      <c r="A110" s="6">
        <v>109</v>
      </c>
      <c r="B110" s="11" t="s">
        <v>13</v>
      </c>
      <c r="C110" s="16" t="s">
        <v>14</v>
      </c>
      <c r="D110" s="1" t="s">
        <v>76</v>
      </c>
      <c r="E110" s="1" t="s">
        <v>43</v>
      </c>
      <c r="F110" s="1" t="s">
        <v>17</v>
      </c>
      <c r="G110" s="1" t="s">
        <v>25</v>
      </c>
      <c r="H110" s="1" t="s">
        <v>68</v>
      </c>
      <c r="I110" s="1" t="s">
        <v>38</v>
      </c>
      <c r="J110" s="1" t="s">
        <v>21</v>
      </c>
      <c r="K110" s="1" t="s">
        <v>39</v>
      </c>
      <c r="L110" s="1">
        <v>6</v>
      </c>
      <c r="M110" s="9">
        <v>15</v>
      </c>
    </row>
    <row r="111" spans="1:13" x14ac:dyDescent="0.25">
      <c r="A111" s="6">
        <v>110</v>
      </c>
      <c r="B111" s="11" t="s">
        <v>13</v>
      </c>
      <c r="C111" s="16" t="s">
        <v>14</v>
      </c>
      <c r="D111" s="1" t="s">
        <v>37</v>
      </c>
      <c r="E111" s="1" t="s">
        <v>16</v>
      </c>
      <c r="F111" s="1" t="s">
        <v>17</v>
      </c>
      <c r="G111" s="1" t="s">
        <v>44</v>
      </c>
      <c r="H111" s="1" t="s">
        <v>28</v>
      </c>
      <c r="I111" s="1" t="s">
        <v>40</v>
      </c>
      <c r="J111" s="1" t="s">
        <v>41</v>
      </c>
      <c r="K111" s="1" t="s">
        <v>42</v>
      </c>
      <c r="L111" s="1">
        <v>25</v>
      </c>
      <c r="M111" s="9">
        <v>10</v>
      </c>
    </row>
    <row r="112" spans="1:13" x14ac:dyDescent="0.25">
      <c r="A112" s="6">
        <v>111</v>
      </c>
      <c r="B112" s="11" t="s">
        <v>35</v>
      </c>
      <c r="C112" s="16" t="s">
        <v>36</v>
      </c>
      <c r="D112" s="1" t="s">
        <v>31</v>
      </c>
      <c r="E112" s="1" t="s">
        <v>16</v>
      </c>
      <c r="F112" s="1" t="s">
        <v>32</v>
      </c>
      <c r="G112" s="1" t="s">
        <v>55</v>
      </c>
      <c r="H112" s="1" t="s">
        <v>19</v>
      </c>
      <c r="I112" s="1" t="s">
        <v>49</v>
      </c>
      <c r="J112" s="1" t="s">
        <v>41</v>
      </c>
      <c r="K112" s="1" t="s">
        <v>50</v>
      </c>
      <c r="L112" s="1">
        <v>17</v>
      </c>
      <c r="M112" s="9"/>
    </row>
    <row r="113" spans="1:13" x14ac:dyDescent="0.25">
      <c r="A113" s="6">
        <v>112</v>
      </c>
      <c r="B113" s="11" t="s">
        <v>35</v>
      </c>
      <c r="C113" s="16" t="s">
        <v>36</v>
      </c>
      <c r="D113" s="1" t="s">
        <v>76</v>
      </c>
      <c r="E113" s="1" t="s">
        <v>43</v>
      </c>
      <c r="F113" s="1" t="s">
        <v>17</v>
      </c>
      <c r="G113" s="1" t="s">
        <v>25</v>
      </c>
      <c r="H113" s="1" t="s">
        <v>19</v>
      </c>
      <c r="I113" s="1" t="s">
        <v>51</v>
      </c>
      <c r="J113" s="1" t="s">
        <v>41</v>
      </c>
      <c r="K113" s="1" t="s">
        <v>52</v>
      </c>
      <c r="L113" s="1">
        <v>13</v>
      </c>
      <c r="M113" s="9">
        <v>15</v>
      </c>
    </row>
    <row r="114" spans="1:13" x14ac:dyDescent="0.25">
      <c r="A114" s="6">
        <v>113</v>
      </c>
      <c r="B114" s="11" t="s">
        <v>35</v>
      </c>
      <c r="C114" s="16" t="s">
        <v>36</v>
      </c>
      <c r="D114" s="1" t="s">
        <v>15</v>
      </c>
      <c r="E114" s="1" t="s">
        <v>43</v>
      </c>
      <c r="F114" s="1" t="s">
        <v>17</v>
      </c>
      <c r="G114" s="1" t="s">
        <v>55</v>
      </c>
      <c r="H114" s="1" t="s">
        <v>19</v>
      </c>
      <c r="I114" s="1" t="s">
        <v>53</v>
      </c>
      <c r="J114" s="1" t="s">
        <v>41</v>
      </c>
      <c r="K114" s="1" t="s">
        <v>54</v>
      </c>
      <c r="L114" s="1">
        <v>8</v>
      </c>
      <c r="M114" s="9">
        <v>5</v>
      </c>
    </row>
    <row r="115" spans="1:13" x14ac:dyDescent="0.25">
      <c r="A115" s="6">
        <v>114</v>
      </c>
      <c r="B115" s="11" t="s">
        <v>45</v>
      </c>
      <c r="C115" s="16" t="s">
        <v>46</v>
      </c>
      <c r="D115" s="1" t="s">
        <v>31</v>
      </c>
      <c r="E115" s="1" t="s">
        <v>67</v>
      </c>
      <c r="F115" s="1" t="s">
        <v>17</v>
      </c>
      <c r="G115" s="1" t="s">
        <v>18</v>
      </c>
      <c r="H115" s="1" t="s">
        <v>68</v>
      </c>
      <c r="I115" s="1" t="s">
        <v>56</v>
      </c>
      <c r="J115" s="1" t="s">
        <v>57</v>
      </c>
      <c r="K115" s="1" t="s">
        <v>58</v>
      </c>
      <c r="L115" s="1">
        <v>22</v>
      </c>
      <c r="M115" s="9">
        <v>10</v>
      </c>
    </row>
    <row r="116" spans="1:13" x14ac:dyDescent="0.25">
      <c r="A116" s="6">
        <v>115</v>
      </c>
      <c r="B116" s="11" t="s">
        <v>45</v>
      </c>
      <c r="C116" s="16" t="s">
        <v>46</v>
      </c>
      <c r="D116" s="1" t="s">
        <v>37</v>
      </c>
      <c r="E116" s="1" t="s">
        <v>43</v>
      </c>
      <c r="F116" s="1" t="s">
        <v>24</v>
      </c>
      <c r="G116" s="1" t="s">
        <v>25</v>
      </c>
      <c r="H116" s="1" t="s">
        <v>68</v>
      </c>
      <c r="I116" s="1" t="s">
        <v>61</v>
      </c>
      <c r="J116" s="1" t="s">
        <v>57</v>
      </c>
      <c r="K116" s="1" t="s">
        <v>62</v>
      </c>
      <c r="L116" s="1">
        <v>16</v>
      </c>
      <c r="M116" s="9">
        <v>5</v>
      </c>
    </row>
    <row r="117" spans="1:13" x14ac:dyDescent="0.25">
      <c r="A117" s="6">
        <v>116</v>
      </c>
      <c r="B117" s="11" t="s">
        <v>45</v>
      </c>
      <c r="C117" s="16" t="s">
        <v>46</v>
      </c>
      <c r="D117" s="1" t="s">
        <v>47</v>
      </c>
      <c r="E117" s="1" t="s">
        <v>67</v>
      </c>
      <c r="F117" s="1" t="s">
        <v>32</v>
      </c>
      <c r="G117" s="1" t="s">
        <v>44</v>
      </c>
      <c r="H117" s="1" t="s">
        <v>26</v>
      </c>
      <c r="I117" s="1" t="s">
        <v>63</v>
      </c>
      <c r="J117" s="1" t="s">
        <v>57</v>
      </c>
      <c r="K117" s="1" t="s">
        <v>64</v>
      </c>
      <c r="L117" s="1">
        <v>11</v>
      </c>
      <c r="M117" s="9">
        <v>10</v>
      </c>
    </row>
    <row r="118" spans="1:13" x14ac:dyDescent="0.25">
      <c r="A118" s="6">
        <v>117</v>
      </c>
      <c r="B118" s="11" t="s">
        <v>45</v>
      </c>
      <c r="C118" s="16" t="s">
        <v>46</v>
      </c>
      <c r="D118" s="1" t="s">
        <v>31</v>
      </c>
      <c r="E118" s="1" t="s">
        <v>43</v>
      </c>
      <c r="F118" s="1" t="s">
        <v>17</v>
      </c>
      <c r="G118" s="1" t="s">
        <v>55</v>
      </c>
      <c r="H118" s="1" t="s">
        <v>68</v>
      </c>
      <c r="I118" s="1" t="s">
        <v>65</v>
      </c>
      <c r="J118" s="1" t="s">
        <v>57</v>
      </c>
      <c r="K118" s="1" t="s">
        <v>66</v>
      </c>
      <c r="L118" s="1">
        <v>7</v>
      </c>
      <c r="M118" s="9"/>
    </row>
    <row r="119" spans="1:13" x14ac:dyDescent="0.25">
      <c r="A119" s="6">
        <v>118</v>
      </c>
      <c r="B119" s="11" t="s">
        <v>59</v>
      </c>
      <c r="C119" s="16" t="s">
        <v>60</v>
      </c>
      <c r="D119" s="1" t="s">
        <v>47</v>
      </c>
      <c r="E119" s="1" t="s">
        <v>67</v>
      </c>
      <c r="F119" s="1" t="s">
        <v>48</v>
      </c>
      <c r="G119" s="1" t="s">
        <v>55</v>
      </c>
      <c r="H119" s="1" t="s">
        <v>28</v>
      </c>
      <c r="I119" s="1" t="s">
        <v>65</v>
      </c>
      <c r="J119" s="1" t="s">
        <v>57</v>
      </c>
      <c r="K119" s="1" t="s">
        <v>66</v>
      </c>
      <c r="L119" s="1">
        <v>7</v>
      </c>
      <c r="M119" s="9">
        <v>10</v>
      </c>
    </row>
    <row r="120" spans="1:13" x14ac:dyDescent="0.25">
      <c r="A120" s="6">
        <v>119</v>
      </c>
      <c r="B120" s="11" t="s">
        <v>59</v>
      </c>
      <c r="C120" s="16" t="s">
        <v>60</v>
      </c>
      <c r="D120" s="1" t="s">
        <v>76</v>
      </c>
      <c r="E120" s="1" t="s">
        <v>27</v>
      </c>
      <c r="F120" s="1" t="s">
        <v>32</v>
      </c>
      <c r="G120" s="1" t="s">
        <v>25</v>
      </c>
      <c r="H120" s="1" t="s">
        <v>26</v>
      </c>
      <c r="I120" s="1" t="s">
        <v>69</v>
      </c>
      <c r="J120" s="1" t="s">
        <v>70</v>
      </c>
      <c r="K120" s="1" t="s">
        <v>71</v>
      </c>
      <c r="L120" s="1">
        <v>19</v>
      </c>
      <c r="M120" s="9"/>
    </row>
    <row r="121" spans="1:13" x14ac:dyDescent="0.25">
      <c r="A121" s="6">
        <v>120</v>
      </c>
      <c r="B121" s="11" t="s">
        <v>59</v>
      </c>
      <c r="C121" s="16" t="s">
        <v>60</v>
      </c>
      <c r="D121" s="1" t="s">
        <v>31</v>
      </c>
      <c r="E121" s="1" t="s">
        <v>27</v>
      </c>
      <c r="F121" s="1" t="s">
        <v>24</v>
      </c>
      <c r="G121" s="1" t="s">
        <v>25</v>
      </c>
      <c r="H121" s="1" t="s">
        <v>68</v>
      </c>
      <c r="I121" s="1" t="s">
        <v>72</v>
      </c>
      <c r="J121" s="1" t="s">
        <v>70</v>
      </c>
      <c r="K121" s="1" t="s">
        <v>73</v>
      </c>
      <c r="L121" s="1">
        <v>12</v>
      </c>
      <c r="M121" s="9"/>
    </row>
    <row r="122" spans="1:13" x14ac:dyDescent="0.25">
      <c r="A122" s="6">
        <v>121</v>
      </c>
      <c r="B122" s="11" t="s">
        <v>13</v>
      </c>
      <c r="C122" s="16" t="s">
        <v>14</v>
      </c>
      <c r="D122" s="1" t="s">
        <v>76</v>
      </c>
      <c r="E122" s="1" t="s">
        <v>16</v>
      </c>
      <c r="F122" s="1" t="s">
        <v>32</v>
      </c>
      <c r="G122" s="1" t="s">
        <v>55</v>
      </c>
      <c r="H122" s="1" t="s">
        <v>19</v>
      </c>
      <c r="I122" s="1" t="s">
        <v>74</v>
      </c>
      <c r="J122" s="1" t="s">
        <v>70</v>
      </c>
      <c r="K122" s="1" t="s">
        <v>75</v>
      </c>
      <c r="L122" s="1">
        <v>10</v>
      </c>
      <c r="M122" s="9">
        <v>10</v>
      </c>
    </row>
    <row r="123" spans="1:13" x14ac:dyDescent="0.25">
      <c r="A123" s="6">
        <v>122</v>
      </c>
      <c r="B123" s="11" t="s">
        <v>13</v>
      </c>
      <c r="C123" s="16" t="s">
        <v>14</v>
      </c>
      <c r="D123" s="1" t="s">
        <v>76</v>
      </c>
      <c r="E123" s="1" t="s">
        <v>43</v>
      </c>
      <c r="F123" s="1" t="s">
        <v>17</v>
      </c>
      <c r="G123" s="1" t="s">
        <v>55</v>
      </c>
      <c r="H123" s="1" t="s">
        <v>28</v>
      </c>
      <c r="I123" s="1" t="s">
        <v>77</v>
      </c>
      <c r="J123" s="1" t="s">
        <v>70</v>
      </c>
      <c r="K123" s="1" t="s">
        <v>78</v>
      </c>
      <c r="L123" s="1">
        <v>5</v>
      </c>
      <c r="M123" s="9">
        <v>5</v>
      </c>
    </row>
    <row r="124" spans="1:13" x14ac:dyDescent="0.25">
      <c r="A124" s="6">
        <v>123</v>
      </c>
      <c r="B124" s="11" t="s">
        <v>13</v>
      </c>
      <c r="C124" s="16" t="s">
        <v>14</v>
      </c>
      <c r="D124" s="1" t="s">
        <v>23</v>
      </c>
      <c r="E124" s="1" t="s">
        <v>27</v>
      </c>
      <c r="F124" s="1" t="s">
        <v>17</v>
      </c>
      <c r="G124" s="1" t="s">
        <v>55</v>
      </c>
      <c r="H124" s="1" t="s">
        <v>28</v>
      </c>
      <c r="I124" s="1" t="s">
        <v>79</v>
      </c>
      <c r="J124" s="1" t="s">
        <v>80</v>
      </c>
      <c r="K124" s="1" t="s">
        <v>81</v>
      </c>
      <c r="L124" s="1">
        <v>24</v>
      </c>
      <c r="M124" s="9">
        <v>15</v>
      </c>
    </row>
    <row r="125" spans="1:13" x14ac:dyDescent="0.25">
      <c r="A125" s="6">
        <v>124</v>
      </c>
      <c r="B125" s="11" t="s">
        <v>35</v>
      </c>
      <c r="C125" s="16" t="s">
        <v>36</v>
      </c>
      <c r="D125" s="1" t="s">
        <v>37</v>
      </c>
      <c r="E125" s="1" t="s">
        <v>43</v>
      </c>
      <c r="F125" s="1" t="s">
        <v>17</v>
      </c>
      <c r="G125" s="1" t="s">
        <v>44</v>
      </c>
      <c r="H125" s="1" t="s">
        <v>19</v>
      </c>
      <c r="I125" s="1" t="s">
        <v>82</v>
      </c>
      <c r="J125" s="1" t="s">
        <v>80</v>
      </c>
      <c r="K125" s="1" t="s">
        <v>83</v>
      </c>
      <c r="L125" s="1">
        <v>18</v>
      </c>
      <c r="M125" s="9"/>
    </row>
    <row r="126" spans="1:13" x14ac:dyDescent="0.25">
      <c r="A126" s="6">
        <v>125</v>
      </c>
      <c r="B126" s="11" t="s">
        <v>35</v>
      </c>
      <c r="C126" s="16" t="s">
        <v>36</v>
      </c>
      <c r="D126" s="1" t="s">
        <v>37</v>
      </c>
      <c r="E126" s="1" t="s">
        <v>67</v>
      </c>
      <c r="F126" s="1" t="s">
        <v>48</v>
      </c>
      <c r="G126" s="1" t="s">
        <v>18</v>
      </c>
      <c r="H126" s="1" t="s">
        <v>26</v>
      </c>
      <c r="I126" s="1" t="s">
        <v>84</v>
      </c>
      <c r="J126" s="1" t="s">
        <v>80</v>
      </c>
      <c r="K126" s="1" t="s">
        <v>85</v>
      </c>
      <c r="L126" s="1">
        <v>14</v>
      </c>
      <c r="M126" s="9"/>
    </row>
    <row r="127" spans="1:13" x14ac:dyDescent="0.25">
      <c r="A127" s="6">
        <v>126</v>
      </c>
      <c r="B127" s="11" t="s">
        <v>35</v>
      </c>
      <c r="C127" s="16" t="s">
        <v>36</v>
      </c>
      <c r="D127" s="1" t="s">
        <v>31</v>
      </c>
      <c r="E127" s="1" t="s">
        <v>67</v>
      </c>
      <c r="F127" s="1" t="s">
        <v>17</v>
      </c>
      <c r="G127" s="1" t="s">
        <v>25</v>
      </c>
      <c r="H127" s="1" t="s">
        <v>26</v>
      </c>
      <c r="I127" s="1" t="s">
        <v>86</v>
      </c>
      <c r="J127" s="1" t="s">
        <v>80</v>
      </c>
      <c r="K127" s="1" t="s">
        <v>87</v>
      </c>
      <c r="L127" s="1">
        <v>9</v>
      </c>
      <c r="M127" s="9">
        <v>15</v>
      </c>
    </row>
    <row r="128" spans="1:13" x14ac:dyDescent="0.25">
      <c r="A128" s="6">
        <v>127</v>
      </c>
      <c r="B128" s="11" t="s">
        <v>45</v>
      </c>
      <c r="C128" s="16" t="s">
        <v>46</v>
      </c>
      <c r="D128" s="1" t="s">
        <v>37</v>
      </c>
      <c r="E128" s="1" t="s">
        <v>43</v>
      </c>
      <c r="F128" s="1" t="s">
        <v>24</v>
      </c>
      <c r="G128" s="1" t="s">
        <v>44</v>
      </c>
      <c r="H128" s="1" t="s">
        <v>28</v>
      </c>
      <c r="I128" s="1" t="s">
        <v>88</v>
      </c>
      <c r="J128" s="1" t="s">
        <v>89</v>
      </c>
      <c r="K128" s="1" t="s">
        <v>90</v>
      </c>
      <c r="L128" s="1">
        <v>21</v>
      </c>
      <c r="M128" s="9">
        <v>5</v>
      </c>
    </row>
    <row r="129" spans="1:13" x14ac:dyDescent="0.25">
      <c r="A129" s="6">
        <v>128</v>
      </c>
      <c r="B129" s="11" t="s">
        <v>45</v>
      </c>
      <c r="C129" s="16" t="s">
        <v>46</v>
      </c>
      <c r="D129" s="1" t="s">
        <v>23</v>
      </c>
      <c r="E129" s="1" t="s">
        <v>27</v>
      </c>
      <c r="F129" s="1" t="s">
        <v>24</v>
      </c>
      <c r="G129" s="1" t="s">
        <v>44</v>
      </c>
      <c r="H129" s="1" t="s">
        <v>68</v>
      </c>
      <c r="I129" s="1" t="s">
        <v>88</v>
      </c>
      <c r="J129" s="1" t="s">
        <v>89</v>
      </c>
      <c r="K129" s="1" t="s">
        <v>90</v>
      </c>
      <c r="L129" s="1">
        <v>21</v>
      </c>
      <c r="M129" s="9">
        <v>15</v>
      </c>
    </row>
    <row r="130" spans="1:13" x14ac:dyDescent="0.25">
      <c r="A130" s="6">
        <v>129</v>
      </c>
      <c r="B130" s="11" t="s">
        <v>45</v>
      </c>
      <c r="C130" s="16" t="s">
        <v>46</v>
      </c>
      <c r="D130" s="1" t="s">
        <v>23</v>
      </c>
      <c r="E130" s="1" t="s">
        <v>67</v>
      </c>
      <c r="F130" s="1" t="s">
        <v>24</v>
      </c>
      <c r="G130" s="1" t="s">
        <v>55</v>
      </c>
      <c r="H130" s="1" t="s">
        <v>28</v>
      </c>
      <c r="I130" s="1" t="s">
        <v>91</v>
      </c>
      <c r="J130" s="1" t="s">
        <v>89</v>
      </c>
      <c r="K130" s="1" t="s">
        <v>92</v>
      </c>
      <c r="L130" s="1">
        <v>15</v>
      </c>
      <c r="M130" s="9">
        <v>5</v>
      </c>
    </row>
    <row r="131" spans="1:13" x14ac:dyDescent="0.25">
      <c r="A131" s="6">
        <v>130</v>
      </c>
      <c r="B131" s="11" t="s">
        <v>59</v>
      </c>
      <c r="C131" s="16" t="s">
        <v>60</v>
      </c>
      <c r="D131" s="1" t="s">
        <v>23</v>
      </c>
      <c r="E131" s="1" t="s">
        <v>43</v>
      </c>
      <c r="F131" s="1" t="s">
        <v>48</v>
      </c>
      <c r="G131" s="1" t="s">
        <v>44</v>
      </c>
      <c r="H131" s="1" t="s">
        <v>26</v>
      </c>
      <c r="I131" s="1" t="s">
        <v>93</v>
      </c>
      <c r="J131" s="1" t="s">
        <v>89</v>
      </c>
      <c r="K131" s="1" t="s">
        <v>94</v>
      </c>
      <c r="L131" s="1">
        <v>11</v>
      </c>
      <c r="M131" s="9">
        <v>15</v>
      </c>
    </row>
    <row r="132" spans="1:13" x14ac:dyDescent="0.25">
      <c r="A132" s="6">
        <v>131</v>
      </c>
      <c r="B132" s="11" t="s">
        <v>59</v>
      </c>
      <c r="C132" s="16" t="s">
        <v>60</v>
      </c>
      <c r="D132" s="1" t="s">
        <v>37</v>
      </c>
      <c r="E132" s="1" t="s">
        <v>67</v>
      </c>
      <c r="F132" s="1" t="s">
        <v>32</v>
      </c>
      <c r="G132" s="1" t="s">
        <v>18</v>
      </c>
      <c r="H132" s="1" t="s">
        <v>19</v>
      </c>
      <c r="I132" s="1" t="s">
        <v>95</v>
      </c>
      <c r="J132" s="1" t="s">
        <v>89</v>
      </c>
      <c r="K132" s="1" t="s">
        <v>96</v>
      </c>
      <c r="L132" s="1">
        <v>6</v>
      </c>
      <c r="M132" s="9">
        <v>5</v>
      </c>
    </row>
    <row r="133" spans="1:13" x14ac:dyDescent="0.25">
      <c r="A133" s="6">
        <v>132</v>
      </c>
      <c r="B133" s="11" t="s">
        <v>59</v>
      </c>
      <c r="C133" s="16" t="s">
        <v>60</v>
      </c>
      <c r="D133" s="1" t="s">
        <v>37</v>
      </c>
      <c r="E133" s="1" t="s">
        <v>16</v>
      </c>
      <c r="F133" s="1" t="s">
        <v>48</v>
      </c>
      <c r="G133" s="1" t="s">
        <v>25</v>
      </c>
      <c r="H133" s="1" t="s">
        <v>19</v>
      </c>
      <c r="I133" s="1" t="s">
        <v>97</v>
      </c>
      <c r="J133" s="1" t="s">
        <v>98</v>
      </c>
      <c r="K133" s="1" t="s">
        <v>90</v>
      </c>
      <c r="L133" s="1">
        <v>13</v>
      </c>
      <c r="M133" s="9">
        <v>15</v>
      </c>
    </row>
    <row r="134" spans="1:13" x14ac:dyDescent="0.25">
      <c r="A134" s="6">
        <v>133</v>
      </c>
      <c r="B134" s="11" t="s">
        <v>59</v>
      </c>
      <c r="C134" s="16" t="s">
        <v>60</v>
      </c>
      <c r="D134" s="1" t="s">
        <v>76</v>
      </c>
      <c r="E134" s="1" t="s">
        <v>43</v>
      </c>
      <c r="F134" s="1" t="s">
        <v>48</v>
      </c>
      <c r="G134" s="1" t="s">
        <v>25</v>
      </c>
      <c r="H134" s="1" t="s">
        <v>19</v>
      </c>
      <c r="I134" s="1" t="s">
        <v>99</v>
      </c>
      <c r="J134" s="1" t="s">
        <v>98</v>
      </c>
      <c r="K134" s="1" t="s">
        <v>92</v>
      </c>
      <c r="L134" s="1">
        <v>10</v>
      </c>
      <c r="M134" s="9">
        <v>10</v>
      </c>
    </row>
    <row r="135" spans="1:13" x14ac:dyDescent="0.25">
      <c r="A135" s="6">
        <v>134</v>
      </c>
      <c r="B135" s="11" t="s">
        <v>13</v>
      </c>
      <c r="C135" s="16" t="s">
        <v>14</v>
      </c>
      <c r="D135" s="1" t="s">
        <v>76</v>
      </c>
      <c r="E135" s="1" t="s">
        <v>67</v>
      </c>
      <c r="F135" s="1" t="s">
        <v>17</v>
      </c>
      <c r="G135" s="1" t="s">
        <v>18</v>
      </c>
      <c r="H135" s="1" t="s">
        <v>68</v>
      </c>
      <c r="I135" s="1" t="s">
        <v>100</v>
      </c>
      <c r="J135" s="1" t="s">
        <v>98</v>
      </c>
      <c r="K135" s="1" t="s">
        <v>94</v>
      </c>
      <c r="L135" s="1">
        <v>8</v>
      </c>
      <c r="M135" s="9">
        <v>15</v>
      </c>
    </row>
    <row r="136" spans="1:13" x14ac:dyDescent="0.25">
      <c r="A136" s="6">
        <v>135</v>
      </c>
      <c r="B136" s="11" t="s">
        <v>13</v>
      </c>
      <c r="C136" s="16" t="s">
        <v>14</v>
      </c>
      <c r="D136" s="1" t="s">
        <v>31</v>
      </c>
      <c r="E136" s="1" t="s">
        <v>16</v>
      </c>
      <c r="F136" s="1" t="s">
        <v>24</v>
      </c>
      <c r="G136" s="1" t="s">
        <v>25</v>
      </c>
      <c r="H136" s="1" t="s">
        <v>19</v>
      </c>
      <c r="I136" s="1" t="s">
        <v>101</v>
      </c>
      <c r="J136" s="1" t="s">
        <v>98</v>
      </c>
      <c r="K136" s="1" t="s">
        <v>96</v>
      </c>
      <c r="L136" s="1">
        <v>5</v>
      </c>
      <c r="M136" s="9">
        <v>15</v>
      </c>
    </row>
    <row r="137" spans="1:13" x14ac:dyDescent="0.25">
      <c r="A137" s="6">
        <v>136</v>
      </c>
      <c r="B137" s="11" t="s">
        <v>13</v>
      </c>
      <c r="C137" s="16" t="s">
        <v>14</v>
      </c>
      <c r="D137" s="1" t="s">
        <v>15</v>
      </c>
      <c r="E137" s="1" t="s">
        <v>43</v>
      </c>
      <c r="F137" s="1" t="s">
        <v>48</v>
      </c>
      <c r="G137" s="1" t="s">
        <v>25</v>
      </c>
      <c r="H137" s="1" t="s">
        <v>26</v>
      </c>
      <c r="I137" s="1" t="s">
        <v>101</v>
      </c>
      <c r="J137" s="1" t="s">
        <v>98</v>
      </c>
      <c r="K137" s="1" t="s">
        <v>96</v>
      </c>
      <c r="L137" s="1">
        <v>5</v>
      </c>
      <c r="M137" s="9">
        <v>10</v>
      </c>
    </row>
    <row r="138" spans="1:13" x14ac:dyDescent="0.25">
      <c r="A138" s="6">
        <v>137</v>
      </c>
      <c r="B138" s="11" t="s">
        <v>35</v>
      </c>
      <c r="C138" s="16" t="s">
        <v>36</v>
      </c>
      <c r="D138" s="1" t="s">
        <v>23</v>
      </c>
      <c r="E138" s="1" t="s">
        <v>27</v>
      </c>
      <c r="F138" s="1" t="s">
        <v>32</v>
      </c>
      <c r="G138" s="1" t="s">
        <v>25</v>
      </c>
      <c r="H138" s="1" t="s">
        <v>28</v>
      </c>
      <c r="I138" s="1" t="s">
        <v>102</v>
      </c>
      <c r="J138" s="1" t="s">
        <v>103</v>
      </c>
      <c r="K138" s="1" t="s">
        <v>104</v>
      </c>
      <c r="L138" s="1">
        <v>16</v>
      </c>
      <c r="M138" s="9">
        <v>15</v>
      </c>
    </row>
    <row r="139" spans="1:13" x14ac:dyDescent="0.25">
      <c r="A139" s="6">
        <v>138</v>
      </c>
      <c r="B139" s="11" t="s">
        <v>35</v>
      </c>
      <c r="C139" s="16" t="s">
        <v>36</v>
      </c>
      <c r="D139" s="1" t="s">
        <v>15</v>
      </c>
      <c r="E139" s="1" t="s">
        <v>43</v>
      </c>
      <c r="F139" s="1" t="s">
        <v>32</v>
      </c>
      <c r="G139" s="1" t="s">
        <v>55</v>
      </c>
      <c r="H139" s="1" t="s">
        <v>19</v>
      </c>
      <c r="I139" s="1" t="s">
        <v>105</v>
      </c>
      <c r="J139" s="1" t="s">
        <v>103</v>
      </c>
      <c r="K139" s="1" t="s">
        <v>106</v>
      </c>
      <c r="L139" s="1">
        <v>20</v>
      </c>
      <c r="M139" s="9"/>
    </row>
    <row r="140" spans="1:13" x14ac:dyDescent="0.25">
      <c r="A140" s="6">
        <v>139</v>
      </c>
      <c r="B140" s="11" t="s">
        <v>35</v>
      </c>
      <c r="C140" s="16" t="s">
        <v>36</v>
      </c>
      <c r="D140" s="1" t="s">
        <v>15</v>
      </c>
      <c r="E140" s="1" t="s">
        <v>16</v>
      </c>
      <c r="F140" s="1" t="s">
        <v>32</v>
      </c>
      <c r="G140" s="1" t="s">
        <v>55</v>
      </c>
      <c r="H140" s="1" t="s">
        <v>19</v>
      </c>
      <c r="I140" s="1" t="s">
        <v>107</v>
      </c>
      <c r="J140" s="1" t="s">
        <v>103</v>
      </c>
      <c r="K140" s="1" t="s">
        <v>108</v>
      </c>
      <c r="L140" s="1">
        <v>12</v>
      </c>
      <c r="M140" s="9">
        <v>15</v>
      </c>
    </row>
    <row r="141" spans="1:13" x14ac:dyDescent="0.25">
      <c r="A141" s="6">
        <v>140</v>
      </c>
      <c r="B141" s="11" t="s">
        <v>45</v>
      </c>
      <c r="C141" s="16" t="s">
        <v>46</v>
      </c>
      <c r="D141" s="1" t="s">
        <v>47</v>
      </c>
      <c r="E141" s="1" t="s">
        <v>27</v>
      </c>
      <c r="F141" s="1" t="s">
        <v>24</v>
      </c>
      <c r="G141" s="1" t="s">
        <v>25</v>
      </c>
      <c r="H141" s="1" t="s">
        <v>26</v>
      </c>
      <c r="I141" s="1" t="s">
        <v>109</v>
      </c>
      <c r="J141" s="1" t="s">
        <v>103</v>
      </c>
      <c r="K141" s="1" t="s">
        <v>110</v>
      </c>
      <c r="L141" s="1">
        <v>7</v>
      </c>
      <c r="M141" s="9">
        <v>5</v>
      </c>
    </row>
    <row r="142" spans="1:13" x14ac:dyDescent="0.25">
      <c r="A142" s="6">
        <v>141</v>
      </c>
      <c r="B142" s="11" t="s">
        <v>45</v>
      </c>
      <c r="C142" s="16" t="s">
        <v>46</v>
      </c>
      <c r="D142" s="1" t="s">
        <v>76</v>
      </c>
      <c r="E142" s="1" t="s">
        <v>16</v>
      </c>
      <c r="F142" s="1" t="s">
        <v>24</v>
      </c>
      <c r="G142" s="1" t="s">
        <v>55</v>
      </c>
      <c r="H142" s="1" t="s">
        <v>28</v>
      </c>
      <c r="I142" s="1" t="s">
        <v>111</v>
      </c>
      <c r="J142" s="1" t="s">
        <v>112</v>
      </c>
      <c r="K142" s="1" t="s">
        <v>113</v>
      </c>
      <c r="L142" s="1">
        <v>11</v>
      </c>
      <c r="M142" s="9">
        <v>5</v>
      </c>
    </row>
    <row r="143" spans="1:13" x14ac:dyDescent="0.25">
      <c r="A143" s="6">
        <v>142</v>
      </c>
      <c r="B143" s="11" t="s">
        <v>45</v>
      </c>
      <c r="C143" s="16" t="s">
        <v>46</v>
      </c>
      <c r="D143" s="1" t="s">
        <v>76</v>
      </c>
      <c r="E143" s="1" t="s">
        <v>67</v>
      </c>
      <c r="F143" s="1" t="s">
        <v>24</v>
      </c>
      <c r="G143" s="1" t="s">
        <v>18</v>
      </c>
      <c r="H143" s="1" t="s">
        <v>26</v>
      </c>
      <c r="I143" s="1" t="s">
        <v>114</v>
      </c>
      <c r="J143" s="1" t="s">
        <v>112</v>
      </c>
      <c r="K143" s="1" t="s">
        <v>115</v>
      </c>
      <c r="L143" s="1">
        <v>9</v>
      </c>
      <c r="M143" s="9">
        <v>5</v>
      </c>
    </row>
    <row r="144" spans="1:13" x14ac:dyDescent="0.25">
      <c r="A144" s="6">
        <v>143</v>
      </c>
      <c r="B144" s="11" t="s">
        <v>59</v>
      </c>
      <c r="C144" s="16" t="s">
        <v>60</v>
      </c>
      <c r="D144" s="1" t="s">
        <v>76</v>
      </c>
      <c r="E144" s="1" t="s">
        <v>27</v>
      </c>
      <c r="F144" s="1" t="s">
        <v>32</v>
      </c>
      <c r="G144" s="1" t="s">
        <v>44</v>
      </c>
      <c r="H144" s="1" t="s">
        <v>28</v>
      </c>
      <c r="I144" s="1" t="s">
        <v>116</v>
      </c>
      <c r="J144" s="1" t="s">
        <v>112</v>
      </c>
      <c r="K144" s="1" t="s">
        <v>117</v>
      </c>
      <c r="L144" s="1">
        <v>6</v>
      </c>
      <c r="M144" s="9">
        <v>15</v>
      </c>
    </row>
    <row r="145" spans="1:13" x14ac:dyDescent="0.25">
      <c r="A145" s="6">
        <v>144</v>
      </c>
      <c r="B145" s="11" t="s">
        <v>59</v>
      </c>
      <c r="C145" s="16" t="s">
        <v>60</v>
      </c>
      <c r="D145" s="1" t="s">
        <v>15</v>
      </c>
      <c r="E145" s="1" t="s">
        <v>67</v>
      </c>
      <c r="F145" s="1" t="s">
        <v>24</v>
      </c>
      <c r="G145" s="1" t="s">
        <v>18</v>
      </c>
      <c r="H145" s="1" t="s">
        <v>26</v>
      </c>
      <c r="I145" s="1" t="s">
        <v>118</v>
      </c>
      <c r="J145" s="1" t="s">
        <v>112</v>
      </c>
      <c r="K145" s="1" t="s">
        <v>119</v>
      </c>
      <c r="L145" s="1">
        <v>5</v>
      </c>
      <c r="M145" s="9">
        <v>5</v>
      </c>
    </row>
    <row r="146" spans="1:13" x14ac:dyDescent="0.25">
      <c r="A146" s="6">
        <v>145</v>
      </c>
      <c r="B146" s="11" t="s">
        <v>59</v>
      </c>
      <c r="C146" s="16" t="s">
        <v>60</v>
      </c>
      <c r="D146" s="1" t="s">
        <v>76</v>
      </c>
      <c r="E146" s="1" t="s">
        <v>67</v>
      </c>
      <c r="F146" s="1" t="s">
        <v>17</v>
      </c>
      <c r="G146" s="1" t="s">
        <v>44</v>
      </c>
      <c r="H146" s="1" t="s">
        <v>68</v>
      </c>
      <c r="I146" s="1" t="s">
        <v>120</v>
      </c>
      <c r="J146" s="1" t="s">
        <v>121</v>
      </c>
      <c r="K146" s="1" t="s">
        <v>122</v>
      </c>
      <c r="L146" s="1">
        <v>15</v>
      </c>
      <c r="M146" s="9">
        <v>15</v>
      </c>
    </row>
    <row r="147" spans="1:13" x14ac:dyDescent="0.25">
      <c r="A147" s="6">
        <v>146</v>
      </c>
      <c r="B147" s="11" t="s">
        <v>59</v>
      </c>
      <c r="C147" s="16" t="s">
        <v>60</v>
      </c>
      <c r="D147" s="1" t="s">
        <v>15</v>
      </c>
      <c r="E147" s="1" t="s">
        <v>67</v>
      </c>
      <c r="F147" s="1" t="s">
        <v>32</v>
      </c>
      <c r="G147" s="1" t="s">
        <v>55</v>
      </c>
      <c r="H147" s="1" t="s">
        <v>26</v>
      </c>
      <c r="I147" s="1" t="s">
        <v>123</v>
      </c>
      <c r="J147" s="1" t="s">
        <v>121</v>
      </c>
      <c r="K147" s="1" t="s">
        <v>124</v>
      </c>
      <c r="L147" s="1">
        <v>14</v>
      </c>
      <c r="M147" s="9"/>
    </row>
    <row r="148" spans="1:13" x14ac:dyDescent="0.25">
      <c r="A148" s="6">
        <v>147</v>
      </c>
      <c r="B148" s="11" t="s">
        <v>13</v>
      </c>
      <c r="C148" s="16" t="s">
        <v>14</v>
      </c>
      <c r="D148" s="1" t="s">
        <v>31</v>
      </c>
      <c r="E148" s="1" t="s">
        <v>67</v>
      </c>
      <c r="F148" s="1" t="s">
        <v>17</v>
      </c>
      <c r="G148" s="1" t="s">
        <v>18</v>
      </c>
      <c r="H148" s="1" t="s">
        <v>68</v>
      </c>
      <c r="I148" s="1" t="s">
        <v>125</v>
      </c>
      <c r="J148" s="1" t="s">
        <v>121</v>
      </c>
      <c r="K148" s="1" t="s">
        <v>126</v>
      </c>
      <c r="L148" s="1">
        <v>10</v>
      </c>
      <c r="M148" s="9">
        <v>5</v>
      </c>
    </row>
    <row r="149" spans="1:13" x14ac:dyDescent="0.25">
      <c r="A149" s="6">
        <v>148</v>
      </c>
      <c r="B149" s="11" t="s">
        <v>13</v>
      </c>
      <c r="C149" s="16" t="s">
        <v>14</v>
      </c>
      <c r="D149" s="1" t="s">
        <v>37</v>
      </c>
      <c r="E149" s="1" t="s">
        <v>67</v>
      </c>
      <c r="F149" s="1" t="s">
        <v>48</v>
      </c>
      <c r="G149" s="1" t="s">
        <v>25</v>
      </c>
      <c r="H149" s="1" t="s">
        <v>28</v>
      </c>
      <c r="I149" s="1" t="s">
        <v>125</v>
      </c>
      <c r="J149" s="1" t="s">
        <v>121</v>
      </c>
      <c r="K149" s="1" t="s">
        <v>126</v>
      </c>
      <c r="L149" s="1">
        <v>10</v>
      </c>
      <c r="M149" s="9"/>
    </row>
    <row r="150" spans="1:13" x14ac:dyDescent="0.25">
      <c r="A150" s="6">
        <v>149</v>
      </c>
      <c r="B150" s="11" t="s">
        <v>13</v>
      </c>
      <c r="C150" s="16" t="s">
        <v>14</v>
      </c>
      <c r="D150" s="1" t="s">
        <v>76</v>
      </c>
      <c r="E150" s="1" t="s">
        <v>27</v>
      </c>
      <c r="F150" s="1" t="s">
        <v>17</v>
      </c>
      <c r="G150" s="1" t="s">
        <v>18</v>
      </c>
      <c r="H150" s="1" t="s">
        <v>68</v>
      </c>
      <c r="I150" s="1" t="s">
        <v>127</v>
      </c>
      <c r="J150" s="1" t="s">
        <v>121</v>
      </c>
      <c r="K150" s="1" t="s">
        <v>128</v>
      </c>
      <c r="L150" s="1">
        <v>8</v>
      </c>
      <c r="M150" s="9">
        <v>5</v>
      </c>
    </row>
    <row r="151" spans="1:13" x14ac:dyDescent="0.25">
      <c r="A151" s="7">
        <v>150</v>
      </c>
      <c r="B151" s="12" t="s">
        <v>13</v>
      </c>
      <c r="C151" s="17" t="s">
        <v>14</v>
      </c>
      <c r="D151" s="4" t="s">
        <v>15</v>
      </c>
      <c r="E151" s="4" t="s">
        <v>67</v>
      </c>
      <c r="F151" s="4" t="s">
        <v>48</v>
      </c>
      <c r="G151" s="4" t="s">
        <v>18</v>
      </c>
      <c r="H151" s="4" t="s">
        <v>68</v>
      </c>
      <c r="I151" s="4" t="s">
        <v>129</v>
      </c>
      <c r="J151" s="4" t="s">
        <v>130</v>
      </c>
      <c r="K151" s="4" t="s">
        <v>131</v>
      </c>
      <c r="L151" s="4">
        <v>25</v>
      </c>
      <c r="M151" s="10"/>
    </row>
    <row r="152" spans="1:13" x14ac:dyDescent="0.25">
      <c r="A152" s="2"/>
      <c r="B152" s="13"/>
      <c r="C152" s="18"/>
      <c r="D152" s="2"/>
      <c r="E152" s="2"/>
      <c r="F152" s="2"/>
      <c r="G152" s="2"/>
      <c r="H152" s="2"/>
      <c r="I152" s="2"/>
      <c r="J152" s="2"/>
      <c r="K152" s="2"/>
      <c r="L152" s="2"/>
      <c r="M152" s="2"/>
    </row>
  </sheetData>
  <conditionalFormatting sqref="A2:A151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FD3B-B6D3-4394-B05A-8E7CC4B31A36}">
  <dimension ref="A1:AQ158"/>
  <sheetViews>
    <sheetView tabSelected="1" topLeftCell="S1" workbookViewId="0">
      <selection activeCell="AG2" sqref="AG2"/>
    </sheetView>
  </sheetViews>
  <sheetFormatPr defaultRowHeight="15" x14ac:dyDescent="0.25"/>
  <cols>
    <col min="1" max="1" width="14.140625" bestFit="1" customWidth="1"/>
    <col min="2" max="2" width="21.28515625" style="14" hidden="1" customWidth="1"/>
    <col min="3" max="3" width="16.42578125" style="19" hidden="1" customWidth="1"/>
    <col min="4" max="4" width="15.85546875" bestFit="1" customWidth="1"/>
    <col min="5" max="5" width="20" hidden="1" customWidth="1"/>
    <col min="6" max="6" width="21.140625" bestFit="1" customWidth="1"/>
    <col min="7" max="7" width="25" customWidth="1"/>
    <col min="8" max="8" width="22.28515625" hidden="1" customWidth="1"/>
    <col min="9" max="9" width="12.140625" hidden="1" customWidth="1"/>
    <col min="10" max="10" width="10.85546875" hidden="1" customWidth="1"/>
    <col min="11" max="11" width="15.28515625" hidden="1" customWidth="1"/>
    <col min="12" max="12" width="10.5703125" hidden="1" customWidth="1"/>
    <col min="13" max="13" width="9.85546875" hidden="1" customWidth="1"/>
    <col min="14" max="14" width="10" hidden="1" customWidth="1"/>
    <col min="15" max="15" width="14.85546875" hidden="1" customWidth="1"/>
    <col min="16" max="16" width="19.42578125" bestFit="1" customWidth="1"/>
    <col min="17" max="17" width="15.28515625" customWidth="1"/>
    <col min="18" max="18" width="50" hidden="1" customWidth="1"/>
    <col min="19" max="19" width="33.28515625" bestFit="1" customWidth="1"/>
    <col min="20" max="20" width="14.7109375" bestFit="1" customWidth="1"/>
    <col min="21" max="21" width="18" bestFit="1" customWidth="1"/>
    <col min="22" max="22" width="21.7109375" hidden="1" customWidth="1"/>
    <col min="23" max="23" width="21.140625" bestFit="1" customWidth="1"/>
    <col min="24" max="24" width="15.5703125" bestFit="1" customWidth="1"/>
    <col min="25" max="25" width="11.5703125" hidden="1" customWidth="1"/>
    <col min="26" max="26" width="12" customWidth="1"/>
    <col min="27" max="27" width="11" bestFit="1" customWidth="1"/>
    <col min="28" max="28" width="9.85546875" customWidth="1"/>
    <col min="29" max="29" width="7.85546875" customWidth="1"/>
    <col min="30" max="30" width="10.28515625" hidden="1" customWidth="1"/>
    <col min="31" max="31" width="9.7109375" customWidth="1"/>
    <col min="33" max="33" width="10.28515625" customWidth="1"/>
    <col min="37" max="37" width="13.7109375" bestFit="1" customWidth="1"/>
    <col min="40" max="40" width="13.7109375" bestFit="1" customWidth="1"/>
    <col min="41" max="41" width="7.42578125" bestFit="1" customWidth="1"/>
    <col min="42" max="42" width="13.7109375" bestFit="1" customWidth="1"/>
    <col min="43" max="43" width="22.85546875" customWidth="1"/>
    <col min="44" max="44" width="13.85546875" bestFit="1" customWidth="1"/>
  </cols>
  <sheetData>
    <row r="1" spans="1:38" ht="57" x14ac:dyDescent="0.25">
      <c r="A1" s="28" t="s">
        <v>0</v>
      </c>
      <c r="B1" s="29" t="s">
        <v>1</v>
      </c>
      <c r="C1" s="29" t="s">
        <v>2</v>
      </c>
      <c r="D1" s="29" t="s">
        <v>147</v>
      </c>
      <c r="E1" s="29" t="s">
        <v>3</v>
      </c>
      <c r="F1" s="29" t="s">
        <v>148</v>
      </c>
      <c r="G1" s="29" t="s">
        <v>4</v>
      </c>
      <c r="H1" s="29" t="s">
        <v>5</v>
      </c>
      <c r="I1" s="30" t="s">
        <v>149</v>
      </c>
      <c r="J1" s="30" t="s">
        <v>150</v>
      </c>
      <c r="K1" s="29" t="s">
        <v>6</v>
      </c>
      <c r="L1" s="30" t="s">
        <v>151</v>
      </c>
      <c r="M1" s="30" t="s">
        <v>152</v>
      </c>
      <c r="N1" s="29" t="s">
        <v>7</v>
      </c>
      <c r="O1" s="29" t="s">
        <v>153</v>
      </c>
      <c r="P1" s="29" t="s">
        <v>177</v>
      </c>
      <c r="Q1" s="30" t="s">
        <v>160</v>
      </c>
      <c r="R1" s="29" t="s">
        <v>8</v>
      </c>
      <c r="S1" s="29" t="s">
        <v>169</v>
      </c>
      <c r="T1" s="29" t="s">
        <v>154</v>
      </c>
      <c r="U1" s="29" t="s">
        <v>170</v>
      </c>
      <c r="V1" s="29" t="s">
        <v>9</v>
      </c>
      <c r="W1" s="30" t="s">
        <v>158</v>
      </c>
      <c r="X1" s="30" t="s">
        <v>159</v>
      </c>
      <c r="Y1" s="29" t="s">
        <v>10</v>
      </c>
      <c r="Z1" s="30" t="s">
        <v>156</v>
      </c>
      <c r="AA1" s="30" t="s">
        <v>157</v>
      </c>
      <c r="AB1" s="30" t="s">
        <v>162</v>
      </c>
      <c r="AC1" s="30" t="s">
        <v>11</v>
      </c>
      <c r="AD1" s="30" t="s">
        <v>12</v>
      </c>
      <c r="AE1" s="30" t="s">
        <v>168</v>
      </c>
      <c r="AF1" s="30" t="s">
        <v>163</v>
      </c>
      <c r="AG1" s="30" t="s">
        <v>164</v>
      </c>
      <c r="AH1" s="31" t="s">
        <v>165</v>
      </c>
    </row>
    <row r="2" spans="1:38" x14ac:dyDescent="0.25">
      <c r="A2" s="43">
        <v>1</v>
      </c>
      <c r="B2" s="23" t="s">
        <v>13</v>
      </c>
      <c r="C2" s="23" t="s">
        <v>14</v>
      </c>
      <c r="D2" s="23" t="str">
        <f>_xlfn.TEXTJOIN(" ",,Table13[[#This Row],[Rep First Name]],Table13[[#This Row],[Rep Last Name]])</f>
        <v>Sanya Joshi</v>
      </c>
      <c r="E2" s="23" t="s">
        <v>15</v>
      </c>
      <c r="F2" s="23" t="str">
        <f>IF(LEN(Table13[[#This Row],[Month]]) &gt; 0, LEFT(Table13[[#This Row],[Month]], 3), "")</f>
        <v>Jun</v>
      </c>
      <c r="G2" s="23" t="s">
        <v>16</v>
      </c>
      <c r="H2" s="23" t="s">
        <v>17</v>
      </c>
      <c r="I2" s="44">
        <f>IF(ISNUMBER(SEARCH("km/h",Table13[[#This Row],[Min Speed]])),VALUE(_xlfn.TEXTBEFORE(Table13[[#This Row],[Min Speed]]," ")),ROUND(VALUE(_xlfn.TEXTBEFORE(Table13[[#This Row],[Min Speed]]," "))*1.60934,0))</f>
        <v>64</v>
      </c>
      <c r="J2" s="44">
        <f>ROUND(IF(ISNUMBER(SEARCH("km/h",Table13[[#This Row],[Min Speed]])),Table13[[#This Row],[Min Speed (km/h)]]*0.621371,VALUE(_xlfn.TEXTBEFORE(Table13[[#This Row],[Min Speed]]," "))),0)</f>
        <v>40</v>
      </c>
      <c r="K2" s="23" t="s">
        <v>18</v>
      </c>
      <c r="L2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2" s="44">
        <f>IF(ISNUMBER(SEARCH("mph",Table13[[#This Row],[Max Speed]])),--_xlfn.TEXTBEFORE(Table13[[#This Row],[Max Speed]]," mph"),ROUND(--_xlfn.TEXTBEFORE(Table13[[#This Row],[Max Speed]]," km/h")*0.621371,0))</f>
        <v>75</v>
      </c>
      <c r="N2" s="23" t="s">
        <v>19</v>
      </c>
      <c r="O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2" s="42" t="str">
        <f>TEXT(Table13[[#This Row],[Min Speed (km/h)]],"0")&amp;" - "&amp;TEXT(Table13[[#This Row],[Max Speed (km/h)]],"0")&amp;""</f>
        <v>64 - 120</v>
      </c>
      <c r="Q2" s="46">
        <f>IF(Table13[[#This Row],[Distance (km)]]="", AVERAGE(Table13[Distance (km)]), Table13[[#This Row],[Distance (km)]])</f>
        <v>500</v>
      </c>
      <c r="R2" s="23" t="s">
        <v>20</v>
      </c>
      <c r="S2" s="42" t="str" cm="1">
        <f t="array" ref="S2">TRIM(INDEX(_xlfn.TEXTSPLIT(Table13[[#This Row],[Shipping Address]],","),1))</f>
        <v>1234 Maple Street</v>
      </c>
      <c r="T2" s="42" t="str" cm="1">
        <f t="array" ref="T2">TRIM(INDEX(_xlfn.TEXTSPLIT(Table13[[#This Row],[Shipping Address]],","),2))</f>
        <v>Los Angeles</v>
      </c>
      <c r="U2" s="42" t="str" cm="1">
        <f t="array" ref="U2">TRIM(INDEX(_xlfn.TEXTSPLIT(Table13[[#This Row],[Shipping Address]],","),3))</f>
        <v>90210</v>
      </c>
      <c r="V2" s="23" t="s">
        <v>21</v>
      </c>
      <c r="W2" s="42" t="str" cm="1">
        <f t="array" ref="W2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2" s="42" t="str" cm="1">
        <f t="array" ref="X2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2" s="23" t="s">
        <v>22</v>
      </c>
      <c r="Z2" s="33">
        <f>_xlfn.NUMBERVALUE(_xlfn.TEXTBEFORE(Table13[[#This Row],[Unit Price]]," "))</f>
        <v>150</v>
      </c>
      <c r="AA2" s="23" t="str">
        <f>RIGHT(Table13[[#This Row],[Unit Price]],LEN(Table13[[#This Row],[Unit Price]])-FIND(" ",Table13[[#This Row],[Unit Price]]))</f>
        <v>USD</v>
      </c>
      <c r="AB2" s="33" cm="1">
        <f t="array" ref="AB2">Table13[[#This Row],[Unit Price Value]]*_xlfn.XLOOKUP(Table13[[#This Row],[Unit Price Currency]],{"EUR","USD","GBP","BRL","CAD","CNY","AUD","ZAR","MXN","JPY","INR"},{1,0.86,1.15,0.15,0.63,0.12,0.56,0.05,0.05,0.01,0.01},NA())</f>
        <v>129</v>
      </c>
      <c r="AC2" s="32">
        <v>15</v>
      </c>
      <c r="AD2" s="32">
        <v>5</v>
      </c>
      <c r="AE2" s="20">
        <f>IF(Table13[[#This Row],[Discount (%)]]="",CHOOSE(MATCH(MOD(Table13[[#This Row],[Sales Rep ID]],3)+1,{1,2,3},0),5,10,15),Table13[[#This Row],[Discount (%)]])</f>
        <v>5</v>
      </c>
      <c r="AF2" s="38">
        <f>Table13[[#This Row],[Unit Price (EUR)]]*Table13[[#This Row],[Units Sold]]</f>
        <v>1935</v>
      </c>
      <c r="AG2" s="38">
        <f>Table13[[#This Row],[Gross Price (Euro)]]*Table13[[#This Row],[Calc Discount (%)]]/100</f>
        <v>96.75</v>
      </c>
      <c r="AH2" s="39">
        <f>Table13[[#This Row],[Gross Price (Euro)]]-Table13[[#This Row],[Discount Value (Euro)]]</f>
        <v>1838.25</v>
      </c>
    </row>
    <row r="3" spans="1:38" x14ac:dyDescent="0.25">
      <c r="A3" s="43">
        <v>2</v>
      </c>
      <c r="B3" s="23" t="s">
        <v>13</v>
      </c>
      <c r="C3" s="23" t="s">
        <v>14</v>
      </c>
      <c r="D3" s="23" t="str">
        <f>_xlfn.TEXTJOIN(" ",,Table13[[#This Row],[Rep First Name]],Table13[[#This Row],[Rep Last Name]])</f>
        <v>Sanya Joshi</v>
      </c>
      <c r="E3" s="23" t="s">
        <v>23</v>
      </c>
      <c r="F3" s="23" t="str">
        <f>IF(LEN(Table13[[#This Row],[Month]]) &gt; 0, LEFT(Table13[[#This Row],[Month]], 3), "")</f>
        <v>Mar</v>
      </c>
      <c r="G3" s="23" t="s">
        <v>16</v>
      </c>
      <c r="H3" s="23" t="s">
        <v>24</v>
      </c>
      <c r="I3" s="44">
        <f>IF(ISNUMBER(SEARCH("km/h",Table13[[#This Row],[Min Speed]])),VALUE(_xlfn.TEXTBEFORE(Table13[[#This Row],[Min Speed]]," ")),ROUND(VALUE(_xlfn.TEXTBEFORE(Table13[[#This Row],[Min Speed]]," "))*1.60934,0))</f>
        <v>80</v>
      </c>
      <c r="J3" s="44">
        <f>ROUND(IF(ISNUMBER(SEARCH("km/h",Table13[[#This Row],[Min Speed]])),Table13[[#This Row],[Min Speed (km/h)]]*0.621371,VALUE(_xlfn.TEXTBEFORE(Table13[[#This Row],[Min Speed]]," "))),0)</f>
        <v>50</v>
      </c>
      <c r="K3" s="23" t="s">
        <v>25</v>
      </c>
      <c r="L3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3" s="44">
        <f>IF(ISNUMBER(SEARCH("mph",Table13[[#This Row],[Max Speed]])),--_xlfn.TEXTBEFORE(Table13[[#This Row],[Max Speed]]," mph"),ROUND(--_xlfn.TEXTBEFORE(Table13[[#This Row],[Max Speed]]," km/h")*0.621371,0))</f>
        <v>150</v>
      </c>
      <c r="N3" s="23" t="s">
        <v>26</v>
      </c>
      <c r="O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3" s="42" t="str">
        <f>TEXT(Table13[[#This Row],[Min Speed (km/h)]],"0")&amp;" - "&amp;TEXT(Table13[[#This Row],[Max Speed (km/h)]],"0")&amp;""</f>
        <v>80 - 241</v>
      </c>
      <c r="Q3" s="46">
        <f>IF(Table13[[#This Row],[Distance (km)]]="", AVERAGE(Table13[Distance (km)]), Table13[[#This Row],[Distance (km)]])</f>
        <v>482.80200000000002</v>
      </c>
      <c r="R3" s="23" t="s">
        <v>20</v>
      </c>
      <c r="S3" s="42" t="str" cm="1">
        <f t="array" ref="S3">TRIM(INDEX(_xlfn.TEXTSPLIT(Table13[[#This Row],[Shipping Address]],","),1))</f>
        <v>1234 Maple Street</v>
      </c>
      <c r="T3" s="42" t="str" cm="1">
        <f t="array" ref="T3">TRIM(INDEX(_xlfn.TEXTSPLIT(Table13[[#This Row],[Shipping Address]],","),2))</f>
        <v>Los Angeles</v>
      </c>
      <c r="U3" s="42" t="str" cm="1">
        <f t="array" ref="U3">TRIM(INDEX(_xlfn.TEXTSPLIT(Table13[[#This Row],[Shipping Address]],","),3))</f>
        <v>90210</v>
      </c>
      <c r="V3" s="23" t="s">
        <v>21</v>
      </c>
      <c r="W3" s="42" t="str" cm="1">
        <f t="array" ref="W3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3" s="42" t="str" cm="1">
        <f t="array" ref="X3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3" s="23" t="s">
        <v>22</v>
      </c>
      <c r="Z3" s="33">
        <f>_xlfn.NUMBERVALUE(_xlfn.TEXTBEFORE(Table13[[#This Row],[Unit Price]]," "))</f>
        <v>150</v>
      </c>
      <c r="AA3" s="23" t="str">
        <f>RIGHT(Table13[[#This Row],[Unit Price]],LEN(Table13[[#This Row],[Unit Price]])-FIND(" ",Table13[[#This Row],[Unit Price]]))</f>
        <v>USD</v>
      </c>
      <c r="AB3" s="33" cm="1">
        <f t="array" ref="AB3">Table13[[#This Row],[Unit Price Value]]*_xlfn.XLOOKUP(Table13[[#This Row],[Unit Price Currency]],{"EUR","USD","GBP","BRL","CAD","CNY","AUD","ZAR","MXN","JPY","INR"},{1,0.86,1.15,0.15,0.63,0.12,0.56,0.05,0.05,0.01,0.01},NA())</f>
        <v>129</v>
      </c>
      <c r="AC3" s="32">
        <v>15</v>
      </c>
      <c r="AD3" s="32">
        <v>10</v>
      </c>
      <c r="AE3" s="20">
        <f>IF(Table13[[#This Row],[Discount (%)]]="",CHOOSE(MATCH(MOD(Table13[[#This Row],[Sales Rep ID]],3)+1,{1,2,3},0),5,10,15),Table13[[#This Row],[Discount (%)]])</f>
        <v>10</v>
      </c>
      <c r="AF3" s="38">
        <f>Table13[[#This Row],[Unit Price (EUR)]]*Table13[[#This Row],[Units Sold]]</f>
        <v>1935</v>
      </c>
      <c r="AG3" s="38">
        <f>Table13[[#This Row],[Gross Price (Euro)]]*Table13[[#This Row],[Calc Discount (%)]]/100</f>
        <v>193.5</v>
      </c>
      <c r="AH3" s="39">
        <f>Table13[[#This Row],[Gross Price (Euro)]]-Table13[[#This Row],[Discount Value (Euro)]]</f>
        <v>1741.5</v>
      </c>
      <c r="AK3" s="22" t="s">
        <v>155</v>
      </c>
      <c r="AL3" s="22" t="s">
        <v>161</v>
      </c>
    </row>
    <row r="4" spans="1:38" x14ac:dyDescent="0.25">
      <c r="A4" s="43">
        <v>3</v>
      </c>
      <c r="B4" s="23" t="s">
        <v>13</v>
      </c>
      <c r="C4" s="23" t="s">
        <v>14</v>
      </c>
      <c r="D4" s="23" t="str">
        <f>_xlfn.TEXTJOIN(" ",,Table13[[#This Row],[Rep First Name]],Table13[[#This Row],[Rep Last Name]])</f>
        <v>Sanya Joshi</v>
      </c>
      <c r="E4" s="23" t="s">
        <v>15</v>
      </c>
      <c r="F4" s="23" t="str">
        <f>IF(LEN(Table13[[#This Row],[Month]]) &gt; 0, LEFT(Table13[[#This Row],[Month]], 3), "")</f>
        <v>Jun</v>
      </c>
      <c r="G4" s="23" t="s">
        <v>27</v>
      </c>
      <c r="H4" s="23" t="s">
        <v>17</v>
      </c>
      <c r="I4" s="44">
        <f>IF(ISNUMBER(SEARCH("km/h",Table13[[#This Row],[Min Speed]])),VALUE(_xlfn.TEXTBEFORE(Table13[[#This Row],[Min Speed]]," ")),ROUND(VALUE(_xlfn.TEXTBEFORE(Table13[[#This Row],[Min Speed]]," "))*1.60934,0))</f>
        <v>64</v>
      </c>
      <c r="J4" s="44">
        <f>ROUND(IF(ISNUMBER(SEARCH("km/h",Table13[[#This Row],[Min Speed]])),Table13[[#This Row],[Min Speed (km/h)]]*0.621371,VALUE(_xlfn.TEXTBEFORE(Table13[[#This Row],[Min Speed]]," "))),0)</f>
        <v>40</v>
      </c>
      <c r="K4" s="23" t="s">
        <v>25</v>
      </c>
      <c r="L4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4" s="44">
        <f>IF(ISNUMBER(SEARCH("mph",Table13[[#This Row],[Max Speed]])),--_xlfn.TEXTBEFORE(Table13[[#This Row],[Max Speed]]," mph"),ROUND(--_xlfn.TEXTBEFORE(Table13[[#This Row],[Max Speed]]," km/h")*0.621371,0))</f>
        <v>150</v>
      </c>
      <c r="N4" s="23" t="s">
        <v>28</v>
      </c>
      <c r="O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4" s="42" t="str">
        <f>TEXT(Table13[[#This Row],[Min Speed (km/h)]],"0")&amp;" - "&amp;TEXT(Table13[[#This Row],[Max Speed (km/h)]],"0")&amp;""</f>
        <v>64 - 241</v>
      </c>
      <c r="Q4" s="46">
        <f>IF(Table13[[#This Row],[Distance (km)]]="", AVERAGE(Table13[Distance (km)]), Table13[[#This Row],[Distance (km)]])</f>
        <v>241.40100000000001</v>
      </c>
      <c r="R4" s="23" t="s">
        <v>29</v>
      </c>
      <c r="S4" s="42" t="str" cm="1">
        <f t="array" ref="S4">TRIM(INDEX(_xlfn.TEXTSPLIT(Table13[[#This Row],[Shipping Address]],","),1))</f>
        <v>5678 Oak Avenue</v>
      </c>
      <c r="T4" s="42" t="str" cm="1">
        <f t="array" ref="T4">TRIM(INDEX(_xlfn.TEXTSPLIT(Table13[[#This Row],[Shipping Address]],","),2))</f>
        <v>New York</v>
      </c>
      <c r="U4" s="42" t="str" cm="1">
        <f t="array" ref="U4">TRIM(INDEX(_xlfn.TEXTSPLIT(Table13[[#This Row],[Shipping Address]],","),3))</f>
        <v>10001</v>
      </c>
      <c r="V4" s="23" t="s">
        <v>21</v>
      </c>
      <c r="W4" s="42" t="str" cm="1">
        <f t="array" ref="W4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4" s="42" t="str" cm="1">
        <f t="array" ref="X4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4" s="23" t="s">
        <v>30</v>
      </c>
      <c r="Z4" s="33">
        <f>_xlfn.NUMBERVALUE(_xlfn.TEXTBEFORE(Table13[[#This Row],[Unit Price]]," "))</f>
        <v>200</v>
      </c>
      <c r="AA4" s="23" t="str">
        <f>RIGHT(Table13[[#This Row],[Unit Price]],LEN(Table13[[#This Row],[Unit Price]])-FIND(" ",Table13[[#This Row],[Unit Price]]))</f>
        <v>USD</v>
      </c>
      <c r="AB4" s="33" cm="1">
        <f t="array" ref="AB4">Table13[[#This Row],[Unit Price Value]]*_xlfn.XLOOKUP(Table13[[#This Row],[Unit Price Currency]],{"EUR","USD","GBP","BRL","CAD","CNY","AUD","ZAR","MXN","JPY","INR"},{1,0.86,1.15,0.15,0.63,0.12,0.56,0.05,0.05,0.01,0.01},NA())</f>
        <v>172</v>
      </c>
      <c r="AC4" s="32">
        <v>10</v>
      </c>
      <c r="AD4" s="32">
        <v>5</v>
      </c>
      <c r="AE4" s="20">
        <f>IF(Table13[[#This Row],[Discount (%)]]="",CHOOSE(MATCH(MOD(Table13[[#This Row],[Sales Rep ID]],3)+1,{1,2,3},0),5,10,15),Table13[[#This Row],[Discount (%)]])</f>
        <v>5</v>
      </c>
      <c r="AF4" s="38">
        <f>Table13[[#This Row],[Unit Price (EUR)]]*Table13[[#This Row],[Units Sold]]</f>
        <v>1720</v>
      </c>
      <c r="AG4" s="38">
        <f>Table13[[#This Row],[Gross Price (Euro)]]*Table13[[#This Row],[Calc Discount (%)]]/100</f>
        <v>86</v>
      </c>
      <c r="AH4" s="39">
        <f>Table13[[#This Row],[Gross Price (Euro)]]-Table13[[#This Row],[Discount Value (Euro)]]</f>
        <v>1634</v>
      </c>
      <c r="AK4" s="25" t="e" vm="1">
        <v>#VALUE!</v>
      </c>
      <c r="AL4" s="24" cm="1">
        <f t="array" aca="1" ref="AL4" ca="1">_FV(AK4,"Price")</f>
        <v>0.85699999999999998</v>
      </c>
    </row>
    <row r="5" spans="1:38" x14ac:dyDescent="0.25">
      <c r="A5" s="43">
        <v>4</v>
      </c>
      <c r="B5" s="23" t="s">
        <v>13</v>
      </c>
      <c r="C5" s="23" t="s">
        <v>14</v>
      </c>
      <c r="D5" s="23" t="str">
        <f>_xlfn.TEXTJOIN(" ",,Table13[[#This Row],[Rep First Name]],Table13[[#This Row],[Rep Last Name]])</f>
        <v>Sanya Joshi</v>
      </c>
      <c r="E5" s="23" t="s">
        <v>31</v>
      </c>
      <c r="F5" s="23" t="str">
        <f>IF(LEN(Table13[[#This Row],[Month]]) &gt; 0, LEFT(Table13[[#This Row],[Month]], 3), "")</f>
        <v>Jan</v>
      </c>
      <c r="G5" s="23" t="s">
        <v>16</v>
      </c>
      <c r="H5" s="23" t="s">
        <v>32</v>
      </c>
      <c r="I5" s="44">
        <f>IF(ISNUMBER(SEARCH("km/h",Table13[[#This Row],[Min Speed]])),VALUE(_xlfn.TEXTBEFORE(Table13[[#This Row],[Min Speed]]," ")),ROUND(VALUE(_xlfn.TEXTBEFORE(Table13[[#This Row],[Min Speed]]," "))*1.60934,0))</f>
        <v>30</v>
      </c>
      <c r="J5" s="44">
        <f>ROUND(IF(ISNUMBER(SEARCH("km/h",Table13[[#This Row],[Min Speed]])),Table13[[#This Row],[Min Speed (km/h)]]*0.621371,VALUE(_xlfn.TEXTBEFORE(Table13[[#This Row],[Min Speed]]," "))),0)</f>
        <v>19</v>
      </c>
      <c r="K5" s="23" t="s">
        <v>18</v>
      </c>
      <c r="L5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5" s="44">
        <f>IF(ISNUMBER(SEARCH("mph",Table13[[#This Row],[Max Speed]])),--_xlfn.TEXTBEFORE(Table13[[#This Row],[Max Speed]]," mph"),ROUND(--_xlfn.TEXTBEFORE(Table13[[#This Row],[Max Speed]]," km/h")*0.621371,0))</f>
        <v>75</v>
      </c>
      <c r="N5" s="23"/>
      <c r="O5" s="45" t="str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/>
      </c>
      <c r="P5" s="42" t="str">
        <f>TEXT(Table13[[#This Row],[Min Speed (km/h)]],"0")&amp;" - "&amp;TEXT(Table13[[#This Row],[Max Speed (km/h)]],"0")&amp;""</f>
        <v>30 - 120</v>
      </c>
      <c r="Q5" s="46">
        <f>IF(Table13[[#This Row],[Distance (km)]]="", AVERAGE(Table13[Distance (km)]), Table13[[#This Row],[Distance (km)]])</f>
        <v>451.98137500000013</v>
      </c>
      <c r="R5" s="23" t="s">
        <v>33</v>
      </c>
      <c r="S5" s="42" t="str" cm="1">
        <f t="array" ref="S5">TRIM(INDEX(_xlfn.TEXTSPLIT(Table13[[#This Row],[Shipping Address]],","),1))</f>
        <v>9101 Pine Drive</v>
      </c>
      <c r="T5" s="42" t="str" cm="1">
        <f t="array" ref="T5">TRIM(INDEX(_xlfn.TEXTSPLIT(Table13[[#This Row],[Shipping Address]],","),2))</f>
        <v>Atlanta</v>
      </c>
      <c r="U5" s="42" t="str" cm="1">
        <f t="array" ref="U5">TRIM(INDEX(_xlfn.TEXTSPLIT(Table13[[#This Row],[Shipping Address]],","),3))</f>
        <v>30301</v>
      </c>
      <c r="V5" s="23" t="s">
        <v>21</v>
      </c>
      <c r="W5" s="42" t="str" cm="1">
        <f t="array" ref="W5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5" s="42" t="str" cm="1">
        <f t="array" ref="X5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5" s="23" t="s">
        <v>34</v>
      </c>
      <c r="Z5" s="33">
        <f>_xlfn.NUMBERVALUE(_xlfn.TEXTBEFORE(Table13[[#This Row],[Unit Price]]," "))</f>
        <v>250</v>
      </c>
      <c r="AA5" s="23" t="str">
        <f>RIGHT(Table13[[#This Row],[Unit Price]],LEN(Table13[[#This Row],[Unit Price]])-FIND(" ",Table13[[#This Row],[Unit Price]]))</f>
        <v>USD</v>
      </c>
      <c r="AB5" s="33" cm="1">
        <f t="array" ref="AB5">Table13[[#This Row],[Unit Price Value]]*_xlfn.XLOOKUP(Table13[[#This Row],[Unit Price Currency]],{"EUR","USD","GBP","BRL","CAD","CNY","AUD","ZAR","MXN","JPY","INR"},{1,0.86,1.15,0.15,0.63,0.12,0.56,0.05,0.05,0.01,0.01},NA())</f>
        <v>215</v>
      </c>
      <c r="AC5" s="32">
        <v>8</v>
      </c>
      <c r="AD5" s="32">
        <v>10</v>
      </c>
      <c r="AE5" s="20">
        <f>IF(Table13[[#This Row],[Discount (%)]]="",CHOOSE(MATCH(MOD(Table13[[#This Row],[Sales Rep ID]],3)+1,{1,2,3},0),5,10,15),Table13[[#This Row],[Discount (%)]])</f>
        <v>10</v>
      </c>
      <c r="AF5" s="38">
        <f>Table13[[#This Row],[Unit Price (EUR)]]*Table13[[#This Row],[Units Sold]]</f>
        <v>1720</v>
      </c>
      <c r="AG5" s="38">
        <f>Table13[[#This Row],[Gross Price (Euro)]]*Table13[[#This Row],[Calc Discount (%)]]/100</f>
        <v>172</v>
      </c>
      <c r="AH5" s="39">
        <f>Table13[[#This Row],[Gross Price (Euro)]]-Table13[[#This Row],[Discount Value (Euro)]]</f>
        <v>1548</v>
      </c>
      <c r="AK5" s="25" t="e" vm="2">
        <v>#VALUE!</v>
      </c>
      <c r="AL5" s="24" cm="1">
        <f t="array" aca="1" ref="AL5" ca="1">_FV(AK5,"Price")</f>
        <v>0.62250000000000005</v>
      </c>
    </row>
    <row r="6" spans="1:38" x14ac:dyDescent="0.25">
      <c r="A6" s="43">
        <v>5</v>
      </c>
      <c r="B6" s="23" t="s">
        <v>35</v>
      </c>
      <c r="C6" s="23" t="s">
        <v>36</v>
      </c>
      <c r="D6" s="23" t="str">
        <f>_xlfn.TEXTJOIN(" ",,Table13[[#This Row],[Rep First Name]],Table13[[#This Row],[Rep Last Name]])</f>
        <v>Fang Liu</v>
      </c>
      <c r="E6" s="23" t="s">
        <v>37</v>
      </c>
      <c r="F6" s="23" t="str">
        <f>IF(LEN(Table13[[#This Row],[Month]]) &gt; 0, LEFT(Table13[[#This Row],[Month]], 3), "")</f>
        <v>Feb</v>
      </c>
      <c r="G6" s="23" t="s">
        <v>27</v>
      </c>
      <c r="H6" s="23" t="s">
        <v>24</v>
      </c>
      <c r="I6" s="44">
        <f>IF(ISNUMBER(SEARCH("km/h",Table13[[#This Row],[Min Speed]])),VALUE(_xlfn.TEXTBEFORE(Table13[[#This Row],[Min Speed]]," ")),ROUND(VALUE(_xlfn.TEXTBEFORE(Table13[[#This Row],[Min Speed]]," "))*1.60934,0))</f>
        <v>80</v>
      </c>
      <c r="J6" s="44">
        <f>ROUND(IF(ISNUMBER(SEARCH("km/h",Table13[[#This Row],[Min Speed]])),Table13[[#This Row],[Min Speed (km/h)]]*0.621371,VALUE(_xlfn.TEXTBEFORE(Table13[[#This Row],[Min Speed]]," "))),0)</f>
        <v>50</v>
      </c>
      <c r="K6" s="23" t="s">
        <v>25</v>
      </c>
      <c r="L6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6" s="44">
        <f>IF(ISNUMBER(SEARCH("mph",Table13[[#This Row],[Max Speed]])),--_xlfn.TEXTBEFORE(Table13[[#This Row],[Max Speed]]," mph"),ROUND(--_xlfn.TEXTBEFORE(Table13[[#This Row],[Max Speed]]," km/h")*0.621371,0))</f>
        <v>150</v>
      </c>
      <c r="N6" s="23" t="s">
        <v>26</v>
      </c>
      <c r="O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6" s="42" t="str">
        <f>TEXT(Table13[[#This Row],[Min Speed (km/h)]],"0")&amp;" - "&amp;TEXT(Table13[[#This Row],[Max Speed (km/h)]],"0")&amp;""</f>
        <v>80 - 241</v>
      </c>
      <c r="Q6" s="46">
        <f>IF(Table13[[#This Row],[Distance (km)]]="", AVERAGE(Table13[Distance (km)]), Table13[[#This Row],[Distance (km)]])</f>
        <v>482.80200000000002</v>
      </c>
      <c r="R6" s="23" t="s">
        <v>38</v>
      </c>
      <c r="S6" s="42" t="str" cm="1">
        <f t="array" ref="S6">TRIM(INDEX(_xlfn.TEXTSPLIT(Table13[[#This Row],[Shipping Address]],","),1))</f>
        <v>2345 Birch Lane</v>
      </c>
      <c r="T6" s="42" t="str" cm="1">
        <f t="array" ref="T6">TRIM(INDEX(_xlfn.TEXTSPLIT(Table13[[#This Row],[Shipping Address]],","),2))</f>
        <v>Chicago</v>
      </c>
      <c r="U6" s="42" t="str" cm="1">
        <f t="array" ref="U6">TRIM(INDEX(_xlfn.TEXTSPLIT(Table13[[#This Row],[Shipping Address]],","),3))</f>
        <v>60614</v>
      </c>
      <c r="V6" s="23" t="s">
        <v>21</v>
      </c>
      <c r="W6" s="42" t="str" cm="1">
        <f t="array" ref="W6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6" s="42" t="str" cm="1">
        <f t="array" ref="X6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" s="23" t="s">
        <v>39</v>
      </c>
      <c r="Z6" s="33">
        <f>_xlfn.NUMBERVALUE(_xlfn.TEXTBEFORE(Table13[[#This Row],[Unit Price]]," "))</f>
        <v>300</v>
      </c>
      <c r="AA6" s="23" t="str">
        <f>RIGHT(Table13[[#This Row],[Unit Price]],LEN(Table13[[#This Row],[Unit Price]])-FIND(" ",Table13[[#This Row],[Unit Price]]))</f>
        <v>USD</v>
      </c>
      <c r="AB6" s="34" cm="1">
        <f t="array" ref="AB6">Table13[[#This Row],[Unit Price Value]]*_xlfn.XLOOKUP(Table13[[#This Row],[Unit Price Currency]],{"EUR","USD","GBP","BRL","CAD","CNY","AUD","ZAR","MXN","JPY","INR"},{1,0.86,1.15,0.15,0.63,0.12,0.56,0.05,0.05,0.01,0.01},NA())</f>
        <v>258</v>
      </c>
      <c r="AC6" s="32">
        <v>5</v>
      </c>
      <c r="AD6" s="32">
        <v>5</v>
      </c>
      <c r="AE6" s="20">
        <f>IF(Table13[[#This Row],[Discount (%)]]="",CHOOSE(MATCH(MOD(Table13[[#This Row],[Sales Rep ID]],3)+1,{1,2,3},0),5,10,15),Table13[[#This Row],[Discount (%)]])</f>
        <v>5</v>
      </c>
      <c r="AF6" s="38">
        <f>Table13[[#This Row],[Unit Price (EUR)]]*Table13[[#This Row],[Units Sold]]</f>
        <v>1290</v>
      </c>
      <c r="AG6" s="38">
        <f>Table13[[#This Row],[Gross Price (Euro)]]*Table13[[#This Row],[Calc Discount (%)]]/100</f>
        <v>64.5</v>
      </c>
      <c r="AH6" s="39">
        <f>Table13[[#This Row],[Gross Price (Euro)]]-Table13[[#This Row],[Discount Value (Euro)]]</f>
        <v>1225.5</v>
      </c>
      <c r="AK6" s="25" t="e" vm="3">
        <v>#VALUE!</v>
      </c>
      <c r="AL6" s="24" cm="1">
        <f t="array" aca="1" ref="AL6" ca="1">_FV(AK6,"Price")</f>
        <v>0.1588</v>
      </c>
    </row>
    <row r="7" spans="1:38" x14ac:dyDescent="0.25">
      <c r="A7" s="43">
        <v>6</v>
      </c>
      <c r="B7" s="23" t="s">
        <v>35</v>
      </c>
      <c r="C7" s="23" t="s">
        <v>36</v>
      </c>
      <c r="D7" s="23" t="str">
        <f>_xlfn.TEXTJOIN(" ",,Table13[[#This Row],[Rep First Name]],Table13[[#This Row],[Rep Last Name]])</f>
        <v>Fang Liu</v>
      </c>
      <c r="E7" s="23" t="s">
        <v>15</v>
      </c>
      <c r="F7" s="23" t="str">
        <f>IF(LEN(Table13[[#This Row],[Month]]) &gt; 0, LEFT(Table13[[#This Row],[Month]], 3), "")</f>
        <v>Jun</v>
      </c>
      <c r="G7" s="23" t="s">
        <v>16</v>
      </c>
      <c r="H7" s="23" t="s">
        <v>32</v>
      </c>
      <c r="I7" s="44">
        <f>IF(ISNUMBER(SEARCH("km/h",Table13[[#This Row],[Min Speed]])),VALUE(_xlfn.TEXTBEFORE(Table13[[#This Row],[Min Speed]]," ")),ROUND(VALUE(_xlfn.TEXTBEFORE(Table13[[#This Row],[Min Speed]]," "))*1.60934,0))</f>
        <v>30</v>
      </c>
      <c r="J7" s="44">
        <f>ROUND(IF(ISNUMBER(SEARCH("km/h",Table13[[#This Row],[Min Speed]])),Table13[[#This Row],[Min Speed (km/h)]]*0.621371,VALUE(_xlfn.TEXTBEFORE(Table13[[#This Row],[Min Speed]]," "))),0)</f>
        <v>19</v>
      </c>
      <c r="K7" s="23" t="s">
        <v>25</v>
      </c>
      <c r="L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7" s="44">
        <f>IF(ISNUMBER(SEARCH("mph",Table13[[#This Row],[Max Speed]])),--_xlfn.TEXTBEFORE(Table13[[#This Row],[Max Speed]]," mph"),ROUND(--_xlfn.TEXTBEFORE(Table13[[#This Row],[Max Speed]]," km/h")*0.621371,0))</f>
        <v>150</v>
      </c>
      <c r="N7" s="23" t="s">
        <v>19</v>
      </c>
      <c r="O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7" s="42" t="str">
        <f>TEXT(Table13[[#This Row],[Min Speed (km/h)]],"0")&amp;" - "&amp;TEXT(Table13[[#This Row],[Max Speed (km/h)]],"0")&amp;""</f>
        <v>30 - 241</v>
      </c>
      <c r="Q7" s="46">
        <f>IF(Table13[[#This Row],[Distance (km)]]="", AVERAGE(Table13[Distance (km)]), Table13[[#This Row],[Distance (km)]])</f>
        <v>500</v>
      </c>
      <c r="R7" s="23" t="s">
        <v>40</v>
      </c>
      <c r="S7" s="42" t="str" cm="1">
        <f t="array" ref="S7">TRIM(INDEX(_xlfn.TEXTSPLIT(Table13[[#This Row],[Shipping Address]],","),1))</f>
        <v>123 Queen Street</v>
      </c>
      <c r="T7" s="42" t="str" cm="1">
        <f t="array" ref="T7">TRIM(INDEX(_xlfn.TEXTSPLIT(Table13[[#This Row],[Shipping Address]],","),2))</f>
        <v>Toronto</v>
      </c>
      <c r="U7" s="42" t="str" cm="1">
        <f t="array" ref="U7">TRIM(INDEX(_xlfn.TEXTSPLIT(Table13[[#This Row],[Shipping Address]],","),3))</f>
        <v>M5H 2N2</v>
      </c>
      <c r="V7" s="23" t="s">
        <v>41</v>
      </c>
      <c r="W7" s="42" t="str" cm="1">
        <f t="array" ref="W7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7" s="42" t="str" cm="1">
        <f t="array" ref="X7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7" s="23" t="s">
        <v>42</v>
      </c>
      <c r="Z7" s="33">
        <f>_xlfn.NUMBERVALUE(_xlfn.TEXTBEFORE(Table13[[#This Row],[Unit Price]]," "))</f>
        <v>204</v>
      </c>
      <c r="AA7" s="23" t="str">
        <f>RIGHT(Table13[[#This Row],[Unit Price]],LEN(Table13[[#This Row],[Unit Price]])-FIND(" ",Table13[[#This Row],[Unit Price]]))</f>
        <v>CAD</v>
      </c>
      <c r="AB7" s="33" cm="1">
        <f t="array" ref="AB7">Table13[[#This Row],[Unit Price Value]]*_xlfn.XLOOKUP(Table13[[#This Row],[Unit Price Currency]],{"EUR","USD","GBP","BRL","CAD","CNY","AUD","ZAR","MXN","JPY","INR"},{1,0.86,1.15,0.15,0.63,0.12,0.56,0.05,0.05,0.01,0.01},NA())</f>
        <v>128.52000000000001</v>
      </c>
      <c r="AC7" s="32">
        <v>12</v>
      </c>
      <c r="AD7" s="32"/>
      <c r="AE7" s="20">
        <f>IF(Table13[[#This Row],[Discount (%)]]="",CHOOSE(MATCH(MOD(Table13[[#This Row],[Sales Rep ID]],3)+1,{1,2,3},0),5,10,15),Table13[[#This Row],[Discount (%)]])</f>
        <v>5</v>
      </c>
      <c r="AF7" s="38">
        <f>Table13[[#This Row],[Unit Price (EUR)]]*Table13[[#This Row],[Units Sold]]</f>
        <v>1542.2400000000002</v>
      </c>
      <c r="AG7" s="38">
        <f>Table13[[#This Row],[Gross Price (Euro)]]*Table13[[#This Row],[Calc Discount (%)]]/100</f>
        <v>77.112000000000009</v>
      </c>
      <c r="AH7" s="39">
        <f>Table13[[#This Row],[Gross Price (Euro)]]-Table13[[#This Row],[Discount Value (Euro)]]</f>
        <v>1465.1280000000002</v>
      </c>
      <c r="AK7" s="25" t="e" vm="4">
        <v>#VALUE!</v>
      </c>
      <c r="AL7" s="24" cm="1">
        <f t="array" aca="1" ref="AL7" ca="1">_FV(AK7,"Price")</f>
        <v>1.1569</v>
      </c>
    </row>
    <row r="8" spans="1:38" x14ac:dyDescent="0.25">
      <c r="A8" s="43">
        <v>7</v>
      </c>
      <c r="B8" s="23" t="s">
        <v>35</v>
      </c>
      <c r="C8" s="23" t="s">
        <v>36</v>
      </c>
      <c r="D8" s="23" t="str">
        <f>_xlfn.TEXTJOIN(" ",,Table13[[#This Row],[Rep First Name]],Table13[[#This Row],[Rep Last Name]])</f>
        <v>Fang Liu</v>
      </c>
      <c r="E8" s="23" t="s">
        <v>15</v>
      </c>
      <c r="F8" s="23" t="str">
        <f>IF(LEN(Table13[[#This Row],[Month]]) &gt; 0, LEFT(Table13[[#This Row],[Month]], 3), "")</f>
        <v>Jun</v>
      </c>
      <c r="G8" s="23" t="s">
        <v>43</v>
      </c>
      <c r="H8" s="23" t="s">
        <v>24</v>
      </c>
      <c r="I8" s="44">
        <f>IF(ISNUMBER(SEARCH("km/h",Table13[[#This Row],[Min Speed]])),VALUE(_xlfn.TEXTBEFORE(Table13[[#This Row],[Min Speed]]," ")),ROUND(VALUE(_xlfn.TEXTBEFORE(Table13[[#This Row],[Min Speed]]," "))*1.60934,0))</f>
        <v>80</v>
      </c>
      <c r="J8" s="44">
        <f>ROUND(IF(ISNUMBER(SEARCH("km/h",Table13[[#This Row],[Min Speed]])),Table13[[#This Row],[Min Speed (km/h)]]*0.621371,VALUE(_xlfn.TEXTBEFORE(Table13[[#This Row],[Min Speed]]," "))),0)</f>
        <v>50</v>
      </c>
      <c r="K8" s="23" t="s">
        <v>44</v>
      </c>
      <c r="L8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8" s="44">
        <f>IF(ISNUMBER(SEARCH("mph",Table13[[#This Row],[Max Speed]])),--_xlfn.TEXTBEFORE(Table13[[#This Row],[Max Speed]]," mph"),ROUND(--_xlfn.TEXTBEFORE(Table13[[#This Row],[Max Speed]]," km/h")*0.621371,0))</f>
        <v>50</v>
      </c>
      <c r="N8" s="23" t="s">
        <v>19</v>
      </c>
      <c r="O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8" s="42" t="str">
        <f>TEXT(Table13[[#This Row],[Min Speed (km/h)]],"0")&amp;" - "&amp;TEXT(Table13[[#This Row],[Max Speed (km/h)]],"0")&amp;""</f>
        <v>80 - 80</v>
      </c>
      <c r="Q8" s="46">
        <f>IF(Table13[[#This Row],[Distance (km)]]="", AVERAGE(Table13[Distance (km)]), Table13[[#This Row],[Distance (km)]])</f>
        <v>500</v>
      </c>
      <c r="R8" s="23" t="s">
        <v>40</v>
      </c>
      <c r="S8" s="42" t="str" cm="1">
        <f t="array" ref="S8">TRIM(INDEX(_xlfn.TEXTSPLIT(Table13[[#This Row],[Shipping Address]],","),1))</f>
        <v>123 Queen Street</v>
      </c>
      <c r="T8" s="42" t="str" cm="1">
        <f t="array" ref="T8">TRIM(INDEX(_xlfn.TEXTSPLIT(Table13[[#This Row],[Shipping Address]],","),2))</f>
        <v>Toronto</v>
      </c>
      <c r="U8" s="42" t="str" cm="1">
        <f t="array" ref="U8">TRIM(INDEX(_xlfn.TEXTSPLIT(Table13[[#This Row],[Shipping Address]],","),3))</f>
        <v>M5H 2N2</v>
      </c>
      <c r="V8" s="23" t="s">
        <v>41</v>
      </c>
      <c r="W8" s="42" t="str" cm="1">
        <f t="array" ref="W8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8" s="42" t="str" cm="1">
        <f t="array" ref="X8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8" s="23" t="s">
        <v>42</v>
      </c>
      <c r="Z8" s="33">
        <f>_xlfn.NUMBERVALUE(_xlfn.TEXTBEFORE(Table13[[#This Row],[Unit Price]]," "))</f>
        <v>204</v>
      </c>
      <c r="AA8" s="23" t="str">
        <f>RIGHT(Table13[[#This Row],[Unit Price]],LEN(Table13[[#This Row],[Unit Price]])-FIND(" ",Table13[[#This Row],[Unit Price]]))</f>
        <v>CAD</v>
      </c>
      <c r="AB8" s="33" cm="1">
        <f t="array" ref="AB8">Table13[[#This Row],[Unit Price Value]]*_xlfn.XLOOKUP(Table13[[#This Row],[Unit Price Currency]],{"EUR","USD","GBP","BRL","CAD","CNY","AUD","ZAR","MXN","JPY","INR"},{1,0.86,1.15,0.15,0.63,0.12,0.56,0.05,0.05,0.01,0.01},NA())</f>
        <v>128.52000000000001</v>
      </c>
      <c r="AC8" s="32">
        <v>12</v>
      </c>
      <c r="AD8" s="32">
        <v>15</v>
      </c>
      <c r="AE8" s="20">
        <f>IF(Table13[[#This Row],[Discount (%)]]="",CHOOSE(MATCH(MOD(Table13[[#This Row],[Sales Rep ID]],3)+1,{1,2,3},0),5,10,15),Table13[[#This Row],[Discount (%)]])</f>
        <v>15</v>
      </c>
      <c r="AF8" s="38">
        <f>Table13[[#This Row],[Unit Price (EUR)]]*Table13[[#This Row],[Units Sold]]</f>
        <v>1542.2400000000002</v>
      </c>
      <c r="AG8" s="38">
        <f>Table13[[#This Row],[Gross Price (Euro)]]*Table13[[#This Row],[Calc Discount (%)]]/100</f>
        <v>231.33600000000001</v>
      </c>
      <c r="AH8" s="39">
        <f>Table13[[#This Row],[Gross Price (Euro)]]-Table13[[#This Row],[Discount Value (Euro)]]</f>
        <v>1310.9040000000002</v>
      </c>
      <c r="AK8" s="25" t="e" vm="5">
        <v>#VALUE!</v>
      </c>
      <c r="AL8" s="24" cm="1">
        <f t="array" aca="1" ref="AL8" ca="1">_FV(AK8,"Price")</f>
        <v>0.11940000000000001</v>
      </c>
    </row>
    <row r="9" spans="1:38" x14ac:dyDescent="0.25">
      <c r="A9" s="43">
        <v>8</v>
      </c>
      <c r="B9" s="23" t="s">
        <v>45</v>
      </c>
      <c r="C9" s="23" t="s">
        <v>46</v>
      </c>
      <c r="D9" s="23" t="str">
        <f>_xlfn.TEXTJOIN(" ",,Table13[[#This Row],[Rep First Name]],Table13[[#This Row],[Rep Last Name]])</f>
        <v>Jonas Fischer</v>
      </c>
      <c r="E9" s="23" t="s">
        <v>47</v>
      </c>
      <c r="F9" s="23" t="str">
        <f>IF(LEN(Table13[[#This Row],[Month]]) &gt; 0, LEFT(Table13[[#This Row],[Month]], 3), "")</f>
        <v>Apr</v>
      </c>
      <c r="G9" s="23" t="s">
        <v>43</v>
      </c>
      <c r="H9" s="23" t="s">
        <v>48</v>
      </c>
      <c r="I9" s="44">
        <f>IF(ISNUMBER(SEARCH("km/h",Table13[[#This Row],[Min Speed]])),VALUE(_xlfn.TEXTBEFORE(Table13[[#This Row],[Min Speed]]," ")),ROUND(VALUE(_xlfn.TEXTBEFORE(Table13[[#This Row],[Min Speed]]," "))*1.60934,0))</f>
        <v>20</v>
      </c>
      <c r="J9" s="44">
        <f>ROUND(IF(ISNUMBER(SEARCH("km/h",Table13[[#This Row],[Min Speed]])),Table13[[#This Row],[Min Speed (km/h)]]*0.621371,VALUE(_xlfn.TEXTBEFORE(Table13[[#This Row],[Min Speed]]," "))),0)</f>
        <v>12</v>
      </c>
      <c r="K9" s="23" t="s">
        <v>25</v>
      </c>
      <c r="L9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9" s="44">
        <f>IF(ISNUMBER(SEARCH("mph",Table13[[#This Row],[Max Speed]])),--_xlfn.TEXTBEFORE(Table13[[#This Row],[Max Speed]]," mph"),ROUND(--_xlfn.TEXTBEFORE(Table13[[#This Row],[Max Speed]]," km/h")*0.621371,0))</f>
        <v>150</v>
      </c>
      <c r="N9" s="23" t="s">
        <v>19</v>
      </c>
      <c r="O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9" s="42" t="str">
        <f>TEXT(Table13[[#This Row],[Min Speed (km/h)]],"0")&amp;" - "&amp;TEXT(Table13[[#This Row],[Max Speed (km/h)]],"0")&amp;""</f>
        <v>20 - 241</v>
      </c>
      <c r="Q9" s="46">
        <f>IF(Table13[[#This Row],[Distance (km)]]="", AVERAGE(Table13[Distance (km)]), Table13[[#This Row],[Distance (km)]])</f>
        <v>500</v>
      </c>
      <c r="R9" s="23" t="s">
        <v>49</v>
      </c>
      <c r="S9" s="42" t="str" cm="1">
        <f t="array" ref="S9">TRIM(INDEX(_xlfn.TEXTSPLIT(Table13[[#This Row],[Shipping Address]],","),1))</f>
        <v>456 King Road</v>
      </c>
      <c r="T9" s="42" t="str" cm="1">
        <f t="array" ref="T9">TRIM(INDEX(_xlfn.TEXTSPLIT(Table13[[#This Row],[Shipping Address]],","),2))</f>
        <v>Ottawa</v>
      </c>
      <c r="U9" s="42" t="str" cm="1">
        <f t="array" ref="U9">TRIM(INDEX(_xlfn.TEXTSPLIT(Table13[[#This Row],[Shipping Address]],","),3))</f>
        <v>K1A 0B1</v>
      </c>
      <c r="V9" s="23" t="s">
        <v>41</v>
      </c>
      <c r="W9" s="42" t="str" cm="1">
        <f t="array" ref="W9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9" s="42" t="str" cm="1">
        <f t="array" ref="X9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9" s="23" t="s">
        <v>50</v>
      </c>
      <c r="Z9" s="33">
        <f>_xlfn.NUMBERVALUE(_xlfn.TEXTBEFORE(Table13[[#This Row],[Unit Price]]," "))</f>
        <v>272</v>
      </c>
      <c r="AA9" s="23" t="str">
        <f>RIGHT(Table13[[#This Row],[Unit Price]],LEN(Table13[[#This Row],[Unit Price]])-FIND(" ",Table13[[#This Row],[Unit Price]]))</f>
        <v>CAD</v>
      </c>
      <c r="AB9" s="33" cm="1">
        <f t="array" ref="AB9">Table13[[#This Row],[Unit Price Value]]*_xlfn.XLOOKUP(Table13[[#This Row],[Unit Price Currency]],{"EUR","USD","GBP","BRL","CAD","CNY","AUD","ZAR","MXN","JPY","INR"},{1,0.86,1.15,0.15,0.63,0.12,0.56,0.05,0.05,0.01,0.01},NA())</f>
        <v>171.36</v>
      </c>
      <c r="AC9" s="32">
        <v>9</v>
      </c>
      <c r="AD9" s="32"/>
      <c r="AE9" s="20">
        <f>IF(Table13[[#This Row],[Discount (%)]]="",CHOOSE(MATCH(MOD(Table13[[#This Row],[Sales Rep ID]],3)+1,{1,2,3},0),5,10,15),Table13[[#This Row],[Discount (%)]])</f>
        <v>15</v>
      </c>
      <c r="AF9" s="38">
        <f>Table13[[#This Row],[Unit Price (EUR)]]*Table13[[#This Row],[Units Sold]]</f>
        <v>1542.2400000000002</v>
      </c>
      <c r="AG9" s="38">
        <f>Table13[[#This Row],[Gross Price (Euro)]]*Table13[[#This Row],[Calc Discount (%)]]/100</f>
        <v>231.33600000000001</v>
      </c>
      <c r="AH9" s="39">
        <f>Table13[[#This Row],[Gross Price (Euro)]]-Table13[[#This Row],[Discount Value (Euro)]]</f>
        <v>1310.9040000000002</v>
      </c>
      <c r="AK9" s="25" t="e" vm="6">
        <v>#VALUE!</v>
      </c>
      <c r="AL9" s="24" cm="1">
        <f t="array" aca="1" ref="AL9" ca="1">_FV(AK9,"Price")</f>
        <v>0.5595</v>
      </c>
    </row>
    <row r="10" spans="1:38" x14ac:dyDescent="0.25">
      <c r="A10" s="43">
        <v>9</v>
      </c>
      <c r="B10" s="23" t="s">
        <v>45</v>
      </c>
      <c r="C10" s="23" t="s">
        <v>46</v>
      </c>
      <c r="D10" s="23" t="str">
        <f>_xlfn.TEXTJOIN(" ",,Table13[[#This Row],[Rep First Name]],Table13[[#This Row],[Rep Last Name]])</f>
        <v>Jonas Fischer</v>
      </c>
      <c r="E10" s="23" t="s">
        <v>47</v>
      </c>
      <c r="F10" s="23" t="str">
        <f>IF(LEN(Table13[[#This Row],[Month]]) &gt; 0, LEFT(Table13[[#This Row],[Month]], 3), "")</f>
        <v>Apr</v>
      </c>
      <c r="G10" s="23" t="s">
        <v>27</v>
      </c>
      <c r="H10" s="23" t="s">
        <v>32</v>
      </c>
      <c r="I10" s="44">
        <f>IF(ISNUMBER(SEARCH("km/h",Table13[[#This Row],[Min Speed]])),VALUE(_xlfn.TEXTBEFORE(Table13[[#This Row],[Min Speed]]," ")),ROUND(VALUE(_xlfn.TEXTBEFORE(Table13[[#This Row],[Min Speed]]," "))*1.60934,0))</f>
        <v>30</v>
      </c>
      <c r="J10" s="44">
        <f>ROUND(IF(ISNUMBER(SEARCH("km/h",Table13[[#This Row],[Min Speed]])),Table13[[#This Row],[Min Speed (km/h)]]*0.621371,VALUE(_xlfn.TEXTBEFORE(Table13[[#This Row],[Min Speed]]," "))),0)</f>
        <v>19</v>
      </c>
      <c r="K10" s="23" t="s">
        <v>25</v>
      </c>
      <c r="L10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0" s="44">
        <f>IF(ISNUMBER(SEARCH("mph",Table13[[#This Row],[Max Speed]])),--_xlfn.TEXTBEFORE(Table13[[#This Row],[Max Speed]]," mph"),ROUND(--_xlfn.TEXTBEFORE(Table13[[#This Row],[Max Speed]]," km/h")*0.621371,0))</f>
        <v>150</v>
      </c>
      <c r="N10" s="23" t="s">
        <v>28</v>
      </c>
      <c r="O1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0" s="42" t="str">
        <f>TEXT(Table13[[#This Row],[Min Speed (km/h)]],"0")&amp;" - "&amp;TEXT(Table13[[#This Row],[Max Speed (km/h)]],"0")&amp;""</f>
        <v>30 - 241</v>
      </c>
      <c r="Q10" s="46">
        <f>IF(Table13[[#This Row],[Distance (km)]]="", AVERAGE(Table13[Distance (km)]), Table13[[#This Row],[Distance (km)]])</f>
        <v>241.40100000000001</v>
      </c>
      <c r="R10" s="23" t="s">
        <v>51</v>
      </c>
      <c r="S10" s="42" t="str" cm="1">
        <f t="array" ref="S10">TRIM(INDEX(_xlfn.TEXTSPLIT(Table13[[#This Row],[Shipping Address]],","),1))</f>
        <v>789 Elm Boulevard</v>
      </c>
      <c r="T10" s="42" t="str" cm="1">
        <f t="array" ref="T10">TRIM(INDEX(_xlfn.TEXTSPLIT(Table13[[#This Row],[Shipping Address]],","),2))</f>
        <v>Vancouver</v>
      </c>
      <c r="U10" s="42" t="str" cm="1">
        <f t="array" ref="U10">TRIM(INDEX(_xlfn.TEXTSPLIT(Table13[[#This Row],[Shipping Address]],","),3))</f>
        <v>L4T 1P5</v>
      </c>
      <c r="V10" s="23" t="s">
        <v>41</v>
      </c>
      <c r="W10" s="42" t="str" cm="1">
        <f t="array" ref="W10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10" s="42" t="str" cm="1">
        <f t="array" ref="X10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0" s="23" t="s">
        <v>52</v>
      </c>
      <c r="Z10" s="33">
        <f>_xlfn.NUMBERVALUE(_xlfn.TEXTBEFORE(Table13[[#This Row],[Unit Price]]," "))</f>
        <v>340</v>
      </c>
      <c r="AA10" s="23" t="str">
        <f>RIGHT(Table13[[#This Row],[Unit Price]],LEN(Table13[[#This Row],[Unit Price]])-FIND(" ",Table13[[#This Row],[Unit Price]]))</f>
        <v>CAD</v>
      </c>
      <c r="AB10" s="33" cm="1">
        <f t="array" ref="AB10">Table13[[#This Row],[Unit Price Value]]*_xlfn.XLOOKUP(Table13[[#This Row],[Unit Price Currency]],{"EUR","USD","GBP","BRL","CAD","CNY","AUD","ZAR","MXN","JPY","INR"},{1,0.86,1.15,0.15,0.63,0.12,0.56,0.05,0.05,0.01,0.01},NA())</f>
        <v>214.2</v>
      </c>
      <c r="AC10" s="32">
        <v>6</v>
      </c>
      <c r="AD10" s="32"/>
      <c r="AE10" s="20">
        <f>IF(Table13[[#This Row],[Discount (%)]]="",CHOOSE(MATCH(MOD(Table13[[#This Row],[Sales Rep ID]],3)+1,{1,2,3},0),5,10,15),Table13[[#This Row],[Discount (%)]])</f>
        <v>5</v>
      </c>
      <c r="AF10" s="38">
        <f>Table13[[#This Row],[Unit Price (EUR)]]*Table13[[#This Row],[Units Sold]]</f>
        <v>1285.1999999999998</v>
      </c>
      <c r="AG10" s="38">
        <f>Table13[[#This Row],[Gross Price (Euro)]]*Table13[[#This Row],[Calc Discount (%)]]/100</f>
        <v>64.259999999999991</v>
      </c>
      <c r="AH10" s="39">
        <f>Table13[[#This Row],[Gross Price (Euro)]]-Table13[[#This Row],[Discount Value (Euro)]]</f>
        <v>1220.9399999999998</v>
      </c>
      <c r="AK10" s="25" t="e" vm="7">
        <v>#VALUE!</v>
      </c>
      <c r="AL10" s="24" cm="1">
        <f t="array" aca="1" ref="AL10" ca="1">_FV(AK10,"Price")</f>
        <v>4.87E-2</v>
      </c>
    </row>
    <row r="11" spans="1:38" x14ac:dyDescent="0.25">
      <c r="A11" s="43">
        <v>10</v>
      </c>
      <c r="B11" s="23" t="s">
        <v>45</v>
      </c>
      <c r="C11" s="23" t="s">
        <v>46</v>
      </c>
      <c r="D11" s="23" t="str">
        <f>_xlfn.TEXTJOIN(" ",,Table13[[#This Row],[Rep First Name]],Table13[[#This Row],[Rep Last Name]])</f>
        <v>Jonas Fischer</v>
      </c>
      <c r="E11" s="23" t="s">
        <v>15</v>
      </c>
      <c r="F11" s="23" t="str">
        <f>IF(LEN(Table13[[#This Row],[Month]]) &gt; 0, LEFT(Table13[[#This Row],[Month]], 3), "")</f>
        <v>Jun</v>
      </c>
      <c r="G11" s="23" t="s">
        <v>43</v>
      </c>
      <c r="H11" s="23" t="s">
        <v>48</v>
      </c>
      <c r="I11" s="44">
        <f>IF(ISNUMBER(SEARCH("km/h",Table13[[#This Row],[Min Speed]])),VALUE(_xlfn.TEXTBEFORE(Table13[[#This Row],[Min Speed]]," ")),ROUND(VALUE(_xlfn.TEXTBEFORE(Table13[[#This Row],[Min Speed]]," "))*1.60934,0))</f>
        <v>20</v>
      </c>
      <c r="J11" s="44">
        <f>ROUND(IF(ISNUMBER(SEARCH("km/h",Table13[[#This Row],[Min Speed]])),Table13[[#This Row],[Min Speed (km/h)]]*0.621371,VALUE(_xlfn.TEXTBEFORE(Table13[[#This Row],[Min Speed]]," "))),0)</f>
        <v>12</v>
      </c>
      <c r="K11" s="23" t="s">
        <v>44</v>
      </c>
      <c r="L11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1" s="44">
        <f>IF(ISNUMBER(SEARCH("mph",Table13[[#This Row],[Max Speed]])),--_xlfn.TEXTBEFORE(Table13[[#This Row],[Max Speed]]," mph"),ROUND(--_xlfn.TEXTBEFORE(Table13[[#This Row],[Max Speed]]," km/h")*0.621371,0))</f>
        <v>50</v>
      </c>
      <c r="N11" s="23" t="s">
        <v>19</v>
      </c>
      <c r="O1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1" s="42" t="str">
        <f>TEXT(Table13[[#This Row],[Min Speed (km/h)]],"0")&amp;" - "&amp;TEXT(Table13[[#This Row],[Max Speed (km/h)]],"0")&amp;""</f>
        <v>20 - 80</v>
      </c>
      <c r="Q11" s="46">
        <f>IF(Table13[[#This Row],[Distance (km)]]="", AVERAGE(Table13[Distance (km)]), Table13[[#This Row],[Distance (km)]])</f>
        <v>500</v>
      </c>
      <c r="R11" s="23" t="s">
        <v>53</v>
      </c>
      <c r="S11" s="42" t="str" cm="1">
        <f t="array" ref="S11">TRIM(INDEX(_xlfn.TEXTSPLIT(Table13[[#This Row],[Shipping Address]],","),1))</f>
        <v>321 Cedar Crescent</v>
      </c>
      <c r="T11" s="42" t="str" cm="1">
        <f t="array" ref="T11">TRIM(INDEX(_xlfn.TEXTSPLIT(Table13[[#This Row],[Shipping Address]],","),2))</f>
        <v>Calgary</v>
      </c>
      <c r="U11" s="42" t="str" cm="1">
        <f t="array" ref="U11">TRIM(INDEX(_xlfn.TEXTSPLIT(Table13[[#This Row],[Shipping Address]],","),3))</f>
        <v>T5A 0H2</v>
      </c>
      <c r="V11" s="23" t="s">
        <v>41</v>
      </c>
      <c r="W11" s="42" t="str" cm="1">
        <f t="array" ref="W11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11" s="42" t="str" cm="1">
        <f t="array" ref="X11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" s="23" t="s">
        <v>54</v>
      </c>
      <c r="Z11" s="33">
        <f>_xlfn.NUMBERVALUE(_xlfn.TEXTBEFORE(Table13[[#This Row],[Unit Price]]," "))</f>
        <v>408</v>
      </c>
      <c r="AA11" s="23" t="str">
        <f>RIGHT(Table13[[#This Row],[Unit Price]],LEN(Table13[[#This Row],[Unit Price]])-FIND(" ",Table13[[#This Row],[Unit Price]]))</f>
        <v>CAD</v>
      </c>
      <c r="AB11" s="33" cm="1">
        <f t="array" ref="AB11">Table13[[#This Row],[Unit Price Value]]*_xlfn.XLOOKUP(Table13[[#This Row],[Unit Price Currency]],{"EUR","USD","GBP","BRL","CAD","CNY","AUD","ZAR","MXN","JPY","INR"},{1,0.86,1.15,0.15,0.63,0.12,0.56,0.05,0.05,0.01,0.01},NA())</f>
        <v>257.04000000000002</v>
      </c>
      <c r="AC11" s="32">
        <v>4</v>
      </c>
      <c r="AD11" s="32">
        <v>15</v>
      </c>
      <c r="AE11" s="20">
        <f>IF(Table13[[#This Row],[Discount (%)]]="",CHOOSE(MATCH(MOD(Table13[[#This Row],[Sales Rep ID]],3)+1,{1,2,3},0),5,10,15),Table13[[#This Row],[Discount (%)]])</f>
        <v>15</v>
      </c>
      <c r="AF11" s="38">
        <f>Table13[[#This Row],[Unit Price (EUR)]]*Table13[[#This Row],[Units Sold]]</f>
        <v>1028.1600000000001</v>
      </c>
      <c r="AG11" s="38">
        <f>Table13[[#This Row],[Gross Price (Euro)]]*Table13[[#This Row],[Calc Discount (%)]]/100</f>
        <v>154.22400000000002</v>
      </c>
      <c r="AH11" s="39">
        <f>Table13[[#This Row],[Gross Price (Euro)]]-Table13[[#This Row],[Discount Value (Euro)]]</f>
        <v>873.93600000000004</v>
      </c>
      <c r="AK11" s="25" t="e" vm="8">
        <v>#VALUE!</v>
      </c>
      <c r="AL11" s="24" cm="1">
        <f t="array" aca="1" ref="AL11" ca="1">_FV(AK11,"Price")</f>
        <v>4.6120000000000001E-2</v>
      </c>
    </row>
    <row r="12" spans="1:38" x14ac:dyDescent="0.25">
      <c r="A12" s="43">
        <v>11</v>
      </c>
      <c r="B12" s="23" t="s">
        <v>45</v>
      </c>
      <c r="C12" s="23" t="s">
        <v>46</v>
      </c>
      <c r="D12" s="23" t="str">
        <f>_xlfn.TEXTJOIN(" ",,Table13[[#This Row],[Rep First Name]],Table13[[#This Row],[Rep Last Name]])</f>
        <v>Jonas Fischer</v>
      </c>
      <c r="E12" s="23" t="s">
        <v>31</v>
      </c>
      <c r="F12" s="23" t="str">
        <f>IF(LEN(Table13[[#This Row],[Month]]) &gt; 0, LEFT(Table13[[#This Row],[Month]], 3), "")</f>
        <v>Jan</v>
      </c>
      <c r="G12" s="23" t="s">
        <v>43</v>
      </c>
      <c r="H12" s="23" t="s">
        <v>24</v>
      </c>
      <c r="I12" s="44">
        <f>IF(ISNUMBER(SEARCH("km/h",Table13[[#This Row],[Min Speed]])),VALUE(_xlfn.TEXTBEFORE(Table13[[#This Row],[Min Speed]]," ")),ROUND(VALUE(_xlfn.TEXTBEFORE(Table13[[#This Row],[Min Speed]]," "))*1.60934,0))</f>
        <v>80</v>
      </c>
      <c r="J12" s="44">
        <f>ROUND(IF(ISNUMBER(SEARCH("km/h",Table13[[#This Row],[Min Speed]])),Table13[[#This Row],[Min Speed (km/h)]]*0.621371,VALUE(_xlfn.TEXTBEFORE(Table13[[#This Row],[Min Speed]]," "))),0)</f>
        <v>50</v>
      </c>
      <c r="K12" s="23" t="s">
        <v>55</v>
      </c>
      <c r="L12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2" s="44">
        <f>IF(ISNUMBER(SEARCH("mph",Table13[[#This Row],[Max Speed]])),--_xlfn.TEXTBEFORE(Table13[[#This Row],[Max Speed]]," mph"),ROUND(--_xlfn.TEXTBEFORE(Table13[[#This Row],[Max Speed]]," km/h")*0.621371,0))</f>
        <v>100</v>
      </c>
      <c r="N12" s="23"/>
      <c r="O12" s="45" t="str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/>
      </c>
      <c r="P12" s="42" t="str">
        <f>TEXT(Table13[[#This Row],[Min Speed (km/h)]],"0")&amp;" - "&amp;TEXT(Table13[[#This Row],[Max Speed (km/h)]],"0")&amp;""</f>
        <v>80 - 161</v>
      </c>
      <c r="Q12" s="46">
        <f>IF(Table13[[#This Row],[Distance (km)]]="", AVERAGE(Table13[Distance (km)]), Table13[[#This Row],[Distance (km)]])</f>
        <v>451.98137500000013</v>
      </c>
      <c r="R12" s="23" t="s">
        <v>56</v>
      </c>
      <c r="S12" s="42" t="str" cm="1">
        <f t="array" ref="S12">TRIM(INDEX(_xlfn.TEXTSPLIT(Table13[[#This Row],[Shipping Address]],","),1))</f>
        <v>456 Avenida Reforma</v>
      </c>
      <c r="T12" s="42" t="str" cm="1">
        <f t="array" ref="T12">TRIM(INDEX(_xlfn.TEXTSPLIT(Table13[[#This Row],[Shipping Address]],","),2))</f>
        <v>Mexico City</v>
      </c>
      <c r="U12" s="42" t="str" cm="1">
        <f t="array" ref="U12">TRIM(INDEX(_xlfn.TEXTSPLIT(Table13[[#This Row],[Shipping Address]],","),3))</f>
        <v>06080</v>
      </c>
      <c r="V12" s="23" t="s">
        <v>57</v>
      </c>
      <c r="W12" s="42" t="str" cm="1">
        <f t="array" ref="W12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2" s="42" t="str" cm="1">
        <f t="array" ref="X12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2" s="23" t="s">
        <v>58</v>
      </c>
      <c r="Z12" s="33">
        <f>_xlfn.NUMBERVALUE(_xlfn.TEXTBEFORE(Table13[[#This Row],[Unit Price]]," "))</f>
        <v>2645</v>
      </c>
      <c r="AA12" s="23" t="str">
        <f>RIGHT(Table13[[#This Row],[Unit Price]],LEN(Table13[[#This Row],[Unit Price]])-FIND(" ",Table13[[#This Row],[Unit Price]]))</f>
        <v>MXN</v>
      </c>
      <c r="AB12" s="33" cm="1">
        <f t="array" ref="AB12">Table13[[#This Row],[Unit Price Value]]*_xlfn.XLOOKUP(Table13[[#This Row],[Unit Price Currency]],{"EUR","USD","GBP","BRL","CAD","CNY","AUD","ZAR","MXN","JPY","INR"},{1,0.86,1.15,0.15,0.63,0.12,0.56,0.05,0.05,0.01,0.01},NA())</f>
        <v>132.25</v>
      </c>
      <c r="AC12" s="32">
        <v>20</v>
      </c>
      <c r="AD12" s="32"/>
      <c r="AE12" s="20">
        <f>IF(Table13[[#This Row],[Discount (%)]]="",CHOOSE(MATCH(MOD(Table13[[#This Row],[Sales Rep ID]],3)+1,{1,2,3},0),5,10,15),Table13[[#This Row],[Discount (%)]])</f>
        <v>15</v>
      </c>
      <c r="AF12" s="38">
        <f>Table13[[#This Row],[Unit Price (EUR)]]*Table13[[#This Row],[Units Sold]]</f>
        <v>2645</v>
      </c>
      <c r="AG12" s="38">
        <f>Table13[[#This Row],[Gross Price (Euro)]]*Table13[[#This Row],[Calc Discount (%)]]/100</f>
        <v>396.75</v>
      </c>
      <c r="AH12" s="39">
        <f>Table13[[#This Row],[Gross Price (Euro)]]-Table13[[#This Row],[Discount Value (Euro)]]</f>
        <v>2248.25</v>
      </c>
      <c r="AK12" s="25" t="e" vm="9">
        <v>#VALUE!</v>
      </c>
      <c r="AL12" s="24" cm="1">
        <f t="array" aca="1" ref="AL12" ca="1">_FV(AK12,"Price")</f>
        <v>5.7970000000000001E-3</v>
      </c>
    </row>
    <row r="13" spans="1:38" x14ac:dyDescent="0.25">
      <c r="A13" s="43">
        <v>12</v>
      </c>
      <c r="B13" s="23" t="s">
        <v>59</v>
      </c>
      <c r="C13" s="23" t="s">
        <v>60</v>
      </c>
      <c r="D13" s="23" t="str">
        <f>_xlfn.TEXTJOIN(" ",,Table13[[#This Row],[Rep First Name]],Table13[[#This Row],[Rep Last Name]])</f>
        <v>Théo Bernard</v>
      </c>
      <c r="E13" s="23" t="s">
        <v>37</v>
      </c>
      <c r="F13" s="23" t="str">
        <f>IF(LEN(Table13[[#This Row],[Month]]) &gt; 0, LEFT(Table13[[#This Row],[Month]], 3), "")</f>
        <v>Feb</v>
      </c>
      <c r="G13" s="23" t="s">
        <v>43</v>
      </c>
      <c r="H13" s="23" t="s">
        <v>24</v>
      </c>
      <c r="I13" s="44">
        <f>IF(ISNUMBER(SEARCH("km/h",Table13[[#This Row],[Min Speed]])),VALUE(_xlfn.TEXTBEFORE(Table13[[#This Row],[Min Speed]]," ")),ROUND(VALUE(_xlfn.TEXTBEFORE(Table13[[#This Row],[Min Speed]]," "))*1.60934,0))</f>
        <v>80</v>
      </c>
      <c r="J13" s="44">
        <f>ROUND(IF(ISNUMBER(SEARCH("km/h",Table13[[#This Row],[Min Speed]])),Table13[[#This Row],[Min Speed (km/h)]]*0.621371,VALUE(_xlfn.TEXTBEFORE(Table13[[#This Row],[Min Speed]]," "))),0)</f>
        <v>50</v>
      </c>
      <c r="K13" s="23" t="s">
        <v>44</v>
      </c>
      <c r="L13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3" s="44">
        <f>IF(ISNUMBER(SEARCH("mph",Table13[[#This Row],[Max Speed]])),--_xlfn.TEXTBEFORE(Table13[[#This Row],[Max Speed]]," mph"),ROUND(--_xlfn.TEXTBEFORE(Table13[[#This Row],[Max Speed]]," km/h")*0.621371,0))</f>
        <v>50</v>
      </c>
      <c r="N13" s="23" t="s">
        <v>26</v>
      </c>
      <c r="O1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3" s="42" t="str">
        <f>TEXT(Table13[[#This Row],[Min Speed (km/h)]],"0")&amp;" - "&amp;TEXT(Table13[[#This Row],[Max Speed (km/h)]],"0")&amp;""</f>
        <v>80 - 80</v>
      </c>
      <c r="Q13" s="46">
        <f>IF(Table13[[#This Row],[Distance (km)]]="", AVERAGE(Table13[Distance (km)]), Table13[[#This Row],[Distance (km)]])</f>
        <v>482.80200000000002</v>
      </c>
      <c r="R13" s="23" t="s">
        <v>61</v>
      </c>
      <c r="S13" s="42" t="str" cm="1">
        <f t="array" ref="S13">TRIM(INDEX(_xlfn.TEXTSPLIT(Table13[[#This Row],[Shipping Address]],","),1))</f>
        <v>789 Calle Juárez</v>
      </c>
      <c r="T13" s="42" t="str" cm="1">
        <f t="array" ref="T13">TRIM(INDEX(_xlfn.TEXTSPLIT(Table13[[#This Row],[Shipping Address]],","),2))</f>
        <v>Guadalajara</v>
      </c>
      <c r="U13" s="42" t="str" cm="1">
        <f t="array" ref="U13">TRIM(INDEX(_xlfn.TEXTSPLIT(Table13[[#This Row],[Shipping Address]],","),3))</f>
        <v>66000</v>
      </c>
      <c r="V13" s="23" t="s">
        <v>57</v>
      </c>
      <c r="W13" s="42" t="str" cm="1">
        <f t="array" ref="W13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3" s="42" t="str" cm="1">
        <f t="array" ref="X13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3" s="23" t="s">
        <v>62</v>
      </c>
      <c r="Z13" s="33">
        <f>_xlfn.NUMBERVALUE(_xlfn.TEXTBEFORE(Table13[[#This Row],[Unit Price]]," "))</f>
        <v>3527</v>
      </c>
      <c r="AA13" s="23" t="str">
        <f>RIGHT(Table13[[#This Row],[Unit Price]],LEN(Table13[[#This Row],[Unit Price]])-FIND(" ",Table13[[#This Row],[Unit Price]]))</f>
        <v>MXN</v>
      </c>
      <c r="AB13" s="33" cm="1">
        <f t="array" ref="AB13">Table13[[#This Row],[Unit Price Value]]*_xlfn.XLOOKUP(Table13[[#This Row],[Unit Price Currency]],{"EUR","USD","GBP","BRL","CAD","CNY","AUD","ZAR","MXN","JPY","INR"},{1,0.86,1.15,0.15,0.63,0.12,0.56,0.05,0.05,0.01,0.01},NA())</f>
        <v>176.35000000000002</v>
      </c>
      <c r="AC13" s="32">
        <v>15</v>
      </c>
      <c r="AD13" s="32">
        <v>15</v>
      </c>
      <c r="AE13" s="20">
        <f>IF(Table13[[#This Row],[Discount (%)]]="",CHOOSE(MATCH(MOD(Table13[[#This Row],[Sales Rep ID]],3)+1,{1,2,3},0),5,10,15),Table13[[#This Row],[Discount (%)]])</f>
        <v>15</v>
      </c>
      <c r="AF13" s="38">
        <f>Table13[[#This Row],[Unit Price (EUR)]]*Table13[[#This Row],[Units Sold]]</f>
        <v>2645.2500000000005</v>
      </c>
      <c r="AG13" s="38">
        <f>Table13[[#This Row],[Gross Price (Euro)]]*Table13[[#This Row],[Calc Discount (%)]]/100</f>
        <v>396.78750000000008</v>
      </c>
      <c r="AH13" s="39">
        <f>Table13[[#This Row],[Gross Price (Euro)]]-Table13[[#This Row],[Discount Value (Euro)]]</f>
        <v>2248.4625000000005</v>
      </c>
      <c r="AK13" s="25" t="e" vm="10">
        <v>#VALUE!</v>
      </c>
      <c r="AL13" s="24" cm="1">
        <f t="array" aca="1" ref="AL13" ca="1">_FV(AK13,"Price")</f>
        <v>9.7809999999999998E-3</v>
      </c>
    </row>
    <row r="14" spans="1:38" x14ac:dyDescent="0.25">
      <c r="A14" s="43">
        <v>13</v>
      </c>
      <c r="B14" s="23" t="s">
        <v>59</v>
      </c>
      <c r="C14" s="23" t="s">
        <v>60</v>
      </c>
      <c r="D14" s="23" t="str">
        <f>_xlfn.TEXTJOIN(" ",,Table13[[#This Row],[Rep First Name]],Table13[[#This Row],[Rep Last Name]])</f>
        <v>Théo Bernard</v>
      </c>
      <c r="E14" s="23" t="s">
        <v>37</v>
      </c>
      <c r="F14" s="23" t="str">
        <f>IF(LEN(Table13[[#This Row],[Month]]) &gt; 0, LEFT(Table13[[#This Row],[Month]], 3), "")</f>
        <v>Feb</v>
      </c>
      <c r="G14" s="23" t="s">
        <v>43</v>
      </c>
      <c r="H14" s="23" t="s">
        <v>48</v>
      </c>
      <c r="I14" s="44">
        <f>IF(ISNUMBER(SEARCH("km/h",Table13[[#This Row],[Min Speed]])),VALUE(_xlfn.TEXTBEFORE(Table13[[#This Row],[Min Speed]]," ")),ROUND(VALUE(_xlfn.TEXTBEFORE(Table13[[#This Row],[Min Speed]]," "))*1.60934,0))</f>
        <v>20</v>
      </c>
      <c r="J14" s="44">
        <f>ROUND(IF(ISNUMBER(SEARCH("km/h",Table13[[#This Row],[Min Speed]])),Table13[[#This Row],[Min Speed (km/h)]]*0.621371,VALUE(_xlfn.TEXTBEFORE(Table13[[#This Row],[Min Speed]]," "))),0)</f>
        <v>12</v>
      </c>
      <c r="K14" s="23" t="s">
        <v>44</v>
      </c>
      <c r="L14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4" s="44">
        <f>IF(ISNUMBER(SEARCH("mph",Table13[[#This Row],[Max Speed]])),--_xlfn.TEXTBEFORE(Table13[[#This Row],[Max Speed]]," mph"),ROUND(--_xlfn.TEXTBEFORE(Table13[[#This Row],[Max Speed]]," km/h")*0.621371,0))</f>
        <v>50</v>
      </c>
      <c r="N14" s="23" t="s">
        <v>19</v>
      </c>
      <c r="O1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4" s="42" t="str">
        <f>TEXT(Table13[[#This Row],[Min Speed (km/h)]],"0")&amp;" - "&amp;TEXT(Table13[[#This Row],[Max Speed (km/h)]],"0")&amp;""</f>
        <v>20 - 80</v>
      </c>
      <c r="Q14" s="46">
        <f>IF(Table13[[#This Row],[Distance (km)]]="", AVERAGE(Table13[Distance (km)]), Table13[[#This Row],[Distance (km)]])</f>
        <v>500</v>
      </c>
      <c r="R14" s="23" t="s">
        <v>63</v>
      </c>
      <c r="S14" s="42" t="str" cm="1">
        <f t="array" ref="S14">TRIM(INDEX(_xlfn.TEXTSPLIT(Table13[[#This Row],[Shipping Address]],","),1))</f>
        <v>234 Paseo de la Reforma</v>
      </c>
      <c r="T14" s="42" t="str" cm="1">
        <f t="array" ref="T14">TRIM(INDEX(_xlfn.TEXTSPLIT(Table13[[#This Row],[Shipping Address]],","),2))</f>
        <v>Monterrey</v>
      </c>
      <c r="U14" s="42" t="str" cm="1">
        <f t="array" ref="U14">TRIM(INDEX(_xlfn.TEXTSPLIT(Table13[[#This Row],[Shipping Address]],","),3))</f>
        <v>06500</v>
      </c>
      <c r="V14" s="23" t="s">
        <v>57</v>
      </c>
      <c r="W14" s="42" t="str" cm="1">
        <f t="array" ref="W14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4" s="42" t="str" cm="1">
        <f t="array" ref="X14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4" s="23" t="s">
        <v>64</v>
      </c>
      <c r="Z14" s="33">
        <f>_xlfn.NUMBERVALUE(_xlfn.TEXTBEFORE(Table13[[#This Row],[Unit Price]]," "))</f>
        <v>4404</v>
      </c>
      <c r="AA14" s="23" t="str">
        <f>RIGHT(Table13[[#This Row],[Unit Price]],LEN(Table13[[#This Row],[Unit Price]])-FIND(" ",Table13[[#This Row],[Unit Price]]))</f>
        <v>MXN</v>
      </c>
      <c r="AB14" s="33" cm="1">
        <f t="array" ref="AB14">Table13[[#This Row],[Unit Price Value]]*_xlfn.XLOOKUP(Table13[[#This Row],[Unit Price Currency]],{"EUR","USD","GBP","BRL","CAD","CNY","AUD","ZAR","MXN","JPY","INR"},{1,0.86,1.15,0.15,0.63,0.12,0.56,0.05,0.05,0.01,0.01},NA())</f>
        <v>220.20000000000002</v>
      </c>
      <c r="AC14" s="32">
        <v>10</v>
      </c>
      <c r="AD14" s="32"/>
      <c r="AE14" s="20">
        <f>IF(Table13[[#This Row],[Discount (%)]]="",CHOOSE(MATCH(MOD(Table13[[#This Row],[Sales Rep ID]],3)+1,{1,2,3},0),5,10,15),Table13[[#This Row],[Discount (%)]])</f>
        <v>10</v>
      </c>
      <c r="AF14" s="38">
        <f>Table13[[#This Row],[Unit Price (EUR)]]*Table13[[#This Row],[Units Sold]]</f>
        <v>2202</v>
      </c>
      <c r="AG14" s="38">
        <f>Table13[[#This Row],[Gross Price (Euro)]]*Table13[[#This Row],[Calc Discount (%)]]/100</f>
        <v>220.2</v>
      </c>
      <c r="AH14" s="39">
        <f>Table13[[#This Row],[Gross Price (Euro)]]-Table13[[#This Row],[Discount Value (Euro)]]</f>
        <v>1981.8</v>
      </c>
    </row>
    <row r="15" spans="1:38" x14ac:dyDescent="0.25">
      <c r="A15" s="43">
        <v>14</v>
      </c>
      <c r="B15" s="23" t="s">
        <v>59</v>
      </c>
      <c r="C15" s="23" t="s">
        <v>60</v>
      </c>
      <c r="D15" s="23" t="str">
        <f>_xlfn.TEXTJOIN(" ",,Table13[[#This Row],[Rep First Name]],Table13[[#This Row],[Rep Last Name]])</f>
        <v>Théo Bernard</v>
      </c>
      <c r="E15" s="23" t="s">
        <v>37</v>
      </c>
      <c r="F15" s="23" t="str">
        <f>IF(LEN(Table13[[#This Row],[Month]]) &gt; 0, LEFT(Table13[[#This Row],[Month]], 3), "")</f>
        <v>Feb</v>
      </c>
      <c r="G15" s="23" t="s">
        <v>27</v>
      </c>
      <c r="H15" s="23" t="s">
        <v>17</v>
      </c>
      <c r="I15" s="44">
        <f>IF(ISNUMBER(SEARCH("km/h",Table13[[#This Row],[Min Speed]])),VALUE(_xlfn.TEXTBEFORE(Table13[[#This Row],[Min Speed]]," ")),ROUND(VALUE(_xlfn.TEXTBEFORE(Table13[[#This Row],[Min Speed]]," "))*1.60934,0))</f>
        <v>64</v>
      </c>
      <c r="J15" s="44">
        <f>ROUND(IF(ISNUMBER(SEARCH("km/h",Table13[[#This Row],[Min Speed]])),Table13[[#This Row],[Min Speed (km/h)]]*0.621371,VALUE(_xlfn.TEXTBEFORE(Table13[[#This Row],[Min Speed]]," "))),0)</f>
        <v>40</v>
      </c>
      <c r="K15" s="23" t="s">
        <v>44</v>
      </c>
      <c r="L15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5" s="44">
        <f>IF(ISNUMBER(SEARCH("mph",Table13[[#This Row],[Max Speed]])),--_xlfn.TEXTBEFORE(Table13[[#This Row],[Max Speed]]," mph"),ROUND(--_xlfn.TEXTBEFORE(Table13[[#This Row],[Max Speed]]," km/h")*0.621371,0))</f>
        <v>50</v>
      </c>
      <c r="N15" s="23" t="s">
        <v>28</v>
      </c>
      <c r="O1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5" s="42" t="str">
        <f>TEXT(Table13[[#This Row],[Min Speed (km/h)]],"0")&amp;" - "&amp;TEXT(Table13[[#This Row],[Max Speed (km/h)]],"0")&amp;""</f>
        <v>64 - 80</v>
      </c>
      <c r="Q15" s="46">
        <f>IF(Table13[[#This Row],[Distance (km)]]="", AVERAGE(Table13[Distance (km)]), Table13[[#This Row],[Distance (km)]])</f>
        <v>241.40100000000001</v>
      </c>
      <c r="R15" s="23" t="s">
        <v>65</v>
      </c>
      <c r="S15" s="42" t="str" cm="1">
        <f t="array" ref="S15">TRIM(INDEX(_xlfn.TEXTSPLIT(Table13[[#This Row],[Shipping Address]],","),1))</f>
        <v>678 Calle 5 de Febrero</v>
      </c>
      <c r="T15" s="42" t="str" cm="1">
        <f t="array" ref="T15">TRIM(INDEX(_xlfn.TEXTSPLIT(Table13[[#This Row],[Shipping Address]],","),2))</f>
        <v>Puebla</v>
      </c>
      <c r="U15" s="42" t="str" cm="1">
        <f t="array" ref="U15">TRIM(INDEX(_xlfn.TEXTSPLIT(Table13[[#This Row],[Shipping Address]],","),3))</f>
        <v>03230</v>
      </c>
      <c r="V15" s="23" t="s">
        <v>57</v>
      </c>
      <c r="W15" s="42" t="str" cm="1">
        <f t="array" ref="W15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5" s="42" t="str" cm="1">
        <f t="array" ref="X15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5" s="23" t="s">
        <v>66</v>
      </c>
      <c r="Z15" s="33">
        <f>_xlfn.NUMBERVALUE(_xlfn.TEXTBEFORE(Table13[[#This Row],[Unit Price]]," "))</f>
        <v>5289</v>
      </c>
      <c r="AA15" s="23" t="str">
        <f>RIGHT(Table13[[#This Row],[Unit Price]],LEN(Table13[[#This Row],[Unit Price]])-FIND(" ",Table13[[#This Row],[Unit Price]]))</f>
        <v>MXN</v>
      </c>
      <c r="AB15" s="33" cm="1">
        <f t="array" ref="AB15">Table13[[#This Row],[Unit Price Value]]*_xlfn.XLOOKUP(Table13[[#This Row],[Unit Price Currency]],{"EUR","USD","GBP","BRL","CAD","CNY","AUD","ZAR","MXN","JPY","INR"},{1,0.86,1.15,0.15,0.63,0.12,0.56,0.05,0.05,0.01,0.01},NA())</f>
        <v>264.45</v>
      </c>
      <c r="AC15" s="32">
        <v>7</v>
      </c>
      <c r="AD15" s="32"/>
      <c r="AE15" s="20">
        <f>IF(Table13[[#This Row],[Discount (%)]]="",CHOOSE(MATCH(MOD(Table13[[#This Row],[Sales Rep ID]],3)+1,{1,2,3},0),5,10,15),Table13[[#This Row],[Discount (%)]])</f>
        <v>15</v>
      </c>
      <c r="AF15" s="38">
        <f>Table13[[#This Row],[Unit Price (EUR)]]*Table13[[#This Row],[Units Sold]]</f>
        <v>1851.1499999999999</v>
      </c>
      <c r="AG15" s="38">
        <f>Table13[[#This Row],[Gross Price (Euro)]]*Table13[[#This Row],[Calc Discount (%)]]/100</f>
        <v>277.67249999999996</v>
      </c>
      <c r="AH15" s="39">
        <f>Table13[[#This Row],[Gross Price (Euro)]]-Table13[[#This Row],[Discount Value (Euro)]]</f>
        <v>1573.4775</v>
      </c>
    </row>
    <row r="16" spans="1:38" x14ac:dyDescent="0.25">
      <c r="A16" s="43">
        <v>15</v>
      </c>
      <c r="B16" s="23" t="s">
        <v>13</v>
      </c>
      <c r="C16" s="23" t="s">
        <v>14</v>
      </c>
      <c r="D16" s="23" t="str">
        <f>_xlfn.TEXTJOIN(" ",,Table13[[#This Row],[Rep First Name]],Table13[[#This Row],[Rep Last Name]])</f>
        <v>Sanya Joshi</v>
      </c>
      <c r="E16" s="23" t="s">
        <v>47</v>
      </c>
      <c r="F16" s="23" t="str">
        <f>IF(LEN(Table13[[#This Row],[Month]]) &gt; 0, LEFT(Table13[[#This Row],[Month]], 3), "")</f>
        <v>Apr</v>
      </c>
      <c r="G16" s="23" t="s">
        <v>67</v>
      </c>
      <c r="H16" s="23" t="s">
        <v>32</v>
      </c>
      <c r="I16" s="44">
        <f>IF(ISNUMBER(SEARCH("km/h",Table13[[#This Row],[Min Speed]])),VALUE(_xlfn.TEXTBEFORE(Table13[[#This Row],[Min Speed]]," ")),ROUND(VALUE(_xlfn.TEXTBEFORE(Table13[[#This Row],[Min Speed]]," "))*1.60934,0))</f>
        <v>30</v>
      </c>
      <c r="J16" s="44">
        <f>ROUND(IF(ISNUMBER(SEARCH("km/h",Table13[[#This Row],[Min Speed]])),Table13[[#This Row],[Min Speed (km/h)]]*0.621371,VALUE(_xlfn.TEXTBEFORE(Table13[[#This Row],[Min Speed]]," "))),0)</f>
        <v>19</v>
      </c>
      <c r="K16" s="23" t="s">
        <v>55</v>
      </c>
      <c r="L16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6" s="44">
        <f>IF(ISNUMBER(SEARCH("mph",Table13[[#This Row],[Max Speed]])),--_xlfn.TEXTBEFORE(Table13[[#This Row],[Max Speed]]," mph"),ROUND(--_xlfn.TEXTBEFORE(Table13[[#This Row],[Max Speed]]," km/h")*0.621371,0))</f>
        <v>100</v>
      </c>
      <c r="N16" s="23" t="s">
        <v>68</v>
      </c>
      <c r="O1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6" s="42" t="str">
        <f>TEXT(Table13[[#This Row],[Min Speed (km/h)]],"0")&amp;" - "&amp;TEXT(Table13[[#This Row],[Max Speed (km/h)]],"0")&amp;""</f>
        <v>30 - 161</v>
      </c>
      <c r="Q16" s="46">
        <f>IF(Table13[[#This Row],[Distance (km)]]="", AVERAGE(Table13[Distance (km)]), Table13[[#This Row],[Distance (km)]])</f>
        <v>600</v>
      </c>
      <c r="R16" s="23" t="s">
        <v>69</v>
      </c>
      <c r="S16" s="42" t="str" cm="1">
        <f t="array" ref="S16">TRIM(INDEX(_xlfn.TEXTSPLIT(Table13[[#This Row],[Shipping Address]],","),1))</f>
        <v>123 Rua da Liberdade</v>
      </c>
      <c r="T16" s="42" t="str" cm="1">
        <f t="array" ref="T16">TRIM(INDEX(_xlfn.TEXTSPLIT(Table13[[#This Row],[Shipping Address]],","),2))</f>
        <v>São Paulo</v>
      </c>
      <c r="U16" s="42" t="str" cm="1">
        <f t="array" ref="U16">TRIM(INDEX(_xlfn.TEXTSPLIT(Table13[[#This Row],[Shipping Address]],","),3))</f>
        <v>01234-000</v>
      </c>
      <c r="V16" s="23" t="s">
        <v>70</v>
      </c>
      <c r="W16" s="42" t="str" cm="1">
        <f t="array" ref="W16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6" s="42" t="str" cm="1">
        <f t="array" ref="X16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6" s="23" t="s">
        <v>71</v>
      </c>
      <c r="Z16" s="33">
        <f>_xlfn.NUMBERVALUE(_xlfn.TEXTBEFORE(Table13[[#This Row],[Unit Price]]," "))</f>
        <v>758</v>
      </c>
      <c r="AA16" s="23" t="str">
        <f>RIGHT(Table13[[#This Row],[Unit Price]],LEN(Table13[[#This Row],[Unit Price]])-FIND(" ",Table13[[#This Row],[Unit Price]]))</f>
        <v>BRL</v>
      </c>
      <c r="AB16" s="33" cm="1">
        <f t="array" ref="AB16">Table13[[#This Row],[Unit Price Value]]*_xlfn.XLOOKUP(Table13[[#This Row],[Unit Price Currency]],{"EUR","USD","GBP","BRL","CAD","CNY","AUD","ZAR","MXN","JPY","INR"},{1,0.86,1.15,0.15,0.63,0.12,0.56,0.05,0.05,0.01,0.01},NA())</f>
        <v>113.7</v>
      </c>
      <c r="AC16" s="32">
        <v>18</v>
      </c>
      <c r="AD16" s="32">
        <v>10</v>
      </c>
      <c r="AE16" s="20">
        <f>IF(Table13[[#This Row],[Discount (%)]]="",CHOOSE(MATCH(MOD(Table13[[#This Row],[Sales Rep ID]],3)+1,{1,2,3},0),5,10,15),Table13[[#This Row],[Discount (%)]])</f>
        <v>10</v>
      </c>
      <c r="AF16" s="38">
        <f>Table13[[#This Row],[Unit Price (EUR)]]*Table13[[#This Row],[Units Sold]]</f>
        <v>2046.6000000000001</v>
      </c>
      <c r="AG16" s="38">
        <f>Table13[[#This Row],[Gross Price (Euro)]]*Table13[[#This Row],[Calc Discount (%)]]/100</f>
        <v>204.66</v>
      </c>
      <c r="AH16" s="39">
        <f>Table13[[#This Row],[Gross Price (Euro)]]-Table13[[#This Row],[Discount Value (Euro)]]</f>
        <v>1841.94</v>
      </c>
    </row>
    <row r="17" spans="1:34" x14ac:dyDescent="0.25">
      <c r="A17" s="43">
        <v>16</v>
      </c>
      <c r="B17" s="23" t="s">
        <v>13</v>
      </c>
      <c r="C17" s="23" t="s">
        <v>14</v>
      </c>
      <c r="D17" s="23" t="str">
        <f>_xlfn.TEXTJOIN(" ",,Table13[[#This Row],[Rep First Name]],Table13[[#This Row],[Rep Last Name]])</f>
        <v>Sanya Joshi</v>
      </c>
      <c r="E17" s="23" t="s">
        <v>31</v>
      </c>
      <c r="F17" s="23" t="str">
        <f>IF(LEN(Table13[[#This Row],[Month]]) &gt; 0, LEFT(Table13[[#This Row],[Month]], 3), "")</f>
        <v>Jan</v>
      </c>
      <c r="G17" s="23" t="s">
        <v>43</v>
      </c>
      <c r="H17" s="23" t="s">
        <v>24</v>
      </c>
      <c r="I17" s="44">
        <f>IF(ISNUMBER(SEARCH("km/h",Table13[[#This Row],[Min Speed]])),VALUE(_xlfn.TEXTBEFORE(Table13[[#This Row],[Min Speed]]," ")),ROUND(VALUE(_xlfn.TEXTBEFORE(Table13[[#This Row],[Min Speed]]," "))*1.60934,0))</f>
        <v>80</v>
      </c>
      <c r="J17" s="44">
        <f>ROUND(IF(ISNUMBER(SEARCH("km/h",Table13[[#This Row],[Min Speed]])),Table13[[#This Row],[Min Speed (km/h)]]*0.621371,VALUE(_xlfn.TEXTBEFORE(Table13[[#This Row],[Min Speed]]," "))),0)</f>
        <v>50</v>
      </c>
      <c r="K17" s="23" t="s">
        <v>25</v>
      </c>
      <c r="L1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7" s="44">
        <f>IF(ISNUMBER(SEARCH("mph",Table13[[#This Row],[Max Speed]])),--_xlfn.TEXTBEFORE(Table13[[#This Row],[Max Speed]]," mph"),ROUND(--_xlfn.TEXTBEFORE(Table13[[#This Row],[Max Speed]]," km/h")*0.621371,0))</f>
        <v>150</v>
      </c>
      <c r="N17" s="23" t="s">
        <v>28</v>
      </c>
      <c r="O1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7" s="42" t="str">
        <f>TEXT(Table13[[#This Row],[Min Speed (km/h)]],"0")&amp;" - "&amp;TEXT(Table13[[#This Row],[Max Speed (km/h)]],"0")&amp;""</f>
        <v>80 - 241</v>
      </c>
      <c r="Q17" s="46">
        <f>IF(Table13[[#This Row],[Distance (km)]]="", AVERAGE(Table13[Distance (km)]), Table13[[#This Row],[Distance (km)]])</f>
        <v>241.40100000000001</v>
      </c>
      <c r="R17" s="23" t="s">
        <v>69</v>
      </c>
      <c r="S17" s="42" t="str" cm="1">
        <f t="array" ref="S17">TRIM(INDEX(_xlfn.TEXTSPLIT(Table13[[#This Row],[Shipping Address]],","),1))</f>
        <v>123 Rua da Liberdade</v>
      </c>
      <c r="T17" s="42" t="str" cm="1">
        <f t="array" ref="T17">TRIM(INDEX(_xlfn.TEXTSPLIT(Table13[[#This Row],[Shipping Address]],","),2))</f>
        <v>São Paulo</v>
      </c>
      <c r="U17" s="42" t="str" cm="1">
        <f t="array" ref="U17">TRIM(INDEX(_xlfn.TEXTSPLIT(Table13[[#This Row],[Shipping Address]],","),3))</f>
        <v>01234-000</v>
      </c>
      <c r="V17" s="23" t="s">
        <v>70</v>
      </c>
      <c r="W17" s="42" t="str" cm="1">
        <f t="array" ref="W17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7" s="42" t="str" cm="1">
        <f t="array" ref="X17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7" s="23" t="s">
        <v>71</v>
      </c>
      <c r="Z17" s="33">
        <f>_xlfn.NUMBERVALUE(_xlfn.TEXTBEFORE(Table13[[#This Row],[Unit Price]]," "))</f>
        <v>758</v>
      </c>
      <c r="AA17" s="23" t="str">
        <f>RIGHT(Table13[[#This Row],[Unit Price]],LEN(Table13[[#This Row],[Unit Price]])-FIND(" ",Table13[[#This Row],[Unit Price]]))</f>
        <v>BRL</v>
      </c>
      <c r="AB17" s="33" cm="1">
        <f t="array" ref="AB17">Table13[[#This Row],[Unit Price Value]]*_xlfn.XLOOKUP(Table13[[#This Row],[Unit Price Currency]],{"EUR","USD","GBP","BRL","CAD","CNY","AUD","ZAR","MXN","JPY","INR"},{1,0.86,1.15,0.15,0.63,0.12,0.56,0.05,0.05,0.01,0.01},NA())</f>
        <v>113.7</v>
      </c>
      <c r="AC17" s="32">
        <v>18</v>
      </c>
      <c r="AD17" s="32">
        <v>15</v>
      </c>
      <c r="AE17" s="20">
        <f>IF(Table13[[#This Row],[Discount (%)]]="",CHOOSE(MATCH(MOD(Table13[[#This Row],[Sales Rep ID]],3)+1,{1,2,3},0),5,10,15),Table13[[#This Row],[Discount (%)]])</f>
        <v>15</v>
      </c>
      <c r="AF17" s="38">
        <f>Table13[[#This Row],[Unit Price (EUR)]]*Table13[[#This Row],[Units Sold]]</f>
        <v>2046.6000000000001</v>
      </c>
      <c r="AG17" s="38">
        <f>Table13[[#This Row],[Gross Price (Euro)]]*Table13[[#This Row],[Calc Discount (%)]]/100</f>
        <v>306.99</v>
      </c>
      <c r="AH17" s="39">
        <f>Table13[[#This Row],[Gross Price (Euro)]]-Table13[[#This Row],[Discount Value (Euro)]]</f>
        <v>1739.6100000000001</v>
      </c>
    </row>
    <row r="18" spans="1:34" x14ac:dyDescent="0.25">
      <c r="A18" s="43">
        <v>17</v>
      </c>
      <c r="B18" s="23" t="s">
        <v>13</v>
      </c>
      <c r="C18" s="23" t="s">
        <v>14</v>
      </c>
      <c r="D18" s="23" t="str">
        <f>_xlfn.TEXTJOIN(" ",,Table13[[#This Row],[Rep First Name]],Table13[[#This Row],[Rep Last Name]])</f>
        <v>Sanya Joshi</v>
      </c>
      <c r="E18" s="23" t="s">
        <v>23</v>
      </c>
      <c r="F18" s="23" t="str">
        <f>IF(LEN(Table13[[#This Row],[Month]]) &gt; 0, LEFT(Table13[[#This Row],[Month]], 3), "")</f>
        <v>Mar</v>
      </c>
      <c r="G18" s="23" t="s">
        <v>43</v>
      </c>
      <c r="H18" s="23" t="s">
        <v>32</v>
      </c>
      <c r="I18" s="44">
        <f>IF(ISNUMBER(SEARCH("km/h",Table13[[#This Row],[Min Speed]])),VALUE(_xlfn.TEXTBEFORE(Table13[[#This Row],[Min Speed]]," ")),ROUND(VALUE(_xlfn.TEXTBEFORE(Table13[[#This Row],[Min Speed]]," "))*1.60934,0))</f>
        <v>30</v>
      </c>
      <c r="J18" s="44">
        <f>ROUND(IF(ISNUMBER(SEARCH("km/h",Table13[[#This Row],[Min Speed]])),Table13[[#This Row],[Min Speed (km/h)]]*0.621371,VALUE(_xlfn.TEXTBEFORE(Table13[[#This Row],[Min Speed]]," "))),0)</f>
        <v>19</v>
      </c>
      <c r="K18" s="23" t="s">
        <v>18</v>
      </c>
      <c r="L18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8" s="44">
        <f>IF(ISNUMBER(SEARCH("mph",Table13[[#This Row],[Max Speed]])),--_xlfn.TEXTBEFORE(Table13[[#This Row],[Max Speed]]," mph"),ROUND(--_xlfn.TEXTBEFORE(Table13[[#This Row],[Max Speed]]," km/h")*0.621371,0))</f>
        <v>75</v>
      </c>
      <c r="N18" s="23" t="s">
        <v>68</v>
      </c>
      <c r="O1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8" s="42" t="str">
        <f>TEXT(Table13[[#This Row],[Min Speed (km/h)]],"0")&amp;" - "&amp;TEXT(Table13[[#This Row],[Max Speed (km/h)]],"0")&amp;""</f>
        <v>30 - 120</v>
      </c>
      <c r="Q18" s="46">
        <f>IF(Table13[[#This Row],[Distance (km)]]="", AVERAGE(Table13[Distance (km)]), Table13[[#This Row],[Distance (km)]])</f>
        <v>600</v>
      </c>
      <c r="R18" s="23" t="s">
        <v>72</v>
      </c>
      <c r="S18" s="42" t="str" cm="1">
        <f t="array" ref="S18">TRIM(INDEX(_xlfn.TEXTSPLIT(Table13[[#This Row],[Shipping Address]],","),1))</f>
        <v>456 Avenida Paulista</v>
      </c>
      <c r="T18" s="42" t="str" cm="1">
        <f t="array" ref="T18">TRIM(INDEX(_xlfn.TEXTSPLIT(Table13[[#This Row],[Shipping Address]],","),2))</f>
        <v>Rio de Janeiro</v>
      </c>
      <c r="U18" s="42" t="str" cm="1">
        <f t="array" ref="U18">TRIM(INDEX(_xlfn.TEXTSPLIT(Table13[[#This Row],[Shipping Address]],","),3))</f>
        <v>01311-000</v>
      </c>
      <c r="V18" s="23" t="s">
        <v>70</v>
      </c>
      <c r="W18" s="42" t="str" cm="1">
        <f t="array" ref="W18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8" s="42" t="str" cm="1">
        <f t="array" ref="X18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8" s="23" t="s">
        <v>73</v>
      </c>
      <c r="Z18" s="33">
        <f>_xlfn.NUMBERVALUE(_xlfn.TEXTBEFORE(Table13[[#This Row],[Unit Price]]," "))</f>
        <v>1012</v>
      </c>
      <c r="AA18" s="23" t="str">
        <f>RIGHT(Table13[[#This Row],[Unit Price]],LEN(Table13[[#This Row],[Unit Price]])-FIND(" ",Table13[[#This Row],[Unit Price]]))</f>
        <v>BRL</v>
      </c>
      <c r="AB18" s="33" cm="1">
        <f t="array" ref="AB18">Table13[[#This Row],[Unit Price Value]]*_xlfn.XLOOKUP(Table13[[#This Row],[Unit Price Currency]],{"EUR","USD","GBP","BRL","CAD","CNY","AUD","ZAR","MXN","JPY","INR"},{1,0.86,1.15,0.15,0.63,0.12,0.56,0.05,0.05,0.01,0.01},NA())</f>
        <v>151.79999999999998</v>
      </c>
      <c r="AC18" s="32">
        <v>14</v>
      </c>
      <c r="AD18" s="32"/>
      <c r="AE18" s="20">
        <f>IF(Table13[[#This Row],[Discount (%)]]="",CHOOSE(MATCH(MOD(Table13[[#This Row],[Sales Rep ID]],3)+1,{1,2,3},0),5,10,15),Table13[[#This Row],[Discount (%)]])</f>
        <v>15</v>
      </c>
      <c r="AF18" s="38">
        <f>Table13[[#This Row],[Unit Price (EUR)]]*Table13[[#This Row],[Units Sold]]</f>
        <v>2125.1999999999998</v>
      </c>
      <c r="AG18" s="38">
        <f>Table13[[#This Row],[Gross Price (Euro)]]*Table13[[#This Row],[Calc Discount (%)]]/100</f>
        <v>318.77999999999997</v>
      </c>
      <c r="AH18" s="39">
        <f>Table13[[#This Row],[Gross Price (Euro)]]-Table13[[#This Row],[Discount Value (Euro)]]</f>
        <v>1806.4199999999998</v>
      </c>
    </row>
    <row r="19" spans="1:34" x14ac:dyDescent="0.25">
      <c r="A19" s="43">
        <v>18</v>
      </c>
      <c r="B19" s="23" t="s">
        <v>35</v>
      </c>
      <c r="C19" s="23" t="s">
        <v>36</v>
      </c>
      <c r="D19" s="23" t="str">
        <f>_xlfn.TEXTJOIN(" ",,Table13[[#This Row],[Rep First Name]],Table13[[#This Row],[Rep Last Name]])</f>
        <v>Fang Liu</v>
      </c>
      <c r="E19" s="23" t="s">
        <v>37</v>
      </c>
      <c r="F19" s="23" t="str">
        <f>IF(LEN(Table13[[#This Row],[Month]]) &gt; 0, LEFT(Table13[[#This Row],[Month]], 3), "")</f>
        <v>Feb</v>
      </c>
      <c r="G19" s="23" t="s">
        <v>16</v>
      </c>
      <c r="H19" s="23" t="s">
        <v>17</v>
      </c>
      <c r="I19" s="44">
        <f>IF(ISNUMBER(SEARCH("km/h",Table13[[#This Row],[Min Speed]])),VALUE(_xlfn.TEXTBEFORE(Table13[[#This Row],[Min Speed]]," ")),ROUND(VALUE(_xlfn.TEXTBEFORE(Table13[[#This Row],[Min Speed]]," "))*1.60934,0))</f>
        <v>64</v>
      </c>
      <c r="J19" s="44">
        <f>ROUND(IF(ISNUMBER(SEARCH("km/h",Table13[[#This Row],[Min Speed]])),Table13[[#This Row],[Min Speed (km/h)]]*0.621371,VALUE(_xlfn.TEXTBEFORE(Table13[[#This Row],[Min Speed]]," "))),0)</f>
        <v>40</v>
      </c>
      <c r="K19" s="23" t="s">
        <v>18</v>
      </c>
      <c r="L19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9" s="44">
        <f>IF(ISNUMBER(SEARCH("mph",Table13[[#This Row],[Max Speed]])),--_xlfn.TEXTBEFORE(Table13[[#This Row],[Max Speed]]," mph"),ROUND(--_xlfn.TEXTBEFORE(Table13[[#This Row],[Max Speed]]," km/h")*0.621371,0))</f>
        <v>75</v>
      </c>
      <c r="N19" s="23" t="s">
        <v>28</v>
      </c>
      <c r="O1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9" s="42" t="str">
        <f>TEXT(Table13[[#This Row],[Min Speed (km/h)]],"0")&amp;" - "&amp;TEXT(Table13[[#This Row],[Max Speed (km/h)]],"0")&amp;""</f>
        <v>64 - 120</v>
      </c>
      <c r="Q19" s="46">
        <f>IF(Table13[[#This Row],[Distance (km)]]="", AVERAGE(Table13[Distance (km)]), Table13[[#This Row],[Distance (km)]])</f>
        <v>241.40100000000001</v>
      </c>
      <c r="R19" s="23" t="s">
        <v>74</v>
      </c>
      <c r="S19" s="42" t="str" cm="1">
        <f t="array" ref="S19">TRIM(INDEX(_xlfn.TEXTSPLIT(Table13[[#This Row],[Shipping Address]],","),1))</f>
        <v>789 Rua dos Três Irmãos</v>
      </c>
      <c r="T19" s="42" t="str" cm="1">
        <f t="array" ref="T19">TRIM(INDEX(_xlfn.TEXTSPLIT(Table13[[#This Row],[Shipping Address]],","),2))</f>
        <v>Brasília</v>
      </c>
      <c r="U19" s="42" t="str" cm="1">
        <f t="array" ref="U19">TRIM(INDEX(_xlfn.TEXTSPLIT(Table13[[#This Row],[Shipping Address]],","),3))</f>
        <v>05432-000</v>
      </c>
      <c r="V19" s="23" t="s">
        <v>70</v>
      </c>
      <c r="W19" s="42" t="str" cm="1">
        <f t="array" ref="W19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9" s="42" t="str" cm="1">
        <f t="array" ref="X19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9" s="23" t="s">
        <v>75</v>
      </c>
      <c r="Z19" s="33">
        <f>_xlfn.NUMBERVALUE(_xlfn.TEXTBEFORE(Table13[[#This Row],[Unit Price]]," "))</f>
        <v>1265</v>
      </c>
      <c r="AA19" s="23" t="str">
        <f>RIGHT(Table13[[#This Row],[Unit Price]],LEN(Table13[[#This Row],[Unit Price]])-FIND(" ",Table13[[#This Row],[Unit Price]]))</f>
        <v>BRL</v>
      </c>
      <c r="AB19" s="33" cm="1">
        <f t="array" ref="AB19">Table13[[#This Row],[Unit Price Value]]*_xlfn.XLOOKUP(Table13[[#This Row],[Unit Price Currency]],{"EUR","USD","GBP","BRL","CAD","CNY","AUD","ZAR","MXN","JPY","INR"},{1,0.86,1.15,0.15,0.63,0.12,0.56,0.05,0.05,0.01,0.01},NA())</f>
        <v>189.75</v>
      </c>
      <c r="AC19" s="32">
        <v>9</v>
      </c>
      <c r="AD19" s="32"/>
      <c r="AE19" s="20">
        <f>IF(Table13[[#This Row],[Discount (%)]]="",CHOOSE(MATCH(MOD(Table13[[#This Row],[Sales Rep ID]],3)+1,{1,2,3},0),5,10,15),Table13[[#This Row],[Discount (%)]])</f>
        <v>5</v>
      </c>
      <c r="AF19" s="38">
        <f>Table13[[#This Row],[Unit Price (EUR)]]*Table13[[#This Row],[Units Sold]]</f>
        <v>1707.75</v>
      </c>
      <c r="AG19" s="38">
        <f>Table13[[#This Row],[Gross Price (Euro)]]*Table13[[#This Row],[Calc Discount (%)]]/100</f>
        <v>85.387500000000003</v>
      </c>
      <c r="AH19" s="39">
        <f>Table13[[#This Row],[Gross Price (Euro)]]-Table13[[#This Row],[Discount Value (Euro)]]</f>
        <v>1622.3625</v>
      </c>
    </row>
    <row r="20" spans="1:34" x14ac:dyDescent="0.25">
      <c r="A20" s="43">
        <v>19</v>
      </c>
      <c r="B20" s="23" t="s">
        <v>35</v>
      </c>
      <c r="C20" s="23" t="s">
        <v>36</v>
      </c>
      <c r="D20" s="23" t="str">
        <f>_xlfn.TEXTJOIN(" ",,Table13[[#This Row],[Rep First Name]],Table13[[#This Row],[Rep Last Name]])</f>
        <v>Fang Liu</v>
      </c>
      <c r="E20" s="23" t="s">
        <v>76</v>
      </c>
      <c r="F20" s="23" t="str">
        <f>IF(LEN(Table13[[#This Row],[Month]]) &gt; 0, LEFT(Table13[[#This Row],[Month]], 3), "")</f>
        <v>May</v>
      </c>
      <c r="G20" s="23" t="s">
        <v>67</v>
      </c>
      <c r="H20" s="23" t="s">
        <v>24</v>
      </c>
      <c r="I20" s="44">
        <f>IF(ISNUMBER(SEARCH("km/h",Table13[[#This Row],[Min Speed]])),VALUE(_xlfn.TEXTBEFORE(Table13[[#This Row],[Min Speed]]," ")),ROUND(VALUE(_xlfn.TEXTBEFORE(Table13[[#This Row],[Min Speed]]," "))*1.60934,0))</f>
        <v>80</v>
      </c>
      <c r="J20" s="44">
        <f>ROUND(IF(ISNUMBER(SEARCH("km/h",Table13[[#This Row],[Min Speed]])),Table13[[#This Row],[Min Speed (km/h)]]*0.621371,VALUE(_xlfn.TEXTBEFORE(Table13[[#This Row],[Min Speed]]," "))),0)</f>
        <v>50</v>
      </c>
      <c r="K20" s="23" t="s">
        <v>44</v>
      </c>
      <c r="L20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20" s="44">
        <f>IF(ISNUMBER(SEARCH("mph",Table13[[#This Row],[Max Speed]])),--_xlfn.TEXTBEFORE(Table13[[#This Row],[Max Speed]]," mph"),ROUND(--_xlfn.TEXTBEFORE(Table13[[#This Row],[Max Speed]]," km/h")*0.621371,0))</f>
        <v>50</v>
      </c>
      <c r="N20" s="23" t="s">
        <v>28</v>
      </c>
      <c r="O2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20" s="42" t="str">
        <f>TEXT(Table13[[#This Row],[Min Speed (km/h)]],"0")&amp;" - "&amp;TEXT(Table13[[#This Row],[Max Speed (km/h)]],"0")&amp;""</f>
        <v>80 - 80</v>
      </c>
      <c r="Q20" s="46">
        <f>IF(Table13[[#This Row],[Distance (km)]]="", AVERAGE(Table13[Distance (km)]), Table13[[#This Row],[Distance (km)]])</f>
        <v>241.40100000000001</v>
      </c>
      <c r="R20" s="23" t="s">
        <v>77</v>
      </c>
      <c r="S20" s="42" t="str" cm="1">
        <f t="array" ref="S20">TRIM(INDEX(_xlfn.TEXTSPLIT(Table13[[#This Row],[Shipping Address]],","),1))</f>
        <v>321 Rua das Flores</v>
      </c>
      <c r="T20" s="42" t="str" cm="1">
        <f t="array" ref="T20">TRIM(INDEX(_xlfn.TEXTSPLIT(Table13[[#This Row],[Shipping Address]],","),2))</f>
        <v>Belo Horizonte</v>
      </c>
      <c r="U20" s="42" t="str" cm="1">
        <f t="array" ref="U20">TRIM(INDEX(_xlfn.TEXTSPLIT(Table13[[#This Row],[Shipping Address]],","),3))</f>
        <v>01235-000</v>
      </c>
      <c r="V20" s="23" t="s">
        <v>70</v>
      </c>
      <c r="W20" s="42" t="str" cm="1">
        <f t="array" ref="W20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20" s="42" t="str" cm="1">
        <f t="array" ref="X20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20" s="23" t="s">
        <v>78</v>
      </c>
      <c r="Z20" s="33">
        <f>_xlfn.NUMBERVALUE(_xlfn.TEXTBEFORE(Table13[[#This Row],[Unit Price]]," "))</f>
        <v>1512</v>
      </c>
      <c r="AA20" s="23" t="str">
        <f>RIGHT(Table13[[#This Row],[Unit Price]],LEN(Table13[[#This Row],[Unit Price]])-FIND(" ",Table13[[#This Row],[Unit Price]]))</f>
        <v>BRL</v>
      </c>
      <c r="AB20" s="33" cm="1">
        <f t="array" ref="AB20">Table13[[#This Row],[Unit Price Value]]*_xlfn.XLOOKUP(Table13[[#This Row],[Unit Price Currency]],{"EUR","USD","GBP","BRL","CAD","CNY","AUD","ZAR","MXN","JPY","INR"},{1,0.86,1.15,0.15,0.63,0.12,0.56,0.05,0.05,0.01,0.01},NA())</f>
        <v>226.79999999999998</v>
      </c>
      <c r="AC20" s="32">
        <v>5</v>
      </c>
      <c r="AD20" s="32">
        <v>15</v>
      </c>
      <c r="AE20" s="20">
        <f>IF(Table13[[#This Row],[Discount (%)]]="",CHOOSE(MATCH(MOD(Table13[[#This Row],[Sales Rep ID]],3)+1,{1,2,3},0),5,10,15),Table13[[#This Row],[Discount (%)]])</f>
        <v>15</v>
      </c>
      <c r="AF20" s="38">
        <f>Table13[[#This Row],[Unit Price (EUR)]]*Table13[[#This Row],[Units Sold]]</f>
        <v>1134</v>
      </c>
      <c r="AG20" s="38">
        <f>Table13[[#This Row],[Gross Price (Euro)]]*Table13[[#This Row],[Calc Discount (%)]]/100</f>
        <v>170.1</v>
      </c>
      <c r="AH20" s="39">
        <f>Table13[[#This Row],[Gross Price (Euro)]]-Table13[[#This Row],[Discount Value (Euro)]]</f>
        <v>963.9</v>
      </c>
    </row>
    <row r="21" spans="1:34" x14ac:dyDescent="0.25">
      <c r="A21" s="43">
        <v>20</v>
      </c>
      <c r="B21" s="23" t="s">
        <v>35</v>
      </c>
      <c r="C21" s="23" t="s">
        <v>36</v>
      </c>
      <c r="D21" s="23" t="str">
        <f>_xlfn.TEXTJOIN(" ",,Table13[[#This Row],[Rep First Name]],Table13[[#This Row],[Rep Last Name]])</f>
        <v>Fang Liu</v>
      </c>
      <c r="E21" s="23" t="s">
        <v>76</v>
      </c>
      <c r="F21" s="23" t="str">
        <f>IF(LEN(Table13[[#This Row],[Month]]) &gt; 0, LEFT(Table13[[#This Row],[Month]], 3), "")</f>
        <v>May</v>
      </c>
      <c r="G21" s="23" t="s">
        <v>16</v>
      </c>
      <c r="H21" s="23" t="s">
        <v>48</v>
      </c>
      <c r="I21" s="44">
        <f>IF(ISNUMBER(SEARCH("km/h",Table13[[#This Row],[Min Speed]])),VALUE(_xlfn.TEXTBEFORE(Table13[[#This Row],[Min Speed]]," ")),ROUND(VALUE(_xlfn.TEXTBEFORE(Table13[[#This Row],[Min Speed]]," "))*1.60934,0))</f>
        <v>20</v>
      </c>
      <c r="J21" s="44">
        <f>ROUND(IF(ISNUMBER(SEARCH("km/h",Table13[[#This Row],[Min Speed]])),Table13[[#This Row],[Min Speed (km/h)]]*0.621371,VALUE(_xlfn.TEXTBEFORE(Table13[[#This Row],[Min Speed]]," "))),0)</f>
        <v>12</v>
      </c>
      <c r="K21" s="23" t="s">
        <v>55</v>
      </c>
      <c r="L21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21" s="44">
        <f>IF(ISNUMBER(SEARCH("mph",Table13[[#This Row],[Max Speed]])),--_xlfn.TEXTBEFORE(Table13[[#This Row],[Max Speed]]," mph"),ROUND(--_xlfn.TEXTBEFORE(Table13[[#This Row],[Max Speed]]," km/h")*0.621371,0))</f>
        <v>100</v>
      </c>
      <c r="N21" s="23" t="s">
        <v>28</v>
      </c>
      <c r="O2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21" s="42" t="str">
        <f>TEXT(Table13[[#This Row],[Min Speed (km/h)]],"0")&amp;" - "&amp;TEXT(Table13[[#This Row],[Max Speed (km/h)]],"0")&amp;""</f>
        <v>20 - 161</v>
      </c>
      <c r="Q21" s="46">
        <f>IF(Table13[[#This Row],[Distance (km)]]="", AVERAGE(Table13[Distance (km)]), Table13[[#This Row],[Distance (km)]])</f>
        <v>241.40100000000001</v>
      </c>
      <c r="R21" s="23" t="s">
        <v>79</v>
      </c>
      <c r="S21" s="42" t="str" cm="1">
        <f t="array" ref="S21">TRIM(INDEX(_xlfn.TEXTSPLIT(Table13[[#This Row],[Shipping Address]],","),1))</f>
        <v>12 High Street</v>
      </c>
      <c r="T21" s="42" t="str" cm="1">
        <f t="array" ref="T21">TRIM(INDEX(_xlfn.TEXTSPLIT(Table13[[#This Row],[Shipping Address]],","),2))</f>
        <v>London</v>
      </c>
      <c r="U21" s="42" t="str" cm="1">
        <f t="array" ref="U21">TRIM(INDEX(_xlfn.TEXTSPLIT(Table13[[#This Row],[Shipping Address]],","),3))</f>
        <v>SW1A 1AA</v>
      </c>
      <c r="V21" s="23" t="s">
        <v>80</v>
      </c>
      <c r="W21" s="42" t="str" cm="1">
        <f t="array" ref="W21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21" s="42" t="str" cm="1">
        <f t="array" ref="X21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1" s="23" t="s">
        <v>81</v>
      </c>
      <c r="Z21" s="33">
        <f>_xlfn.NUMBERVALUE(_xlfn.TEXTBEFORE(Table13[[#This Row],[Unit Price]]," "))</f>
        <v>117</v>
      </c>
      <c r="AA21" s="23" t="str">
        <f>RIGHT(Table13[[#This Row],[Unit Price]],LEN(Table13[[#This Row],[Unit Price]])-FIND(" ",Table13[[#This Row],[Unit Price]]))</f>
        <v>GBP</v>
      </c>
      <c r="AB21" s="33" cm="1">
        <f t="array" ref="AB21">Table13[[#This Row],[Unit Price Value]]*_xlfn.XLOOKUP(Table13[[#This Row],[Unit Price Currency]],{"EUR","USD","GBP","BRL","CAD","CNY","AUD","ZAR","MXN","JPY","INR"},{1,0.86,1.15,0.15,0.63,0.12,0.56,0.05,0.05,0.01,0.01},NA())</f>
        <v>134.54999999999998</v>
      </c>
      <c r="AC21" s="32">
        <v>25</v>
      </c>
      <c r="AD21" s="32">
        <v>15</v>
      </c>
      <c r="AE21" s="20">
        <f>IF(Table13[[#This Row],[Discount (%)]]="",CHOOSE(MATCH(MOD(Table13[[#This Row],[Sales Rep ID]],3)+1,{1,2,3},0),5,10,15),Table13[[#This Row],[Discount (%)]])</f>
        <v>15</v>
      </c>
      <c r="AF21" s="38">
        <f>Table13[[#This Row],[Unit Price (EUR)]]*Table13[[#This Row],[Units Sold]]</f>
        <v>3363.7499999999995</v>
      </c>
      <c r="AG21" s="38">
        <f>Table13[[#This Row],[Gross Price (Euro)]]*Table13[[#This Row],[Calc Discount (%)]]/100</f>
        <v>504.56249999999994</v>
      </c>
      <c r="AH21" s="39">
        <f>Table13[[#This Row],[Gross Price (Euro)]]-Table13[[#This Row],[Discount Value (Euro)]]</f>
        <v>2859.1874999999995</v>
      </c>
    </row>
    <row r="22" spans="1:34" x14ac:dyDescent="0.25">
      <c r="A22" s="43">
        <v>21</v>
      </c>
      <c r="B22" s="23" t="s">
        <v>35</v>
      </c>
      <c r="C22" s="23" t="s">
        <v>36</v>
      </c>
      <c r="D22" s="23" t="str">
        <f>_xlfn.TEXTJOIN(" ",,Table13[[#This Row],[Rep First Name]],Table13[[#This Row],[Rep Last Name]])</f>
        <v>Fang Liu</v>
      </c>
      <c r="E22" s="23" t="s">
        <v>37</v>
      </c>
      <c r="F22" s="23" t="str">
        <f>IF(LEN(Table13[[#This Row],[Month]]) &gt; 0, LEFT(Table13[[#This Row],[Month]], 3), "")</f>
        <v>Feb</v>
      </c>
      <c r="G22" s="23" t="s">
        <v>43</v>
      </c>
      <c r="H22" s="23" t="s">
        <v>32</v>
      </c>
      <c r="I22" s="44">
        <f>IF(ISNUMBER(SEARCH("km/h",Table13[[#This Row],[Min Speed]])),VALUE(_xlfn.TEXTBEFORE(Table13[[#This Row],[Min Speed]]," ")),ROUND(VALUE(_xlfn.TEXTBEFORE(Table13[[#This Row],[Min Speed]]," "))*1.60934,0))</f>
        <v>30</v>
      </c>
      <c r="J22" s="44">
        <f>ROUND(IF(ISNUMBER(SEARCH("km/h",Table13[[#This Row],[Min Speed]])),Table13[[#This Row],[Min Speed (km/h)]]*0.621371,VALUE(_xlfn.TEXTBEFORE(Table13[[#This Row],[Min Speed]]," "))),0)</f>
        <v>19</v>
      </c>
      <c r="K22" s="23" t="s">
        <v>18</v>
      </c>
      <c r="L22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22" s="44">
        <f>IF(ISNUMBER(SEARCH("mph",Table13[[#This Row],[Max Speed]])),--_xlfn.TEXTBEFORE(Table13[[#This Row],[Max Speed]]," mph"),ROUND(--_xlfn.TEXTBEFORE(Table13[[#This Row],[Max Speed]]," km/h")*0.621371,0))</f>
        <v>75</v>
      </c>
      <c r="N22" s="23" t="s">
        <v>28</v>
      </c>
      <c r="O2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22" s="42" t="str">
        <f>TEXT(Table13[[#This Row],[Min Speed (km/h)]],"0")&amp;" - "&amp;TEXT(Table13[[#This Row],[Max Speed (km/h)]],"0")&amp;""</f>
        <v>30 - 120</v>
      </c>
      <c r="Q22" s="46">
        <f>IF(Table13[[#This Row],[Distance (km)]]="", AVERAGE(Table13[Distance (km)]), Table13[[#This Row],[Distance (km)]])</f>
        <v>241.40100000000001</v>
      </c>
      <c r="R22" s="23" t="s">
        <v>82</v>
      </c>
      <c r="S22" s="42" t="str" cm="1">
        <f t="array" ref="S22">TRIM(INDEX(_xlfn.TEXTSPLIT(Table13[[#This Row],[Shipping Address]],","),1))</f>
        <v>34 King’s Road</v>
      </c>
      <c r="T22" s="42" t="str" cm="1">
        <f t="array" ref="T22">TRIM(INDEX(_xlfn.TEXTSPLIT(Table13[[#This Row],[Shipping Address]],","),2))</f>
        <v>Liverpool</v>
      </c>
      <c r="U22" s="42" t="str" cm="1">
        <f t="array" ref="U22">TRIM(INDEX(_xlfn.TEXTSPLIT(Table13[[#This Row],[Shipping Address]],","),3))</f>
        <v>W8 4PX</v>
      </c>
      <c r="V22" s="23" t="s">
        <v>80</v>
      </c>
      <c r="W22" s="42" t="str" cm="1">
        <f t="array" ref="W22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22" s="42" t="str" cm="1">
        <f t="array" ref="X22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2" s="23" t="s">
        <v>83</v>
      </c>
      <c r="Z22" s="33">
        <f>_xlfn.NUMBERVALUE(_xlfn.TEXTBEFORE(Table13[[#This Row],[Unit Price]]," "))</f>
        <v>156</v>
      </c>
      <c r="AA22" s="23" t="str">
        <f>RIGHT(Table13[[#This Row],[Unit Price]],LEN(Table13[[#This Row],[Unit Price]])-FIND(" ",Table13[[#This Row],[Unit Price]]))</f>
        <v>GBP</v>
      </c>
      <c r="AB22" s="33" cm="1">
        <f t="array" ref="AB22">Table13[[#This Row],[Unit Price Value]]*_xlfn.XLOOKUP(Table13[[#This Row],[Unit Price Currency]],{"EUR","USD","GBP","BRL","CAD","CNY","AUD","ZAR","MXN","JPY","INR"},{1,0.86,1.15,0.15,0.63,0.12,0.56,0.05,0.05,0.01,0.01},NA())</f>
        <v>179.39999999999998</v>
      </c>
      <c r="AC22" s="32">
        <v>20</v>
      </c>
      <c r="AD22" s="32">
        <v>5</v>
      </c>
      <c r="AE22" s="20">
        <f>IF(Table13[[#This Row],[Discount (%)]]="",CHOOSE(MATCH(MOD(Table13[[#This Row],[Sales Rep ID]],3)+1,{1,2,3},0),5,10,15),Table13[[#This Row],[Discount (%)]])</f>
        <v>5</v>
      </c>
      <c r="AF22" s="38">
        <f>Table13[[#This Row],[Unit Price (EUR)]]*Table13[[#This Row],[Units Sold]]</f>
        <v>3587.9999999999995</v>
      </c>
      <c r="AG22" s="38">
        <f>Table13[[#This Row],[Gross Price (Euro)]]*Table13[[#This Row],[Calc Discount (%)]]/100</f>
        <v>179.39999999999998</v>
      </c>
      <c r="AH22" s="39">
        <f>Table13[[#This Row],[Gross Price (Euro)]]-Table13[[#This Row],[Discount Value (Euro)]]</f>
        <v>3408.5999999999995</v>
      </c>
    </row>
    <row r="23" spans="1:34" x14ac:dyDescent="0.25">
      <c r="A23" s="43">
        <v>22</v>
      </c>
      <c r="B23" s="23" t="s">
        <v>45</v>
      </c>
      <c r="C23" s="23" t="s">
        <v>46</v>
      </c>
      <c r="D23" s="23" t="str">
        <f>_xlfn.TEXTJOIN(" ",,Table13[[#This Row],[Rep First Name]],Table13[[#This Row],[Rep Last Name]])</f>
        <v>Jonas Fischer</v>
      </c>
      <c r="E23" s="23" t="s">
        <v>76</v>
      </c>
      <c r="F23" s="23" t="str">
        <f>IF(LEN(Table13[[#This Row],[Month]]) &gt; 0, LEFT(Table13[[#This Row],[Month]], 3), "")</f>
        <v>May</v>
      </c>
      <c r="G23" s="23" t="s">
        <v>43</v>
      </c>
      <c r="H23" s="23" t="s">
        <v>17</v>
      </c>
      <c r="I23" s="44">
        <f>IF(ISNUMBER(SEARCH("km/h",Table13[[#This Row],[Min Speed]])),VALUE(_xlfn.TEXTBEFORE(Table13[[#This Row],[Min Speed]]," ")),ROUND(VALUE(_xlfn.TEXTBEFORE(Table13[[#This Row],[Min Speed]]," "))*1.60934,0))</f>
        <v>64</v>
      </c>
      <c r="J23" s="44">
        <f>ROUND(IF(ISNUMBER(SEARCH("km/h",Table13[[#This Row],[Min Speed]])),Table13[[#This Row],[Min Speed (km/h)]]*0.621371,VALUE(_xlfn.TEXTBEFORE(Table13[[#This Row],[Min Speed]]," "))),0)</f>
        <v>40</v>
      </c>
      <c r="K23" s="23" t="s">
        <v>18</v>
      </c>
      <c r="L23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23" s="44">
        <f>IF(ISNUMBER(SEARCH("mph",Table13[[#This Row],[Max Speed]])),--_xlfn.TEXTBEFORE(Table13[[#This Row],[Max Speed]]," mph"),ROUND(--_xlfn.TEXTBEFORE(Table13[[#This Row],[Max Speed]]," km/h")*0.621371,0))</f>
        <v>75</v>
      </c>
      <c r="N23" s="23" t="s">
        <v>68</v>
      </c>
      <c r="O2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23" s="42" t="str">
        <f>TEXT(Table13[[#This Row],[Min Speed (km/h)]],"0")&amp;" - "&amp;TEXT(Table13[[#This Row],[Max Speed (km/h)]],"0")&amp;""</f>
        <v>64 - 120</v>
      </c>
      <c r="Q23" s="46">
        <f>IF(Table13[[#This Row],[Distance (km)]]="", AVERAGE(Table13[Distance (km)]), Table13[[#This Row],[Distance (km)]])</f>
        <v>600</v>
      </c>
      <c r="R23" s="23" t="s">
        <v>84</v>
      </c>
      <c r="S23" s="42" t="str" cm="1">
        <f t="array" ref="S23">TRIM(INDEX(_xlfn.TEXTSPLIT(Table13[[#This Row],[Shipping Address]],","),1))</f>
        <v>56 Queen Street</v>
      </c>
      <c r="T23" s="42" t="str" cm="1">
        <f t="array" ref="T23">TRIM(INDEX(_xlfn.TEXTSPLIT(Table13[[#This Row],[Shipping Address]],","),2))</f>
        <v>Edinburgh</v>
      </c>
      <c r="U23" s="42" t="str" cm="1">
        <f t="array" ref="U23">TRIM(INDEX(_xlfn.TEXTSPLIT(Table13[[#This Row],[Shipping Address]],","),3))</f>
        <v>EH2 4GQ</v>
      </c>
      <c r="V23" s="23" t="s">
        <v>80</v>
      </c>
      <c r="W23" s="42" t="str" cm="1">
        <f t="array" ref="W23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23" s="42" t="str" cm="1">
        <f t="array" ref="X23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3" s="23" t="s">
        <v>85</v>
      </c>
      <c r="Z23" s="33">
        <f>_xlfn.NUMBERVALUE(_xlfn.TEXTBEFORE(Table13[[#This Row],[Unit Price]]," "))</f>
        <v>195</v>
      </c>
      <c r="AA23" s="23" t="str">
        <f>RIGHT(Table13[[#This Row],[Unit Price]],LEN(Table13[[#This Row],[Unit Price]])-FIND(" ",Table13[[#This Row],[Unit Price]]))</f>
        <v>GBP</v>
      </c>
      <c r="AB23" s="33" cm="1">
        <f t="array" ref="AB23">Table13[[#This Row],[Unit Price Value]]*_xlfn.XLOOKUP(Table13[[#This Row],[Unit Price Currency]],{"EUR","USD","GBP","BRL","CAD","CNY","AUD","ZAR","MXN","JPY","INR"},{1,0.86,1.15,0.15,0.63,0.12,0.56,0.05,0.05,0.01,0.01},NA())</f>
        <v>224.24999999999997</v>
      </c>
      <c r="AC23" s="32">
        <v>15</v>
      </c>
      <c r="AD23" s="32">
        <v>5</v>
      </c>
      <c r="AE23" s="20">
        <f>IF(Table13[[#This Row],[Discount (%)]]="",CHOOSE(MATCH(MOD(Table13[[#This Row],[Sales Rep ID]],3)+1,{1,2,3},0),5,10,15),Table13[[#This Row],[Discount (%)]])</f>
        <v>5</v>
      </c>
      <c r="AF23" s="38">
        <f>Table13[[#This Row],[Unit Price (EUR)]]*Table13[[#This Row],[Units Sold]]</f>
        <v>3363.7499999999995</v>
      </c>
      <c r="AG23" s="38">
        <f>Table13[[#This Row],[Gross Price (Euro)]]*Table13[[#This Row],[Calc Discount (%)]]/100</f>
        <v>168.18749999999997</v>
      </c>
      <c r="AH23" s="39">
        <f>Table13[[#This Row],[Gross Price (Euro)]]-Table13[[#This Row],[Discount Value (Euro)]]</f>
        <v>3195.5624999999995</v>
      </c>
    </row>
    <row r="24" spans="1:34" x14ac:dyDescent="0.25">
      <c r="A24" s="43">
        <v>23</v>
      </c>
      <c r="B24" s="23" t="s">
        <v>45</v>
      </c>
      <c r="C24" s="23" t="s">
        <v>46</v>
      </c>
      <c r="D24" s="23" t="str">
        <f>_xlfn.TEXTJOIN(" ",,Table13[[#This Row],[Rep First Name]],Table13[[#This Row],[Rep Last Name]])</f>
        <v>Jonas Fischer</v>
      </c>
      <c r="E24" s="23" t="s">
        <v>37</v>
      </c>
      <c r="F24" s="23" t="str">
        <f>IF(LEN(Table13[[#This Row],[Month]]) &gt; 0, LEFT(Table13[[#This Row],[Month]], 3), "")</f>
        <v>Feb</v>
      </c>
      <c r="G24" s="23" t="s">
        <v>27</v>
      </c>
      <c r="H24" s="23" t="s">
        <v>17</v>
      </c>
      <c r="I24" s="44">
        <f>IF(ISNUMBER(SEARCH("km/h",Table13[[#This Row],[Min Speed]])),VALUE(_xlfn.TEXTBEFORE(Table13[[#This Row],[Min Speed]]," ")),ROUND(VALUE(_xlfn.TEXTBEFORE(Table13[[#This Row],[Min Speed]]," "))*1.60934,0))</f>
        <v>64</v>
      </c>
      <c r="J24" s="44">
        <f>ROUND(IF(ISNUMBER(SEARCH("km/h",Table13[[#This Row],[Min Speed]])),Table13[[#This Row],[Min Speed (km/h)]]*0.621371,VALUE(_xlfn.TEXTBEFORE(Table13[[#This Row],[Min Speed]]," "))),0)</f>
        <v>40</v>
      </c>
      <c r="K24" s="23" t="s">
        <v>18</v>
      </c>
      <c r="L24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24" s="44">
        <f>IF(ISNUMBER(SEARCH("mph",Table13[[#This Row],[Max Speed]])),--_xlfn.TEXTBEFORE(Table13[[#This Row],[Max Speed]]," mph"),ROUND(--_xlfn.TEXTBEFORE(Table13[[#This Row],[Max Speed]]," km/h")*0.621371,0))</f>
        <v>75</v>
      </c>
      <c r="N24" s="23" t="s">
        <v>26</v>
      </c>
      <c r="O2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24" s="42" t="str">
        <f>TEXT(Table13[[#This Row],[Min Speed (km/h)]],"0")&amp;" - "&amp;TEXT(Table13[[#This Row],[Max Speed (km/h)]],"0")&amp;""</f>
        <v>64 - 120</v>
      </c>
      <c r="Q24" s="46">
        <f>IF(Table13[[#This Row],[Distance (km)]]="", AVERAGE(Table13[Distance (km)]), Table13[[#This Row],[Distance (km)]])</f>
        <v>482.80200000000002</v>
      </c>
      <c r="R24" s="23" t="s">
        <v>84</v>
      </c>
      <c r="S24" s="42" t="str" cm="1">
        <f t="array" ref="S24">TRIM(INDEX(_xlfn.TEXTSPLIT(Table13[[#This Row],[Shipping Address]],","),1))</f>
        <v>56 Queen Street</v>
      </c>
      <c r="T24" s="42" t="str" cm="1">
        <f t="array" ref="T24">TRIM(INDEX(_xlfn.TEXTSPLIT(Table13[[#This Row],[Shipping Address]],","),2))</f>
        <v>Edinburgh</v>
      </c>
      <c r="U24" s="42" t="str" cm="1">
        <f t="array" ref="U24">TRIM(INDEX(_xlfn.TEXTSPLIT(Table13[[#This Row],[Shipping Address]],","),3))</f>
        <v>EH2 4GQ</v>
      </c>
      <c r="V24" s="23" t="s">
        <v>80</v>
      </c>
      <c r="W24" s="42" t="str" cm="1">
        <f t="array" ref="W24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24" s="42" t="str" cm="1">
        <f t="array" ref="X24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4" s="23" t="s">
        <v>85</v>
      </c>
      <c r="Z24" s="33">
        <f>_xlfn.NUMBERVALUE(_xlfn.TEXTBEFORE(Table13[[#This Row],[Unit Price]]," "))</f>
        <v>195</v>
      </c>
      <c r="AA24" s="23" t="str">
        <f>RIGHT(Table13[[#This Row],[Unit Price]],LEN(Table13[[#This Row],[Unit Price]])-FIND(" ",Table13[[#This Row],[Unit Price]]))</f>
        <v>GBP</v>
      </c>
      <c r="AB24" s="33" cm="1">
        <f t="array" ref="AB24">Table13[[#This Row],[Unit Price Value]]*_xlfn.XLOOKUP(Table13[[#This Row],[Unit Price Currency]],{"EUR","USD","GBP","BRL","CAD","CNY","AUD","ZAR","MXN","JPY","INR"},{1,0.86,1.15,0.15,0.63,0.12,0.56,0.05,0.05,0.01,0.01},NA())</f>
        <v>224.24999999999997</v>
      </c>
      <c r="AC24" s="32">
        <v>15</v>
      </c>
      <c r="AD24" s="32"/>
      <c r="AE24" s="20">
        <f>IF(Table13[[#This Row],[Discount (%)]]="",CHOOSE(MATCH(MOD(Table13[[#This Row],[Sales Rep ID]],3)+1,{1,2,3},0),5,10,15),Table13[[#This Row],[Discount (%)]])</f>
        <v>15</v>
      </c>
      <c r="AF24" s="38">
        <f>Table13[[#This Row],[Unit Price (EUR)]]*Table13[[#This Row],[Units Sold]]</f>
        <v>3363.7499999999995</v>
      </c>
      <c r="AG24" s="38">
        <f>Table13[[#This Row],[Gross Price (Euro)]]*Table13[[#This Row],[Calc Discount (%)]]/100</f>
        <v>504.56249999999994</v>
      </c>
      <c r="AH24" s="39">
        <f>Table13[[#This Row],[Gross Price (Euro)]]-Table13[[#This Row],[Discount Value (Euro)]]</f>
        <v>2859.1874999999995</v>
      </c>
    </row>
    <row r="25" spans="1:34" x14ac:dyDescent="0.25">
      <c r="A25" s="43">
        <v>24</v>
      </c>
      <c r="B25" s="23" t="s">
        <v>45</v>
      </c>
      <c r="C25" s="23" t="s">
        <v>46</v>
      </c>
      <c r="D25" s="23" t="str">
        <f>_xlfn.TEXTJOIN(" ",,Table13[[#This Row],[Rep First Name]],Table13[[#This Row],[Rep Last Name]])</f>
        <v>Jonas Fischer</v>
      </c>
      <c r="E25" s="23" t="s">
        <v>76</v>
      </c>
      <c r="F25" s="23" t="str">
        <f>IF(LEN(Table13[[#This Row],[Month]]) &gt; 0, LEFT(Table13[[#This Row],[Month]], 3), "")</f>
        <v>May</v>
      </c>
      <c r="G25" s="23" t="s">
        <v>43</v>
      </c>
      <c r="H25" s="23" t="s">
        <v>48</v>
      </c>
      <c r="I25" s="44">
        <f>IF(ISNUMBER(SEARCH("km/h",Table13[[#This Row],[Min Speed]])),VALUE(_xlfn.TEXTBEFORE(Table13[[#This Row],[Min Speed]]," ")),ROUND(VALUE(_xlfn.TEXTBEFORE(Table13[[#This Row],[Min Speed]]," "))*1.60934,0))</f>
        <v>20</v>
      </c>
      <c r="J25" s="44">
        <f>ROUND(IF(ISNUMBER(SEARCH("km/h",Table13[[#This Row],[Min Speed]])),Table13[[#This Row],[Min Speed (km/h)]]*0.621371,VALUE(_xlfn.TEXTBEFORE(Table13[[#This Row],[Min Speed]]," "))),0)</f>
        <v>12</v>
      </c>
      <c r="K25" s="23" t="s">
        <v>55</v>
      </c>
      <c r="L25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25" s="44">
        <f>IF(ISNUMBER(SEARCH("mph",Table13[[#This Row],[Max Speed]])),--_xlfn.TEXTBEFORE(Table13[[#This Row],[Max Speed]]," mph"),ROUND(--_xlfn.TEXTBEFORE(Table13[[#This Row],[Max Speed]]," km/h")*0.621371,0))</f>
        <v>100</v>
      </c>
      <c r="N25" s="23" t="s">
        <v>26</v>
      </c>
      <c r="O2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25" s="42" t="str">
        <f>TEXT(Table13[[#This Row],[Min Speed (km/h)]],"0")&amp;" - "&amp;TEXT(Table13[[#This Row],[Max Speed (km/h)]],"0")&amp;""</f>
        <v>20 - 161</v>
      </c>
      <c r="Q25" s="46">
        <f>IF(Table13[[#This Row],[Distance (km)]]="", AVERAGE(Table13[Distance (km)]), Table13[[#This Row],[Distance (km)]])</f>
        <v>482.80200000000002</v>
      </c>
      <c r="R25" s="23" t="s">
        <v>86</v>
      </c>
      <c r="S25" s="42" t="str" cm="1">
        <f t="array" ref="S25">TRIM(INDEX(_xlfn.TEXTSPLIT(Table13[[#This Row],[Shipping Address]],","),1))</f>
        <v>78 Church Lane</v>
      </c>
      <c r="T25" s="42" t="str" cm="1">
        <f t="array" ref="T25">TRIM(INDEX(_xlfn.TEXTSPLIT(Table13[[#This Row],[Shipping Address]],","),2))</f>
        <v>Birmingham</v>
      </c>
      <c r="U25" s="42" t="str" cm="1">
        <f t="array" ref="U25">TRIM(INDEX(_xlfn.TEXTSPLIT(Table13[[#This Row],[Shipping Address]],","),3))</f>
        <v>B1 1AA</v>
      </c>
      <c r="V25" s="23" t="s">
        <v>80</v>
      </c>
      <c r="W25" s="42" t="str" cm="1">
        <f t="array" ref="W25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25" s="42" t="str" cm="1">
        <f t="array" ref="X25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5" s="23" t="s">
        <v>87</v>
      </c>
      <c r="Z25" s="33">
        <f>_xlfn.NUMBERVALUE(_xlfn.TEXTBEFORE(Table13[[#This Row],[Unit Price]]," "))</f>
        <v>234</v>
      </c>
      <c r="AA25" s="23" t="str">
        <f>RIGHT(Table13[[#This Row],[Unit Price]],LEN(Table13[[#This Row],[Unit Price]])-FIND(" ",Table13[[#This Row],[Unit Price]]))</f>
        <v>GBP</v>
      </c>
      <c r="AB25" s="33" cm="1">
        <f t="array" ref="AB25">Table13[[#This Row],[Unit Price Value]]*_xlfn.XLOOKUP(Table13[[#This Row],[Unit Price Currency]],{"EUR","USD","GBP","BRL","CAD","CNY","AUD","ZAR","MXN","JPY","INR"},{1,0.86,1.15,0.15,0.63,0.12,0.56,0.05,0.05,0.01,0.01},NA())</f>
        <v>269.09999999999997</v>
      </c>
      <c r="AC25" s="32">
        <v>10</v>
      </c>
      <c r="AD25" s="32"/>
      <c r="AE25" s="20">
        <f>IF(Table13[[#This Row],[Discount (%)]]="",CHOOSE(MATCH(MOD(Table13[[#This Row],[Sales Rep ID]],3)+1,{1,2,3},0),5,10,15),Table13[[#This Row],[Discount (%)]])</f>
        <v>5</v>
      </c>
      <c r="AF25" s="38">
        <f>Table13[[#This Row],[Unit Price (EUR)]]*Table13[[#This Row],[Units Sold]]</f>
        <v>2690.9999999999995</v>
      </c>
      <c r="AG25" s="38">
        <f>Table13[[#This Row],[Gross Price (Euro)]]*Table13[[#This Row],[Calc Discount (%)]]/100</f>
        <v>134.54999999999998</v>
      </c>
      <c r="AH25" s="39">
        <f>Table13[[#This Row],[Gross Price (Euro)]]-Table13[[#This Row],[Discount Value (Euro)]]</f>
        <v>2556.4499999999994</v>
      </c>
    </row>
    <row r="26" spans="1:34" x14ac:dyDescent="0.25">
      <c r="A26" s="43">
        <v>25</v>
      </c>
      <c r="B26" s="23" t="s">
        <v>59</v>
      </c>
      <c r="C26" s="23" t="s">
        <v>60</v>
      </c>
      <c r="D26" s="23" t="str">
        <f>_xlfn.TEXTJOIN(" ",,Table13[[#This Row],[Rep First Name]],Table13[[#This Row],[Rep Last Name]])</f>
        <v>Théo Bernard</v>
      </c>
      <c r="E26" s="23" t="s">
        <v>15</v>
      </c>
      <c r="F26" s="23" t="str">
        <f>IF(LEN(Table13[[#This Row],[Month]]) &gt; 0, LEFT(Table13[[#This Row],[Month]], 3), "")</f>
        <v>Jun</v>
      </c>
      <c r="G26" s="23" t="s">
        <v>43</v>
      </c>
      <c r="H26" s="23" t="s">
        <v>32</v>
      </c>
      <c r="I26" s="44">
        <f>IF(ISNUMBER(SEARCH("km/h",Table13[[#This Row],[Min Speed]])),VALUE(_xlfn.TEXTBEFORE(Table13[[#This Row],[Min Speed]]," ")),ROUND(VALUE(_xlfn.TEXTBEFORE(Table13[[#This Row],[Min Speed]]," "))*1.60934,0))</f>
        <v>30</v>
      </c>
      <c r="J26" s="44">
        <f>ROUND(IF(ISNUMBER(SEARCH("km/h",Table13[[#This Row],[Min Speed]])),Table13[[#This Row],[Min Speed (km/h)]]*0.621371,VALUE(_xlfn.TEXTBEFORE(Table13[[#This Row],[Min Speed]]," "))),0)</f>
        <v>19</v>
      </c>
      <c r="K26" s="23" t="s">
        <v>44</v>
      </c>
      <c r="L26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26" s="44">
        <f>IF(ISNUMBER(SEARCH("mph",Table13[[#This Row],[Max Speed]])),--_xlfn.TEXTBEFORE(Table13[[#This Row],[Max Speed]]," mph"),ROUND(--_xlfn.TEXTBEFORE(Table13[[#This Row],[Max Speed]]," km/h")*0.621371,0))</f>
        <v>50</v>
      </c>
      <c r="N26" s="23" t="s">
        <v>19</v>
      </c>
      <c r="O2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26" s="42" t="str">
        <f>TEXT(Table13[[#This Row],[Min Speed (km/h)]],"0")&amp;" - "&amp;TEXT(Table13[[#This Row],[Max Speed (km/h)]],"0")&amp;""</f>
        <v>30 - 80</v>
      </c>
      <c r="Q26" s="46">
        <f>IF(Table13[[#This Row],[Distance (km)]]="", AVERAGE(Table13[Distance (km)]), Table13[[#This Row],[Distance (km)]])</f>
        <v>500</v>
      </c>
      <c r="R26" s="23" t="s">
        <v>88</v>
      </c>
      <c r="S26" s="42" t="str" cm="1">
        <f t="array" ref="S26">TRIM(INDEX(_xlfn.TEXTSPLIT(Table13[[#This Row],[Shipping Address]],","),1))</f>
        <v>123 Hauptstraße</v>
      </c>
      <c r="T26" s="42" t="str" cm="1">
        <f t="array" ref="T26">TRIM(INDEX(_xlfn.TEXTSPLIT(Table13[[#This Row],[Shipping Address]],","),2))</f>
        <v>Berlin</v>
      </c>
      <c r="U26" s="42" t="str" cm="1">
        <f t="array" ref="U26">TRIM(INDEX(_xlfn.TEXTSPLIT(Table13[[#This Row],[Shipping Address]],","),3))</f>
        <v>10115</v>
      </c>
      <c r="V26" s="23" t="s">
        <v>89</v>
      </c>
      <c r="W26" s="42" t="str" cm="1">
        <f t="array" ref="W26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26" s="42" t="str" cm="1">
        <f t="array" ref="X26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6" s="23" t="s">
        <v>90</v>
      </c>
      <c r="Z26" s="33">
        <f>_xlfn.NUMBERVALUE(_xlfn.TEXTBEFORE(Table13[[#This Row],[Unit Price]]," "))</f>
        <v>139</v>
      </c>
      <c r="AA26" s="23" t="str">
        <f>RIGHT(Table13[[#This Row],[Unit Price]],LEN(Table13[[#This Row],[Unit Price]])-FIND(" ",Table13[[#This Row],[Unit Price]]))</f>
        <v>EUR</v>
      </c>
      <c r="AB26" s="33" cm="1">
        <f t="array" ref="AB26">Table13[[#This Row],[Unit Price Value]]*_xlfn.XLOOKUP(Table13[[#This Row],[Unit Price Currency]],{"EUR","USD","GBP","BRL","CAD","CNY","AUD","ZAR","MXN","JPY","INR"},{1,0.86,1.15,0.15,0.63,0.12,0.56,0.05,0.05,0.01,0.01},NA())</f>
        <v>139</v>
      </c>
      <c r="AC26" s="32">
        <v>30</v>
      </c>
      <c r="AD26" s="32">
        <v>5</v>
      </c>
      <c r="AE26" s="20">
        <f>IF(Table13[[#This Row],[Discount (%)]]="",CHOOSE(MATCH(MOD(Table13[[#This Row],[Sales Rep ID]],3)+1,{1,2,3},0),5,10,15),Table13[[#This Row],[Discount (%)]])</f>
        <v>5</v>
      </c>
      <c r="AF26" s="38">
        <f>Table13[[#This Row],[Unit Price (EUR)]]*Table13[[#This Row],[Units Sold]]</f>
        <v>4170</v>
      </c>
      <c r="AG26" s="38">
        <f>Table13[[#This Row],[Gross Price (Euro)]]*Table13[[#This Row],[Calc Discount (%)]]/100</f>
        <v>208.5</v>
      </c>
      <c r="AH26" s="39">
        <f>Table13[[#This Row],[Gross Price (Euro)]]-Table13[[#This Row],[Discount Value (Euro)]]</f>
        <v>3961.5</v>
      </c>
    </row>
    <row r="27" spans="1:34" x14ac:dyDescent="0.25">
      <c r="A27" s="43">
        <v>26</v>
      </c>
      <c r="B27" s="23" t="s">
        <v>59</v>
      </c>
      <c r="C27" s="23" t="s">
        <v>60</v>
      </c>
      <c r="D27" s="23" t="str">
        <f>_xlfn.TEXTJOIN(" ",,Table13[[#This Row],[Rep First Name]],Table13[[#This Row],[Rep Last Name]])</f>
        <v>Théo Bernard</v>
      </c>
      <c r="E27" s="23" t="s">
        <v>15</v>
      </c>
      <c r="F27" s="23" t="str">
        <f>IF(LEN(Table13[[#This Row],[Month]]) &gt; 0, LEFT(Table13[[#This Row],[Month]], 3), "")</f>
        <v>Jun</v>
      </c>
      <c r="G27" s="23" t="s">
        <v>27</v>
      </c>
      <c r="H27" s="23" t="s">
        <v>17</v>
      </c>
      <c r="I27" s="44">
        <f>IF(ISNUMBER(SEARCH("km/h",Table13[[#This Row],[Min Speed]])),VALUE(_xlfn.TEXTBEFORE(Table13[[#This Row],[Min Speed]]," ")),ROUND(VALUE(_xlfn.TEXTBEFORE(Table13[[#This Row],[Min Speed]]," "))*1.60934,0))</f>
        <v>64</v>
      </c>
      <c r="J27" s="44">
        <f>ROUND(IF(ISNUMBER(SEARCH("km/h",Table13[[#This Row],[Min Speed]])),Table13[[#This Row],[Min Speed (km/h)]]*0.621371,VALUE(_xlfn.TEXTBEFORE(Table13[[#This Row],[Min Speed]]," "))),0)</f>
        <v>40</v>
      </c>
      <c r="K27" s="23" t="s">
        <v>25</v>
      </c>
      <c r="L2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27" s="44">
        <f>IF(ISNUMBER(SEARCH("mph",Table13[[#This Row],[Max Speed]])),--_xlfn.TEXTBEFORE(Table13[[#This Row],[Max Speed]]," mph"),ROUND(--_xlfn.TEXTBEFORE(Table13[[#This Row],[Max Speed]]," km/h")*0.621371,0))</f>
        <v>150</v>
      </c>
      <c r="N27" s="23" t="s">
        <v>28</v>
      </c>
      <c r="O2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27" s="42" t="str">
        <f>TEXT(Table13[[#This Row],[Min Speed (km/h)]],"0")&amp;" - "&amp;TEXT(Table13[[#This Row],[Max Speed (km/h)]],"0")&amp;""</f>
        <v>64 - 241</v>
      </c>
      <c r="Q27" s="46">
        <f>IF(Table13[[#This Row],[Distance (km)]]="", AVERAGE(Table13[Distance (km)]), Table13[[#This Row],[Distance (km)]])</f>
        <v>241.40100000000001</v>
      </c>
      <c r="R27" s="23" t="s">
        <v>91</v>
      </c>
      <c r="S27" s="42" t="str" cm="1">
        <f t="array" ref="S27">TRIM(INDEX(_xlfn.TEXTSPLIT(Table13[[#This Row],[Shipping Address]],","),1))</f>
        <v>456 Bahnhofstraße</v>
      </c>
      <c r="T27" s="42" t="str" cm="1">
        <f t="array" ref="T27">TRIM(INDEX(_xlfn.TEXTSPLIT(Table13[[#This Row],[Shipping Address]],","),2))</f>
        <v>Frankfurt</v>
      </c>
      <c r="U27" s="42" t="str" cm="1">
        <f t="array" ref="U27">TRIM(INDEX(_xlfn.TEXTSPLIT(Table13[[#This Row],[Shipping Address]],","),3))</f>
        <v>60329</v>
      </c>
      <c r="V27" s="23" t="s">
        <v>89</v>
      </c>
      <c r="W27" s="42" t="str" cm="1">
        <f t="array" ref="W27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27" s="42" t="str" cm="1">
        <f t="array" ref="X27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7" s="23" t="s">
        <v>92</v>
      </c>
      <c r="Z27" s="33">
        <f>_xlfn.NUMBERVALUE(_xlfn.TEXTBEFORE(Table13[[#This Row],[Unit Price]]," "))</f>
        <v>186</v>
      </c>
      <c r="AA27" s="23" t="str">
        <f>RIGHT(Table13[[#This Row],[Unit Price]],LEN(Table13[[#This Row],[Unit Price]])-FIND(" ",Table13[[#This Row],[Unit Price]]))</f>
        <v>EUR</v>
      </c>
      <c r="AB27" s="33" cm="1">
        <f t="array" ref="AB27">Table13[[#This Row],[Unit Price Value]]*_xlfn.XLOOKUP(Table13[[#This Row],[Unit Price Currency]],{"EUR","USD","GBP","BRL","CAD","CNY","AUD","ZAR","MXN","JPY","INR"},{1,0.86,1.15,0.15,0.63,0.12,0.56,0.05,0.05,0.01,0.01},NA())</f>
        <v>186</v>
      </c>
      <c r="AC27" s="32">
        <v>22</v>
      </c>
      <c r="AD27" s="32">
        <v>10</v>
      </c>
      <c r="AE27" s="20">
        <f>IF(Table13[[#This Row],[Discount (%)]]="",CHOOSE(MATCH(MOD(Table13[[#This Row],[Sales Rep ID]],3)+1,{1,2,3},0),5,10,15),Table13[[#This Row],[Discount (%)]])</f>
        <v>10</v>
      </c>
      <c r="AF27" s="38">
        <f>Table13[[#This Row],[Unit Price (EUR)]]*Table13[[#This Row],[Units Sold]]</f>
        <v>4092</v>
      </c>
      <c r="AG27" s="38">
        <f>Table13[[#This Row],[Gross Price (Euro)]]*Table13[[#This Row],[Calc Discount (%)]]/100</f>
        <v>409.2</v>
      </c>
      <c r="AH27" s="39">
        <f>Table13[[#This Row],[Gross Price (Euro)]]-Table13[[#This Row],[Discount Value (Euro)]]</f>
        <v>3682.8</v>
      </c>
    </row>
    <row r="28" spans="1:34" x14ac:dyDescent="0.25">
      <c r="A28" s="43">
        <v>27</v>
      </c>
      <c r="B28" s="23" t="s">
        <v>59</v>
      </c>
      <c r="C28" s="23" t="s">
        <v>60</v>
      </c>
      <c r="D28" s="23" t="str">
        <f>_xlfn.TEXTJOIN(" ",,Table13[[#This Row],[Rep First Name]],Table13[[#This Row],[Rep Last Name]])</f>
        <v>Théo Bernard</v>
      </c>
      <c r="E28" s="23" t="s">
        <v>15</v>
      </c>
      <c r="F28" s="23" t="str">
        <f>IF(LEN(Table13[[#This Row],[Month]]) &gt; 0, LEFT(Table13[[#This Row],[Month]], 3), "")</f>
        <v>Jun</v>
      </c>
      <c r="G28" s="23" t="s">
        <v>43</v>
      </c>
      <c r="H28" s="23" t="s">
        <v>24</v>
      </c>
      <c r="I28" s="44">
        <f>IF(ISNUMBER(SEARCH("km/h",Table13[[#This Row],[Min Speed]])),VALUE(_xlfn.TEXTBEFORE(Table13[[#This Row],[Min Speed]]," ")),ROUND(VALUE(_xlfn.TEXTBEFORE(Table13[[#This Row],[Min Speed]]," "))*1.60934,0))</f>
        <v>80</v>
      </c>
      <c r="J28" s="44">
        <f>ROUND(IF(ISNUMBER(SEARCH("km/h",Table13[[#This Row],[Min Speed]])),Table13[[#This Row],[Min Speed (km/h)]]*0.621371,VALUE(_xlfn.TEXTBEFORE(Table13[[#This Row],[Min Speed]]," "))),0)</f>
        <v>50</v>
      </c>
      <c r="K28" s="23" t="s">
        <v>18</v>
      </c>
      <c r="L28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28" s="44">
        <f>IF(ISNUMBER(SEARCH("mph",Table13[[#This Row],[Max Speed]])),--_xlfn.TEXTBEFORE(Table13[[#This Row],[Max Speed]]," mph"),ROUND(--_xlfn.TEXTBEFORE(Table13[[#This Row],[Max Speed]]," km/h")*0.621371,0))</f>
        <v>75</v>
      </c>
      <c r="N28" s="23" t="s">
        <v>19</v>
      </c>
      <c r="O2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28" s="42" t="str">
        <f>TEXT(Table13[[#This Row],[Min Speed (km/h)]],"0")&amp;" - "&amp;TEXT(Table13[[#This Row],[Max Speed (km/h)]],"0")&amp;""</f>
        <v>80 - 120</v>
      </c>
      <c r="Q28" s="46">
        <f>IF(Table13[[#This Row],[Distance (km)]]="", AVERAGE(Table13[Distance (km)]), Table13[[#This Row],[Distance (km)]])</f>
        <v>500</v>
      </c>
      <c r="R28" s="23" t="s">
        <v>91</v>
      </c>
      <c r="S28" s="42" t="str" cm="1">
        <f t="array" ref="S28">TRIM(INDEX(_xlfn.TEXTSPLIT(Table13[[#This Row],[Shipping Address]],","),1))</f>
        <v>456 Bahnhofstraße</v>
      </c>
      <c r="T28" s="42" t="str" cm="1">
        <f t="array" ref="T28">TRIM(INDEX(_xlfn.TEXTSPLIT(Table13[[#This Row],[Shipping Address]],","),2))</f>
        <v>Frankfurt</v>
      </c>
      <c r="U28" s="42" t="str" cm="1">
        <f t="array" ref="U28">TRIM(INDEX(_xlfn.TEXTSPLIT(Table13[[#This Row],[Shipping Address]],","),3))</f>
        <v>60329</v>
      </c>
      <c r="V28" s="23" t="s">
        <v>89</v>
      </c>
      <c r="W28" s="42" t="str" cm="1">
        <f t="array" ref="W28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28" s="42" t="str" cm="1">
        <f t="array" ref="X28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8" s="23" t="s">
        <v>92</v>
      </c>
      <c r="Z28" s="33">
        <f>_xlfn.NUMBERVALUE(_xlfn.TEXTBEFORE(Table13[[#This Row],[Unit Price]]," "))</f>
        <v>186</v>
      </c>
      <c r="AA28" s="23" t="str">
        <f>RIGHT(Table13[[#This Row],[Unit Price]],LEN(Table13[[#This Row],[Unit Price]])-FIND(" ",Table13[[#This Row],[Unit Price]]))</f>
        <v>EUR</v>
      </c>
      <c r="AB28" s="33" cm="1">
        <f t="array" ref="AB28">Table13[[#This Row],[Unit Price Value]]*_xlfn.XLOOKUP(Table13[[#This Row],[Unit Price Currency]],{"EUR","USD","GBP","BRL","CAD","CNY","AUD","ZAR","MXN","JPY","INR"},{1,0.86,1.15,0.15,0.63,0.12,0.56,0.05,0.05,0.01,0.01},NA())</f>
        <v>186</v>
      </c>
      <c r="AC28" s="32">
        <v>22</v>
      </c>
      <c r="AD28" s="32">
        <v>10</v>
      </c>
      <c r="AE28" s="20">
        <f>IF(Table13[[#This Row],[Discount (%)]]="",CHOOSE(MATCH(MOD(Table13[[#This Row],[Sales Rep ID]],3)+1,{1,2,3},0),5,10,15),Table13[[#This Row],[Discount (%)]])</f>
        <v>10</v>
      </c>
      <c r="AF28" s="38">
        <f>Table13[[#This Row],[Unit Price (EUR)]]*Table13[[#This Row],[Units Sold]]</f>
        <v>4092</v>
      </c>
      <c r="AG28" s="38">
        <f>Table13[[#This Row],[Gross Price (Euro)]]*Table13[[#This Row],[Calc Discount (%)]]/100</f>
        <v>409.2</v>
      </c>
      <c r="AH28" s="39">
        <f>Table13[[#This Row],[Gross Price (Euro)]]-Table13[[#This Row],[Discount Value (Euro)]]</f>
        <v>3682.8</v>
      </c>
    </row>
    <row r="29" spans="1:34" x14ac:dyDescent="0.25">
      <c r="A29" s="43">
        <v>28</v>
      </c>
      <c r="B29" s="23" t="s">
        <v>59</v>
      </c>
      <c r="C29" s="23" t="s">
        <v>60</v>
      </c>
      <c r="D29" s="23" t="str">
        <f>_xlfn.TEXTJOIN(" ",,Table13[[#This Row],[Rep First Name]],Table13[[#This Row],[Rep Last Name]])</f>
        <v>Théo Bernard</v>
      </c>
      <c r="E29" s="23" t="s">
        <v>76</v>
      </c>
      <c r="F29" s="23" t="str">
        <f>IF(LEN(Table13[[#This Row],[Month]]) &gt; 0, LEFT(Table13[[#This Row],[Month]], 3), "")</f>
        <v>May</v>
      </c>
      <c r="G29" s="23" t="s">
        <v>67</v>
      </c>
      <c r="H29" s="23" t="s">
        <v>17</v>
      </c>
      <c r="I29" s="44">
        <f>IF(ISNUMBER(SEARCH("km/h",Table13[[#This Row],[Min Speed]])),VALUE(_xlfn.TEXTBEFORE(Table13[[#This Row],[Min Speed]]," ")),ROUND(VALUE(_xlfn.TEXTBEFORE(Table13[[#This Row],[Min Speed]]," "))*1.60934,0))</f>
        <v>64</v>
      </c>
      <c r="J29" s="44">
        <f>ROUND(IF(ISNUMBER(SEARCH("km/h",Table13[[#This Row],[Min Speed]])),Table13[[#This Row],[Min Speed (km/h)]]*0.621371,VALUE(_xlfn.TEXTBEFORE(Table13[[#This Row],[Min Speed]]," "))),0)</f>
        <v>40</v>
      </c>
      <c r="K29" s="23" t="s">
        <v>55</v>
      </c>
      <c r="L29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29" s="44">
        <f>IF(ISNUMBER(SEARCH("mph",Table13[[#This Row],[Max Speed]])),--_xlfn.TEXTBEFORE(Table13[[#This Row],[Max Speed]]," mph"),ROUND(--_xlfn.TEXTBEFORE(Table13[[#This Row],[Max Speed]]," km/h")*0.621371,0))</f>
        <v>100</v>
      </c>
      <c r="N29" s="23"/>
      <c r="O29" s="45" t="str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/>
      </c>
      <c r="P29" s="42" t="str">
        <f>TEXT(Table13[[#This Row],[Min Speed (km/h)]],"0")&amp;" - "&amp;TEXT(Table13[[#This Row],[Max Speed (km/h)]],"0")&amp;""</f>
        <v>64 - 161</v>
      </c>
      <c r="Q29" s="46">
        <f>IF(Table13[[#This Row],[Distance (km)]]="", AVERAGE(Table13[Distance (km)]), Table13[[#This Row],[Distance (km)]])</f>
        <v>451.98137500000013</v>
      </c>
      <c r="R29" s="23" t="s">
        <v>93</v>
      </c>
      <c r="S29" s="42" t="str" cm="1">
        <f t="array" ref="S29">TRIM(INDEX(_xlfn.TEXTSPLIT(Table13[[#This Row],[Shipping Address]],","),1))</f>
        <v>789 Lindenweg</v>
      </c>
      <c r="T29" s="42" t="str" cm="1">
        <f t="array" ref="T29">TRIM(INDEX(_xlfn.TEXTSPLIT(Table13[[#This Row],[Shipping Address]],","),2))</f>
        <v>Munich</v>
      </c>
      <c r="U29" s="42" t="str" cm="1">
        <f t="array" ref="U29">TRIM(INDEX(_xlfn.TEXTSPLIT(Table13[[#This Row],[Shipping Address]],","),3))</f>
        <v>10179</v>
      </c>
      <c r="V29" s="23" t="s">
        <v>89</v>
      </c>
      <c r="W29" s="42" t="str" cm="1">
        <f t="array" ref="W29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29" s="42" t="str" cm="1">
        <f t="array" ref="X29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29" s="23" t="s">
        <v>94</v>
      </c>
      <c r="Z29" s="33">
        <f>_xlfn.NUMBERVALUE(_xlfn.TEXTBEFORE(Table13[[#This Row],[Unit Price]]," "))</f>
        <v>232</v>
      </c>
      <c r="AA29" s="23" t="str">
        <f>RIGHT(Table13[[#This Row],[Unit Price]],LEN(Table13[[#This Row],[Unit Price]])-FIND(" ",Table13[[#This Row],[Unit Price]]))</f>
        <v>EUR</v>
      </c>
      <c r="AB29" s="33" cm="1">
        <f t="array" ref="AB29">Table13[[#This Row],[Unit Price Value]]*_xlfn.XLOOKUP(Table13[[#This Row],[Unit Price Currency]],{"EUR","USD","GBP","BRL","CAD","CNY","AUD","ZAR","MXN","JPY","INR"},{1,0.86,1.15,0.15,0.63,0.12,0.56,0.05,0.05,0.01,0.01},NA())</f>
        <v>232</v>
      </c>
      <c r="AC29" s="32">
        <v>17</v>
      </c>
      <c r="AD29" s="32">
        <v>10</v>
      </c>
      <c r="AE29" s="20">
        <f>IF(Table13[[#This Row],[Discount (%)]]="",CHOOSE(MATCH(MOD(Table13[[#This Row],[Sales Rep ID]],3)+1,{1,2,3},0),5,10,15),Table13[[#This Row],[Discount (%)]])</f>
        <v>10</v>
      </c>
      <c r="AF29" s="38">
        <f>Table13[[#This Row],[Unit Price (EUR)]]*Table13[[#This Row],[Units Sold]]</f>
        <v>3944</v>
      </c>
      <c r="AG29" s="38">
        <f>Table13[[#This Row],[Gross Price (Euro)]]*Table13[[#This Row],[Calc Discount (%)]]/100</f>
        <v>394.4</v>
      </c>
      <c r="AH29" s="39">
        <f>Table13[[#This Row],[Gross Price (Euro)]]-Table13[[#This Row],[Discount Value (Euro)]]</f>
        <v>3549.6</v>
      </c>
    </row>
    <row r="30" spans="1:34" x14ac:dyDescent="0.25">
      <c r="A30" s="43">
        <v>29</v>
      </c>
      <c r="B30" s="23" t="s">
        <v>13</v>
      </c>
      <c r="C30" s="23" t="s">
        <v>14</v>
      </c>
      <c r="D30" s="23" t="str">
        <f>_xlfn.TEXTJOIN(" ",,Table13[[#This Row],[Rep First Name]],Table13[[#This Row],[Rep Last Name]])</f>
        <v>Sanya Joshi</v>
      </c>
      <c r="E30" s="23" t="s">
        <v>76</v>
      </c>
      <c r="F30" s="23" t="str">
        <f>IF(LEN(Table13[[#This Row],[Month]]) &gt; 0, LEFT(Table13[[#This Row],[Month]], 3), "")</f>
        <v>May</v>
      </c>
      <c r="G30" s="23" t="s">
        <v>67</v>
      </c>
      <c r="H30" s="23" t="s">
        <v>17</v>
      </c>
      <c r="I30" s="44">
        <f>IF(ISNUMBER(SEARCH("km/h",Table13[[#This Row],[Min Speed]])),VALUE(_xlfn.TEXTBEFORE(Table13[[#This Row],[Min Speed]]," ")),ROUND(VALUE(_xlfn.TEXTBEFORE(Table13[[#This Row],[Min Speed]]," "))*1.60934,0))</f>
        <v>64</v>
      </c>
      <c r="J30" s="44">
        <f>ROUND(IF(ISNUMBER(SEARCH("km/h",Table13[[#This Row],[Min Speed]])),Table13[[#This Row],[Min Speed (km/h)]]*0.621371,VALUE(_xlfn.TEXTBEFORE(Table13[[#This Row],[Min Speed]]," "))),0)</f>
        <v>40</v>
      </c>
      <c r="K30" s="23" t="s">
        <v>55</v>
      </c>
      <c r="L30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30" s="44">
        <f>IF(ISNUMBER(SEARCH("mph",Table13[[#This Row],[Max Speed]])),--_xlfn.TEXTBEFORE(Table13[[#This Row],[Max Speed]]," mph"),ROUND(--_xlfn.TEXTBEFORE(Table13[[#This Row],[Max Speed]]," km/h")*0.621371,0))</f>
        <v>100</v>
      </c>
      <c r="N30" s="23" t="s">
        <v>28</v>
      </c>
      <c r="O3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30" s="42" t="str">
        <f>TEXT(Table13[[#This Row],[Min Speed (km/h)]],"0")&amp;" - "&amp;TEXT(Table13[[#This Row],[Max Speed (km/h)]],"0")&amp;""</f>
        <v>64 - 161</v>
      </c>
      <c r="Q30" s="46">
        <f>IF(Table13[[#This Row],[Distance (km)]]="", AVERAGE(Table13[Distance (km)]), Table13[[#This Row],[Distance (km)]])</f>
        <v>241.40100000000001</v>
      </c>
      <c r="R30" s="23" t="s">
        <v>95</v>
      </c>
      <c r="S30" s="42" t="str" cm="1">
        <f t="array" ref="S30">TRIM(INDEX(_xlfn.TEXTSPLIT(Table13[[#This Row],[Shipping Address]],","),1))</f>
        <v>321 Gartenstraße</v>
      </c>
      <c r="T30" s="42" t="str" cm="1">
        <f t="array" ref="T30">TRIM(INDEX(_xlfn.TEXTSPLIT(Table13[[#This Row],[Shipping Address]],","),2))</f>
        <v>Dresden</v>
      </c>
      <c r="U30" s="42" t="str" cm="1">
        <f t="array" ref="U30">TRIM(INDEX(_xlfn.TEXTSPLIT(Table13[[#This Row],[Shipping Address]],","),3))</f>
        <v>01067</v>
      </c>
      <c r="V30" s="23" t="s">
        <v>89</v>
      </c>
      <c r="W30" s="42" t="str" cm="1">
        <f t="array" ref="W30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30" s="42" t="str" cm="1">
        <f t="array" ref="X30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30" s="23" t="s">
        <v>96</v>
      </c>
      <c r="Z30" s="33">
        <f>_xlfn.NUMBERVALUE(_xlfn.TEXTBEFORE(Table13[[#This Row],[Unit Price]]," "))</f>
        <v>279</v>
      </c>
      <c r="AA30" s="23" t="str">
        <f>RIGHT(Table13[[#This Row],[Unit Price]],LEN(Table13[[#This Row],[Unit Price]])-FIND(" ",Table13[[#This Row],[Unit Price]]))</f>
        <v>EUR</v>
      </c>
      <c r="AB30" s="33" cm="1">
        <f t="array" ref="AB30">Table13[[#This Row],[Unit Price Value]]*_xlfn.XLOOKUP(Table13[[#This Row],[Unit Price Currency]],{"EUR","USD","GBP","BRL","CAD","CNY","AUD","ZAR","MXN","JPY","INR"},{1,0.86,1.15,0.15,0.63,0.12,0.56,0.05,0.05,0.01,0.01},NA())</f>
        <v>279</v>
      </c>
      <c r="AC30" s="32">
        <v>12</v>
      </c>
      <c r="AD30" s="32">
        <v>10</v>
      </c>
      <c r="AE30" s="20">
        <f>IF(Table13[[#This Row],[Discount (%)]]="",CHOOSE(MATCH(MOD(Table13[[#This Row],[Sales Rep ID]],3)+1,{1,2,3},0),5,10,15),Table13[[#This Row],[Discount (%)]])</f>
        <v>10</v>
      </c>
      <c r="AF30" s="38">
        <f>Table13[[#This Row],[Unit Price (EUR)]]*Table13[[#This Row],[Units Sold]]</f>
        <v>3348</v>
      </c>
      <c r="AG30" s="38">
        <f>Table13[[#This Row],[Gross Price (Euro)]]*Table13[[#This Row],[Calc Discount (%)]]/100</f>
        <v>334.8</v>
      </c>
      <c r="AH30" s="39">
        <f>Table13[[#This Row],[Gross Price (Euro)]]-Table13[[#This Row],[Discount Value (Euro)]]</f>
        <v>3013.2</v>
      </c>
    </row>
    <row r="31" spans="1:34" x14ac:dyDescent="0.25">
      <c r="A31" s="43">
        <v>30</v>
      </c>
      <c r="B31" s="23" t="s">
        <v>13</v>
      </c>
      <c r="C31" s="23" t="s">
        <v>14</v>
      </c>
      <c r="D31" s="23" t="str">
        <f>_xlfn.TEXTJOIN(" ",,Table13[[#This Row],[Rep First Name]],Table13[[#This Row],[Rep Last Name]])</f>
        <v>Sanya Joshi</v>
      </c>
      <c r="E31" s="23" t="s">
        <v>31</v>
      </c>
      <c r="F31" s="23" t="str">
        <f>IF(LEN(Table13[[#This Row],[Month]]) &gt; 0, LEFT(Table13[[#This Row],[Month]], 3), "")</f>
        <v>Jan</v>
      </c>
      <c r="G31" s="23" t="s">
        <v>27</v>
      </c>
      <c r="H31" s="23" t="s">
        <v>48</v>
      </c>
      <c r="I31" s="44">
        <f>IF(ISNUMBER(SEARCH("km/h",Table13[[#This Row],[Min Speed]])),VALUE(_xlfn.TEXTBEFORE(Table13[[#This Row],[Min Speed]]," ")),ROUND(VALUE(_xlfn.TEXTBEFORE(Table13[[#This Row],[Min Speed]]," "))*1.60934,0))</f>
        <v>20</v>
      </c>
      <c r="J31" s="44">
        <f>ROUND(IF(ISNUMBER(SEARCH("km/h",Table13[[#This Row],[Min Speed]])),Table13[[#This Row],[Min Speed (km/h)]]*0.621371,VALUE(_xlfn.TEXTBEFORE(Table13[[#This Row],[Min Speed]]," "))),0)</f>
        <v>12</v>
      </c>
      <c r="K31" s="23" t="s">
        <v>44</v>
      </c>
      <c r="L31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31" s="44">
        <f>IF(ISNUMBER(SEARCH("mph",Table13[[#This Row],[Max Speed]])),--_xlfn.TEXTBEFORE(Table13[[#This Row],[Max Speed]]," mph"),ROUND(--_xlfn.TEXTBEFORE(Table13[[#This Row],[Max Speed]]," km/h")*0.621371,0))</f>
        <v>50</v>
      </c>
      <c r="N31" s="23" t="s">
        <v>68</v>
      </c>
      <c r="O3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31" s="42" t="str">
        <f>TEXT(Table13[[#This Row],[Min Speed (km/h)]],"0")&amp;" - "&amp;TEXT(Table13[[#This Row],[Max Speed (km/h)]],"0")&amp;""</f>
        <v>20 - 80</v>
      </c>
      <c r="Q31" s="46">
        <f>IF(Table13[[#This Row],[Distance (km)]]="", AVERAGE(Table13[Distance (km)]), Table13[[#This Row],[Distance (km)]])</f>
        <v>600</v>
      </c>
      <c r="R31" s="23" t="s">
        <v>97</v>
      </c>
      <c r="S31" s="42" t="str" cm="1">
        <f t="array" ref="S31">TRIM(INDEX(_xlfn.TEXTSPLIT(Table13[[#This Row],[Shipping Address]],","),1))</f>
        <v>123 Rue de la Paix</v>
      </c>
      <c r="T31" s="42" t="str" cm="1">
        <f t="array" ref="T31">TRIM(INDEX(_xlfn.TEXTSPLIT(Table13[[#This Row],[Shipping Address]],","),2))</f>
        <v>Paris</v>
      </c>
      <c r="U31" s="42" t="str" cm="1">
        <f t="array" ref="U31">TRIM(INDEX(_xlfn.TEXTSPLIT(Table13[[#This Row],[Shipping Address]],","),3))</f>
        <v>75002</v>
      </c>
      <c r="V31" s="23" t="s">
        <v>98</v>
      </c>
      <c r="W31" s="42" t="str" cm="1">
        <f t="array" ref="W31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31" s="42" t="str" cm="1">
        <f t="array" ref="X31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31" s="23" t="s">
        <v>90</v>
      </c>
      <c r="Z31" s="33">
        <f>_xlfn.NUMBERVALUE(_xlfn.TEXTBEFORE(Table13[[#This Row],[Unit Price]]," "))</f>
        <v>139</v>
      </c>
      <c r="AA31" s="23" t="str">
        <f>RIGHT(Table13[[#This Row],[Unit Price]],LEN(Table13[[#This Row],[Unit Price]])-FIND(" ",Table13[[#This Row],[Unit Price]]))</f>
        <v>EUR</v>
      </c>
      <c r="AB31" s="33" cm="1">
        <f t="array" ref="AB31">Table13[[#This Row],[Unit Price Value]]*_xlfn.XLOOKUP(Table13[[#This Row],[Unit Price Currency]],{"EUR","USD","GBP","BRL","CAD","CNY","AUD","ZAR","MXN","JPY","INR"},{1,0.86,1.15,0.15,0.63,0.12,0.56,0.05,0.05,0.01,0.01},NA())</f>
        <v>139</v>
      </c>
      <c r="AC31" s="32">
        <v>19</v>
      </c>
      <c r="AD31" s="32">
        <v>10</v>
      </c>
      <c r="AE31" s="20">
        <f>IF(Table13[[#This Row],[Discount (%)]]="",CHOOSE(MATCH(MOD(Table13[[#This Row],[Sales Rep ID]],3)+1,{1,2,3},0),5,10,15),Table13[[#This Row],[Discount (%)]])</f>
        <v>10</v>
      </c>
      <c r="AF31" s="38">
        <f>Table13[[#This Row],[Unit Price (EUR)]]*Table13[[#This Row],[Units Sold]]</f>
        <v>2641</v>
      </c>
      <c r="AG31" s="38">
        <f>Table13[[#This Row],[Gross Price (Euro)]]*Table13[[#This Row],[Calc Discount (%)]]/100</f>
        <v>264.10000000000002</v>
      </c>
      <c r="AH31" s="39">
        <f>Table13[[#This Row],[Gross Price (Euro)]]-Table13[[#This Row],[Discount Value (Euro)]]</f>
        <v>2376.9</v>
      </c>
    </row>
    <row r="32" spans="1:34" x14ac:dyDescent="0.25">
      <c r="A32" s="43">
        <v>31</v>
      </c>
      <c r="B32" s="23" t="s">
        <v>13</v>
      </c>
      <c r="C32" s="23" t="s">
        <v>14</v>
      </c>
      <c r="D32" s="23" t="str">
        <f>_xlfn.TEXTJOIN(" ",,Table13[[#This Row],[Rep First Name]],Table13[[#This Row],[Rep Last Name]])</f>
        <v>Sanya Joshi</v>
      </c>
      <c r="E32" s="23" t="s">
        <v>47</v>
      </c>
      <c r="F32" s="23" t="str">
        <f>IF(LEN(Table13[[#This Row],[Month]]) &gt; 0, LEFT(Table13[[#This Row],[Month]], 3), "")</f>
        <v>Apr</v>
      </c>
      <c r="G32" s="23" t="s">
        <v>67</v>
      </c>
      <c r="H32" s="23" t="s">
        <v>48</v>
      </c>
      <c r="I32" s="44">
        <f>IF(ISNUMBER(SEARCH("km/h",Table13[[#This Row],[Min Speed]])),VALUE(_xlfn.TEXTBEFORE(Table13[[#This Row],[Min Speed]]," ")),ROUND(VALUE(_xlfn.TEXTBEFORE(Table13[[#This Row],[Min Speed]]," "))*1.60934,0))</f>
        <v>20</v>
      </c>
      <c r="J32" s="44">
        <f>ROUND(IF(ISNUMBER(SEARCH("km/h",Table13[[#This Row],[Min Speed]])),Table13[[#This Row],[Min Speed (km/h)]]*0.621371,VALUE(_xlfn.TEXTBEFORE(Table13[[#This Row],[Min Speed]]," "))),0)</f>
        <v>12</v>
      </c>
      <c r="K32" s="23" t="s">
        <v>55</v>
      </c>
      <c r="L32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32" s="44">
        <f>IF(ISNUMBER(SEARCH("mph",Table13[[#This Row],[Max Speed]])),--_xlfn.TEXTBEFORE(Table13[[#This Row],[Max Speed]]," mph"),ROUND(--_xlfn.TEXTBEFORE(Table13[[#This Row],[Max Speed]]," km/h")*0.621371,0))</f>
        <v>100</v>
      </c>
      <c r="N32" s="23" t="s">
        <v>28</v>
      </c>
      <c r="O3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32" s="42" t="str">
        <f>TEXT(Table13[[#This Row],[Min Speed (km/h)]],"0")&amp;" - "&amp;TEXT(Table13[[#This Row],[Max Speed (km/h)]],"0")&amp;""</f>
        <v>20 - 161</v>
      </c>
      <c r="Q32" s="46">
        <f>IF(Table13[[#This Row],[Distance (km)]]="", AVERAGE(Table13[Distance (km)]), Table13[[#This Row],[Distance (km)]])</f>
        <v>241.40100000000001</v>
      </c>
      <c r="R32" s="23" t="s">
        <v>99</v>
      </c>
      <c r="S32" s="42" t="str" cm="1">
        <f t="array" ref="S32">TRIM(INDEX(_xlfn.TEXTSPLIT(Table13[[#This Row],[Shipping Address]],","),1))</f>
        <v>456 Boulevard Saint-Germain</v>
      </c>
      <c r="T32" s="42" t="str" cm="1">
        <f t="array" ref="T32">TRIM(INDEX(_xlfn.TEXTSPLIT(Table13[[#This Row],[Shipping Address]],","),2))</f>
        <v>Lyon</v>
      </c>
      <c r="U32" s="42" t="str" cm="1">
        <f t="array" ref="U32">TRIM(INDEX(_xlfn.TEXTSPLIT(Table13[[#This Row],[Shipping Address]],","),3))</f>
        <v>75006</v>
      </c>
      <c r="V32" s="23" t="s">
        <v>98</v>
      </c>
      <c r="W32" s="42" t="str" cm="1">
        <f t="array" ref="W32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32" s="42" t="str" cm="1">
        <f t="array" ref="X32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32" s="23" t="s">
        <v>92</v>
      </c>
      <c r="Z32" s="33">
        <f>_xlfn.NUMBERVALUE(_xlfn.TEXTBEFORE(Table13[[#This Row],[Unit Price]]," "))</f>
        <v>186</v>
      </c>
      <c r="AA32" s="23" t="str">
        <f>RIGHT(Table13[[#This Row],[Unit Price]],LEN(Table13[[#This Row],[Unit Price]])-FIND(" ",Table13[[#This Row],[Unit Price]]))</f>
        <v>EUR</v>
      </c>
      <c r="AB32" s="33" cm="1">
        <f t="array" ref="AB32">Table13[[#This Row],[Unit Price Value]]*_xlfn.XLOOKUP(Table13[[#This Row],[Unit Price Currency]],{"EUR","USD","GBP","BRL","CAD","CNY","AUD","ZAR","MXN","JPY","INR"},{1,0.86,1.15,0.15,0.63,0.12,0.56,0.05,0.05,0.01,0.01},NA())</f>
        <v>186</v>
      </c>
      <c r="AC32" s="32">
        <v>16</v>
      </c>
      <c r="AD32" s="32"/>
      <c r="AE32" s="20">
        <f>IF(Table13[[#This Row],[Discount (%)]]="",CHOOSE(MATCH(MOD(Table13[[#This Row],[Sales Rep ID]],3)+1,{1,2,3},0),5,10,15),Table13[[#This Row],[Discount (%)]])</f>
        <v>10</v>
      </c>
      <c r="AF32" s="38">
        <f>Table13[[#This Row],[Unit Price (EUR)]]*Table13[[#This Row],[Units Sold]]</f>
        <v>2976</v>
      </c>
      <c r="AG32" s="38">
        <f>Table13[[#This Row],[Gross Price (Euro)]]*Table13[[#This Row],[Calc Discount (%)]]/100</f>
        <v>297.60000000000002</v>
      </c>
      <c r="AH32" s="39">
        <f>Table13[[#This Row],[Gross Price (Euro)]]-Table13[[#This Row],[Discount Value (Euro)]]</f>
        <v>2678.4</v>
      </c>
    </row>
    <row r="33" spans="1:34" x14ac:dyDescent="0.25">
      <c r="A33" s="43">
        <v>32</v>
      </c>
      <c r="B33" s="23" t="s">
        <v>35</v>
      </c>
      <c r="C33" s="23" t="s">
        <v>36</v>
      </c>
      <c r="D33" s="23" t="str">
        <f>_xlfn.TEXTJOIN(" ",,Table13[[#This Row],[Rep First Name]],Table13[[#This Row],[Rep Last Name]])</f>
        <v>Fang Liu</v>
      </c>
      <c r="E33" s="23" t="s">
        <v>76</v>
      </c>
      <c r="F33" s="23" t="str">
        <f>IF(LEN(Table13[[#This Row],[Month]]) &gt; 0, LEFT(Table13[[#This Row],[Month]], 3), "")</f>
        <v>May</v>
      </c>
      <c r="G33" s="23" t="s">
        <v>27</v>
      </c>
      <c r="H33" s="23" t="s">
        <v>17</v>
      </c>
      <c r="I33" s="44">
        <f>IF(ISNUMBER(SEARCH("km/h",Table13[[#This Row],[Min Speed]])),VALUE(_xlfn.TEXTBEFORE(Table13[[#This Row],[Min Speed]]," ")),ROUND(VALUE(_xlfn.TEXTBEFORE(Table13[[#This Row],[Min Speed]]," "))*1.60934,0))</f>
        <v>64</v>
      </c>
      <c r="J33" s="44">
        <f>ROUND(IF(ISNUMBER(SEARCH("km/h",Table13[[#This Row],[Min Speed]])),Table13[[#This Row],[Min Speed (km/h)]]*0.621371,VALUE(_xlfn.TEXTBEFORE(Table13[[#This Row],[Min Speed]]," "))),0)</f>
        <v>40</v>
      </c>
      <c r="K33" s="23" t="s">
        <v>44</v>
      </c>
      <c r="L33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33" s="44">
        <f>IF(ISNUMBER(SEARCH("mph",Table13[[#This Row],[Max Speed]])),--_xlfn.TEXTBEFORE(Table13[[#This Row],[Max Speed]]," mph"),ROUND(--_xlfn.TEXTBEFORE(Table13[[#This Row],[Max Speed]]," km/h")*0.621371,0))</f>
        <v>50</v>
      </c>
      <c r="N33" s="23" t="s">
        <v>19</v>
      </c>
      <c r="O3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33" s="42" t="str">
        <f>TEXT(Table13[[#This Row],[Min Speed (km/h)]],"0")&amp;" - "&amp;TEXT(Table13[[#This Row],[Max Speed (km/h)]],"0")&amp;""</f>
        <v>64 - 80</v>
      </c>
      <c r="Q33" s="46">
        <f>IF(Table13[[#This Row],[Distance (km)]]="", AVERAGE(Table13[Distance (km)]), Table13[[#This Row],[Distance (km)]])</f>
        <v>500</v>
      </c>
      <c r="R33" s="23" t="s">
        <v>100</v>
      </c>
      <c r="S33" s="42" t="str" cm="1">
        <f t="array" ref="S33">TRIM(INDEX(_xlfn.TEXTSPLIT(Table13[[#This Row],[Shipping Address]],","),1))</f>
        <v>789 Avenue des Champs-Élysées</v>
      </c>
      <c r="T33" s="42" t="str" cm="1">
        <f t="array" ref="T33">TRIM(INDEX(_xlfn.TEXTSPLIT(Table13[[#This Row],[Shipping Address]],","),2))</f>
        <v>Marseille</v>
      </c>
      <c r="U33" s="42" t="str" cm="1">
        <f t="array" ref="U33">TRIM(INDEX(_xlfn.TEXTSPLIT(Table13[[#This Row],[Shipping Address]],","),3))</f>
        <v>75008</v>
      </c>
      <c r="V33" s="23" t="s">
        <v>98</v>
      </c>
      <c r="W33" s="42" t="str" cm="1">
        <f t="array" ref="W33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33" s="42" t="str" cm="1">
        <f t="array" ref="X33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33" s="23" t="s">
        <v>94</v>
      </c>
      <c r="Z33" s="33">
        <f>_xlfn.NUMBERVALUE(_xlfn.TEXTBEFORE(Table13[[#This Row],[Unit Price]]," "))</f>
        <v>232</v>
      </c>
      <c r="AA33" s="23" t="str">
        <f>RIGHT(Table13[[#This Row],[Unit Price]],LEN(Table13[[#This Row],[Unit Price]])-FIND(" ",Table13[[#This Row],[Unit Price]]))</f>
        <v>EUR</v>
      </c>
      <c r="AB33" s="33" cm="1">
        <f t="array" ref="AB33">Table13[[#This Row],[Unit Price Value]]*_xlfn.XLOOKUP(Table13[[#This Row],[Unit Price Currency]],{"EUR","USD","GBP","BRL","CAD","CNY","AUD","ZAR","MXN","JPY","INR"},{1,0.86,1.15,0.15,0.63,0.12,0.56,0.05,0.05,0.01,0.01},NA())</f>
        <v>232</v>
      </c>
      <c r="AC33" s="32">
        <v>13</v>
      </c>
      <c r="AD33" s="32">
        <v>15</v>
      </c>
      <c r="AE33" s="20">
        <f>IF(Table13[[#This Row],[Discount (%)]]="",CHOOSE(MATCH(MOD(Table13[[#This Row],[Sales Rep ID]],3)+1,{1,2,3},0),5,10,15),Table13[[#This Row],[Discount (%)]])</f>
        <v>15</v>
      </c>
      <c r="AF33" s="38">
        <f>Table13[[#This Row],[Unit Price (EUR)]]*Table13[[#This Row],[Units Sold]]</f>
        <v>3016</v>
      </c>
      <c r="AG33" s="38">
        <f>Table13[[#This Row],[Gross Price (Euro)]]*Table13[[#This Row],[Calc Discount (%)]]/100</f>
        <v>452.4</v>
      </c>
      <c r="AH33" s="39">
        <f>Table13[[#This Row],[Gross Price (Euro)]]-Table13[[#This Row],[Discount Value (Euro)]]</f>
        <v>2563.6</v>
      </c>
    </row>
    <row r="34" spans="1:34" x14ac:dyDescent="0.25">
      <c r="A34" s="43">
        <v>33</v>
      </c>
      <c r="B34" s="23" t="s">
        <v>35</v>
      </c>
      <c r="C34" s="23" t="s">
        <v>36</v>
      </c>
      <c r="D34" s="23" t="str">
        <f>_xlfn.TEXTJOIN(" ",,Table13[[#This Row],[Rep First Name]],Table13[[#This Row],[Rep Last Name]])</f>
        <v>Fang Liu</v>
      </c>
      <c r="E34" s="23" t="s">
        <v>15</v>
      </c>
      <c r="F34" s="23" t="str">
        <f>IF(LEN(Table13[[#This Row],[Month]]) &gt; 0, LEFT(Table13[[#This Row],[Month]], 3), "")</f>
        <v>Jun</v>
      </c>
      <c r="G34" s="23" t="s">
        <v>67</v>
      </c>
      <c r="H34" s="23" t="s">
        <v>24</v>
      </c>
      <c r="I34" s="44">
        <f>IF(ISNUMBER(SEARCH("km/h",Table13[[#This Row],[Min Speed]])),VALUE(_xlfn.TEXTBEFORE(Table13[[#This Row],[Min Speed]]," ")),ROUND(VALUE(_xlfn.TEXTBEFORE(Table13[[#This Row],[Min Speed]]," "))*1.60934,0))</f>
        <v>80</v>
      </c>
      <c r="J34" s="44">
        <f>ROUND(IF(ISNUMBER(SEARCH("km/h",Table13[[#This Row],[Min Speed]])),Table13[[#This Row],[Min Speed (km/h)]]*0.621371,VALUE(_xlfn.TEXTBEFORE(Table13[[#This Row],[Min Speed]]," "))),0)</f>
        <v>50</v>
      </c>
      <c r="K34" s="23" t="s">
        <v>55</v>
      </c>
      <c r="L34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34" s="44">
        <f>IF(ISNUMBER(SEARCH("mph",Table13[[#This Row],[Max Speed]])),--_xlfn.TEXTBEFORE(Table13[[#This Row],[Max Speed]]," mph"),ROUND(--_xlfn.TEXTBEFORE(Table13[[#This Row],[Max Speed]]," km/h")*0.621371,0))</f>
        <v>100</v>
      </c>
      <c r="N34" s="23" t="s">
        <v>68</v>
      </c>
      <c r="O3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34" s="42" t="str">
        <f>TEXT(Table13[[#This Row],[Min Speed (km/h)]],"0")&amp;" - "&amp;TEXT(Table13[[#This Row],[Max Speed (km/h)]],"0")&amp;""</f>
        <v>80 - 161</v>
      </c>
      <c r="Q34" s="46">
        <f>IF(Table13[[#This Row],[Distance (km)]]="", AVERAGE(Table13[Distance (km)]), Table13[[#This Row],[Distance (km)]])</f>
        <v>600</v>
      </c>
      <c r="R34" s="23" t="s">
        <v>101</v>
      </c>
      <c r="S34" s="42" t="str" cm="1">
        <f t="array" ref="S34">TRIM(INDEX(_xlfn.TEXTSPLIT(Table13[[#This Row],[Shipping Address]],","),1))</f>
        <v>321 Rue du Faubourg</v>
      </c>
      <c r="T34" s="42" t="str" cm="1">
        <f t="array" ref="T34">TRIM(INDEX(_xlfn.TEXTSPLIT(Table13[[#This Row],[Shipping Address]],","),2))</f>
        <v>Toulouse</v>
      </c>
      <c r="U34" s="42" t="str" cm="1">
        <f t="array" ref="U34">TRIM(INDEX(_xlfn.TEXTSPLIT(Table13[[#This Row],[Shipping Address]],","),3))</f>
        <v>75010</v>
      </c>
      <c r="V34" s="23" t="s">
        <v>98</v>
      </c>
      <c r="W34" s="42" t="str" cm="1">
        <f t="array" ref="W34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34" s="42" t="str" cm="1">
        <f t="array" ref="X34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34" s="23" t="s">
        <v>96</v>
      </c>
      <c r="Z34" s="33">
        <f>_xlfn.NUMBERVALUE(_xlfn.TEXTBEFORE(Table13[[#This Row],[Unit Price]]," "))</f>
        <v>279</v>
      </c>
      <c r="AA34" s="23" t="str">
        <f>RIGHT(Table13[[#This Row],[Unit Price]],LEN(Table13[[#This Row],[Unit Price]])-FIND(" ",Table13[[#This Row],[Unit Price]]))</f>
        <v>EUR</v>
      </c>
      <c r="AB34" s="33" cm="1">
        <f t="array" ref="AB34">Table13[[#This Row],[Unit Price Value]]*_xlfn.XLOOKUP(Table13[[#This Row],[Unit Price Currency]],{"EUR","USD","GBP","BRL","CAD","CNY","AUD","ZAR","MXN","JPY","INR"},{1,0.86,1.15,0.15,0.63,0.12,0.56,0.05,0.05,0.01,0.01},NA())</f>
        <v>279</v>
      </c>
      <c r="AC34" s="32">
        <v>8</v>
      </c>
      <c r="AD34" s="32"/>
      <c r="AE34" s="20">
        <f>IF(Table13[[#This Row],[Discount (%)]]="",CHOOSE(MATCH(MOD(Table13[[#This Row],[Sales Rep ID]],3)+1,{1,2,3},0),5,10,15),Table13[[#This Row],[Discount (%)]])</f>
        <v>5</v>
      </c>
      <c r="AF34" s="38">
        <f>Table13[[#This Row],[Unit Price (EUR)]]*Table13[[#This Row],[Units Sold]]</f>
        <v>2232</v>
      </c>
      <c r="AG34" s="38">
        <f>Table13[[#This Row],[Gross Price (Euro)]]*Table13[[#This Row],[Calc Discount (%)]]/100</f>
        <v>111.6</v>
      </c>
      <c r="AH34" s="39">
        <f>Table13[[#This Row],[Gross Price (Euro)]]-Table13[[#This Row],[Discount Value (Euro)]]</f>
        <v>2120.4</v>
      </c>
    </row>
    <row r="35" spans="1:34" x14ac:dyDescent="0.25">
      <c r="A35" s="43">
        <v>34</v>
      </c>
      <c r="B35" s="23" t="s">
        <v>35</v>
      </c>
      <c r="C35" s="23" t="s">
        <v>36</v>
      </c>
      <c r="D35" s="23" t="str">
        <f>_xlfn.TEXTJOIN(" ",,Table13[[#This Row],[Rep First Name]],Table13[[#This Row],[Rep Last Name]])</f>
        <v>Fang Liu</v>
      </c>
      <c r="E35" s="23" t="s">
        <v>15</v>
      </c>
      <c r="F35" s="23" t="str">
        <f>IF(LEN(Table13[[#This Row],[Month]]) &gt; 0, LEFT(Table13[[#This Row],[Month]], 3), "")</f>
        <v>Jun</v>
      </c>
      <c r="G35" s="23" t="s">
        <v>16</v>
      </c>
      <c r="H35" s="23" t="s">
        <v>32</v>
      </c>
      <c r="I35" s="44">
        <f>IF(ISNUMBER(SEARCH("km/h",Table13[[#This Row],[Min Speed]])),VALUE(_xlfn.TEXTBEFORE(Table13[[#This Row],[Min Speed]]," ")),ROUND(VALUE(_xlfn.TEXTBEFORE(Table13[[#This Row],[Min Speed]]," "))*1.60934,0))</f>
        <v>30</v>
      </c>
      <c r="J35" s="44">
        <f>ROUND(IF(ISNUMBER(SEARCH("km/h",Table13[[#This Row],[Min Speed]])),Table13[[#This Row],[Min Speed (km/h)]]*0.621371,VALUE(_xlfn.TEXTBEFORE(Table13[[#This Row],[Min Speed]]," "))),0)</f>
        <v>19</v>
      </c>
      <c r="K35" s="23" t="s">
        <v>44</v>
      </c>
      <c r="L35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35" s="44">
        <f>IF(ISNUMBER(SEARCH("mph",Table13[[#This Row],[Max Speed]])),--_xlfn.TEXTBEFORE(Table13[[#This Row],[Max Speed]]," mph"),ROUND(--_xlfn.TEXTBEFORE(Table13[[#This Row],[Max Speed]]," km/h")*0.621371,0))</f>
        <v>50</v>
      </c>
      <c r="N35" s="23" t="s">
        <v>26</v>
      </c>
      <c r="O3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35" s="42" t="str">
        <f>TEXT(Table13[[#This Row],[Min Speed (km/h)]],"0")&amp;" - "&amp;TEXT(Table13[[#This Row],[Max Speed (km/h)]],"0")&amp;""</f>
        <v>30 - 80</v>
      </c>
      <c r="Q35" s="46">
        <f>IF(Table13[[#This Row],[Distance (km)]]="", AVERAGE(Table13[Distance (km)]), Table13[[#This Row],[Distance (km)]])</f>
        <v>482.80200000000002</v>
      </c>
      <c r="R35" s="23" t="s">
        <v>102</v>
      </c>
      <c r="S35" s="42" t="str" cm="1">
        <f t="array" ref="S35">TRIM(INDEX(_xlfn.TEXTSPLIT(Table13[[#This Row],[Shipping Address]],","),1))</f>
        <v>123 Chang'an Avenue</v>
      </c>
      <c r="T35" s="42" t="str" cm="1">
        <f t="array" ref="T35">TRIM(INDEX(_xlfn.TEXTSPLIT(Table13[[#This Row],[Shipping Address]],","),2))</f>
        <v>Beijing</v>
      </c>
      <c r="U35" s="42" t="str" cm="1">
        <f t="array" ref="U35">TRIM(INDEX(_xlfn.TEXTSPLIT(Table13[[#This Row],[Shipping Address]],","),3))</f>
        <v>100001</v>
      </c>
      <c r="V35" s="23" t="s">
        <v>103</v>
      </c>
      <c r="W35" s="42" t="str" cm="1">
        <f t="array" ref="W35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35" s="42" t="str" cm="1">
        <f t="array" ref="X35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35" s="23" t="s">
        <v>104</v>
      </c>
      <c r="Z35" s="33">
        <f>_xlfn.NUMBERVALUE(_xlfn.TEXTBEFORE(Table13[[#This Row],[Unit Price]]," "))</f>
        <v>1083</v>
      </c>
      <c r="AA35" s="23" t="str">
        <f>RIGHT(Table13[[#This Row],[Unit Price]],LEN(Table13[[#This Row],[Unit Price]])-FIND(" ",Table13[[#This Row],[Unit Price]]))</f>
        <v>CNY</v>
      </c>
      <c r="AB35" s="33" cm="1">
        <f t="array" ref="AB35">Table13[[#This Row],[Unit Price Value]]*_xlfn.XLOOKUP(Table13[[#This Row],[Unit Price Currency]],{"EUR","USD","GBP","BRL","CAD","CNY","AUD","ZAR","MXN","JPY","INR"},{1,0.86,1.15,0.15,0.63,0.12,0.56,0.05,0.05,0.01,0.01},NA())</f>
        <v>129.96</v>
      </c>
      <c r="AC35" s="32">
        <v>11</v>
      </c>
      <c r="AD35" s="32"/>
      <c r="AE35" s="20">
        <f>IF(Table13[[#This Row],[Discount (%)]]="",CHOOSE(MATCH(MOD(Table13[[#This Row],[Sales Rep ID]],3)+1,{1,2,3},0),5,10,15),Table13[[#This Row],[Discount (%)]])</f>
        <v>10</v>
      </c>
      <c r="AF35" s="38">
        <f>Table13[[#This Row],[Unit Price (EUR)]]*Table13[[#This Row],[Units Sold]]</f>
        <v>1429.5600000000002</v>
      </c>
      <c r="AG35" s="38">
        <f>Table13[[#This Row],[Gross Price (Euro)]]*Table13[[#This Row],[Calc Discount (%)]]/100</f>
        <v>142.95600000000002</v>
      </c>
      <c r="AH35" s="39">
        <f>Table13[[#This Row],[Gross Price (Euro)]]-Table13[[#This Row],[Discount Value (Euro)]]</f>
        <v>1286.6040000000003</v>
      </c>
    </row>
    <row r="36" spans="1:34" x14ac:dyDescent="0.25">
      <c r="A36" s="43">
        <v>35</v>
      </c>
      <c r="B36" s="23" t="s">
        <v>35</v>
      </c>
      <c r="C36" s="23" t="s">
        <v>36</v>
      </c>
      <c r="D36" s="23" t="str">
        <f>_xlfn.TEXTJOIN(" ",,Table13[[#This Row],[Rep First Name]],Table13[[#This Row],[Rep Last Name]])</f>
        <v>Fang Liu</v>
      </c>
      <c r="E36" s="23" t="s">
        <v>76</v>
      </c>
      <c r="F36" s="23" t="str">
        <f>IF(LEN(Table13[[#This Row],[Month]]) &gt; 0, LEFT(Table13[[#This Row],[Month]], 3), "")</f>
        <v>May</v>
      </c>
      <c r="G36" s="23" t="s">
        <v>27</v>
      </c>
      <c r="H36" s="23" t="s">
        <v>48</v>
      </c>
      <c r="I36" s="44">
        <f>IF(ISNUMBER(SEARCH("km/h",Table13[[#This Row],[Min Speed]])),VALUE(_xlfn.TEXTBEFORE(Table13[[#This Row],[Min Speed]]," ")),ROUND(VALUE(_xlfn.TEXTBEFORE(Table13[[#This Row],[Min Speed]]," "))*1.60934,0))</f>
        <v>20</v>
      </c>
      <c r="J36" s="44">
        <f>ROUND(IF(ISNUMBER(SEARCH("km/h",Table13[[#This Row],[Min Speed]])),Table13[[#This Row],[Min Speed (km/h)]]*0.621371,VALUE(_xlfn.TEXTBEFORE(Table13[[#This Row],[Min Speed]]," "))),0)</f>
        <v>12</v>
      </c>
      <c r="K36" s="23" t="s">
        <v>18</v>
      </c>
      <c r="L36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36" s="44">
        <f>IF(ISNUMBER(SEARCH("mph",Table13[[#This Row],[Max Speed]])),--_xlfn.TEXTBEFORE(Table13[[#This Row],[Max Speed]]," mph"),ROUND(--_xlfn.TEXTBEFORE(Table13[[#This Row],[Max Speed]]," km/h")*0.621371,0))</f>
        <v>75</v>
      </c>
      <c r="N36" s="23" t="s">
        <v>28</v>
      </c>
      <c r="O3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36" s="42" t="str">
        <f>TEXT(Table13[[#This Row],[Min Speed (km/h)]],"0")&amp;" - "&amp;TEXT(Table13[[#This Row],[Max Speed (km/h)]],"0")&amp;""</f>
        <v>20 - 120</v>
      </c>
      <c r="Q36" s="46">
        <f>IF(Table13[[#This Row],[Distance (km)]]="", AVERAGE(Table13[Distance (km)]), Table13[[#This Row],[Distance (km)]])</f>
        <v>241.40100000000001</v>
      </c>
      <c r="R36" s="23" t="s">
        <v>105</v>
      </c>
      <c r="S36" s="42" t="str" cm="1">
        <f t="array" ref="S36">TRIM(INDEX(_xlfn.TEXTSPLIT(Table13[[#This Row],[Shipping Address]],","),1))</f>
        <v>456 Wangfujing Street</v>
      </c>
      <c r="T36" s="42" t="str" cm="1">
        <f t="array" ref="T36">TRIM(INDEX(_xlfn.TEXTSPLIT(Table13[[#This Row],[Shipping Address]],","),2))</f>
        <v>Shanghai</v>
      </c>
      <c r="U36" s="42" t="str" cm="1">
        <f t="array" ref="U36">TRIM(INDEX(_xlfn.TEXTSPLIT(Table13[[#This Row],[Shipping Address]],","),3))</f>
        <v>100006</v>
      </c>
      <c r="V36" s="23" t="s">
        <v>103</v>
      </c>
      <c r="W36" s="42" t="str" cm="1">
        <f t="array" ref="W36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36" s="42" t="str" cm="1">
        <f t="array" ref="X36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36" s="23" t="s">
        <v>106</v>
      </c>
      <c r="Z36" s="33">
        <f>_xlfn.NUMBERVALUE(_xlfn.TEXTBEFORE(Table13[[#This Row],[Unit Price]]," "))</f>
        <v>1445</v>
      </c>
      <c r="AA36" s="23" t="str">
        <f>RIGHT(Table13[[#This Row],[Unit Price]],LEN(Table13[[#This Row],[Unit Price]])-FIND(" ",Table13[[#This Row],[Unit Price]]))</f>
        <v>CNY</v>
      </c>
      <c r="AB36" s="33" cm="1">
        <f t="array" ref="AB36">Table13[[#This Row],[Unit Price Value]]*_xlfn.XLOOKUP(Table13[[#This Row],[Unit Price Currency]],{"EUR","USD","GBP","BRL","CAD","CNY","AUD","ZAR","MXN","JPY","INR"},{1,0.86,1.15,0.15,0.63,0.12,0.56,0.05,0.05,0.01,0.01},NA())</f>
        <v>173.4</v>
      </c>
      <c r="AC36" s="32">
        <v>9</v>
      </c>
      <c r="AD36" s="32"/>
      <c r="AE36" s="20">
        <f>IF(Table13[[#This Row],[Discount (%)]]="",CHOOSE(MATCH(MOD(Table13[[#This Row],[Sales Rep ID]],3)+1,{1,2,3},0),5,10,15),Table13[[#This Row],[Discount (%)]])</f>
        <v>15</v>
      </c>
      <c r="AF36" s="38">
        <f>Table13[[#This Row],[Unit Price (EUR)]]*Table13[[#This Row],[Units Sold]]</f>
        <v>1560.6000000000001</v>
      </c>
      <c r="AG36" s="38">
        <f>Table13[[#This Row],[Gross Price (Euro)]]*Table13[[#This Row],[Calc Discount (%)]]/100</f>
        <v>234.09000000000003</v>
      </c>
      <c r="AH36" s="39">
        <f>Table13[[#This Row],[Gross Price (Euro)]]-Table13[[#This Row],[Discount Value (Euro)]]</f>
        <v>1326.5100000000002</v>
      </c>
    </row>
    <row r="37" spans="1:34" x14ac:dyDescent="0.25">
      <c r="A37" s="43">
        <v>36</v>
      </c>
      <c r="B37" s="23" t="s">
        <v>45</v>
      </c>
      <c r="C37" s="23" t="s">
        <v>46</v>
      </c>
      <c r="D37" s="23" t="str">
        <f>_xlfn.TEXTJOIN(" ",,Table13[[#This Row],[Rep First Name]],Table13[[#This Row],[Rep Last Name]])</f>
        <v>Jonas Fischer</v>
      </c>
      <c r="E37" s="23" t="s">
        <v>37</v>
      </c>
      <c r="F37" s="23" t="str">
        <f>IF(LEN(Table13[[#This Row],[Month]]) &gt; 0, LEFT(Table13[[#This Row],[Month]], 3), "")</f>
        <v>Feb</v>
      </c>
      <c r="G37" s="23" t="s">
        <v>16</v>
      </c>
      <c r="H37" s="23" t="s">
        <v>24</v>
      </c>
      <c r="I37" s="44">
        <f>IF(ISNUMBER(SEARCH("km/h",Table13[[#This Row],[Min Speed]])),VALUE(_xlfn.TEXTBEFORE(Table13[[#This Row],[Min Speed]]," ")),ROUND(VALUE(_xlfn.TEXTBEFORE(Table13[[#This Row],[Min Speed]]," "))*1.60934,0))</f>
        <v>80</v>
      </c>
      <c r="J37" s="44">
        <f>ROUND(IF(ISNUMBER(SEARCH("km/h",Table13[[#This Row],[Min Speed]])),Table13[[#This Row],[Min Speed (km/h)]]*0.621371,VALUE(_xlfn.TEXTBEFORE(Table13[[#This Row],[Min Speed]]," "))),0)</f>
        <v>50</v>
      </c>
      <c r="K37" s="23" t="s">
        <v>44</v>
      </c>
      <c r="L37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37" s="44">
        <f>IF(ISNUMBER(SEARCH("mph",Table13[[#This Row],[Max Speed]])),--_xlfn.TEXTBEFORE(Table13[[#This Row],[Max Speed]]," mph"),ROUND(--_xlfn.TEXTBEFORE(Table13[[#This Row],[Max Speed]]," km/h")*0.621371,0))</f>
        <v>50</v>
      </c>
      <c r="N37" s="23" t="s">
        <v>28</v>
      </c>
      <c r="O3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37" s="42" t="str">
        <f>TEXT(Table13[[#This Row],[Min Speed (km/h)]],"0")&amp;" - "&amp;TEXT(Table13[[#This Row],[Max Speed (km/h)]],"0")&amp;""</f>
        <v>80 - 80</v>
      </c>
      <c r="Q37" s="46">
        <f>IF(Table13[[#This Row],[Distance (km)]]="", AVERAGE(Table13[Distance (km)]), Table13[[#This Row],[Distance (km)]])</f>
        <v>241.40100000000001</v>
      </c>
      <c r="R37" s="23" t="s">
        <v>107</v>
      </c>
      <c r="S37" s="42" t="str" cm="1">
        <f t="array" ref="S37">TRIM(INDEX(_xlfn.TEXTSPLIT(Table13[[#This Row],[Shipping Address]],","),1))</f>
        <v>789 Nanjing Road</v>
      </c>
      <c r="T37" s="42" t="str" cm="1">
        <f t="array" ref="T37">TRIM(INDEX(_xlfn.TEXTSPLIT(Table13[[#This Row],[Shipping Address]],","),2))</f>
        <v>Shenzhen</v>
      </c>
      <c r="U37" s="42" t="str" cm="1">
        <f t="array" ref="U37">TRIM(INDEX(_xlfn.TEXTSPLIT(Table13[[#This Row],[Shipping Address]],","),3))</f>
        <v>200001</v>
      </c>
      <c r="V37" s="23" t="s">
        <v>103</v>
      </c>
      <c r="W37" s="42" t="str" cm="1">
        <f t="array" ref="W37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37" s="42" t="str" cm="1">
        <f t="array" ref="X37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37" s="23" t="s">
        <v>108</v>
      </c>
      <c r="Z37" s="33">
        <f>_xlfn.NUMBERVALUE(_xlfn.TEXTBEFORE(Table13[[#This Row],[Unit Price]]," "))</f>
        <v>1807</v>
      </c>
      <c r="AA37" s="23" t="str">
        <f>RIGHT(Table13[[#This Row],[Unit Price]],LEN(Table13[[#This Row],[Unit Price]])-FIND(" ",Table13[[#This Row],[Unit Price]]))</f>
        <v>CNY</v>
      </c>
      <c r="AB37" s="33" cm="1">
        <f t="array" ref="AB37">Table13[[#This Row],[Unit Price Value]]*_xlfn.XLOOKUP(Table13[[#This Row],[Unit Price Currency]],{"EUR","USD","GBP","BRL","CAD","CNY","AUD","ZAR","MXN","JPY","INR"},{1,0.86,1.15,0.15,0.63,0.12,0.56,0.05,0.05,0.01,0.01},NA())</f>
        <v>216.84</v>
      </c>
      <c r="AC37" s="32">
        <v>7</v>
      </c>
      <c r="AD37" s="32">
        <v>15</v>
      </c>
      <c r="AE37" s="20">
        <f>IF(Table13[[#This Row],[Discount (%)]]="",CHOOSE(MATCH(MOD(Table13[[#This Row],[Sales Rep ID]],3)+1,{1,2,3},0),5,10,15),Table13[[#This Row],[Discount (%)]])</f>
        <v>15</v>
      </c>
      <c r="AF37" s="38">
        <f>Table13[[#This Row],[Unit Price (EUR)]]*Table13[[#This Row],[Units Sold]]</f>
        <v>1517.88</v>
      </c>
      <c r="AG37" s="38">
        <f>Table13[[#This Row],[Gross Price (Euro)]]*Table13[[#This Row],[Calc Discount (%)]]/100</f>
        <v>227.68200000000002</v>
      </c>
      <c r="AH37" s="39">
        <f>Table13[[#This Row],[Gross Price (Euro)]]-Table13[[#This Row],[Discount Value (Euro)]]</f>
        <v>1290.1980000000001</v>
      </c>
    </row>
    <row r="38" spans="1:34" x14ac:dyDescent="0.25">
      <c r="A38" s="43">
        <v>37</v>
      </c>
      <c r="B38" s="23" t="s">
        <v>45</v>
      </c>
      <c r="C38" s="23" t="s">
        <v>46</v>
      </c>
      <c r="D38" s="23" t="str">
        <f>_xlfn.TEXTJOIN(" ",,Table13[[#This Row],[Rep First Name]],Table13[[#This Row],[Rep Last Name]])</f>
        <v>Jonas Fischer</v>
      </c>
      <c r="E38" s="23" t="s">
        <v>37</v>
      </c>
      <c r="F38" s="23" t="str">
        <f>IF(LEN(Table13[[#This Row],[Month]]) &gt; 0, LEFT(Table13[[#This Row],[Month]], 3), "")</f>
        <v>Feb</v>
      </c>
      <c r="G38" s="23" t="s">
        <v>67</v>
      </c>
      <c r="H38" s="23" t="s">
        <v>48</v>
      </c>
      <c r="I38" s="44">
        <f>IF(ISNUMBER(SEARCH("km/h",Table13[[#This Row],[Min Speed]])),VALUE(_xlfn.TEXTBEFORE(Table13[[#This Row],[Min Speed]]," ")),ROUND(VALUE(_xlfn.TEXTBEFORE(Table13[[#This Row],[Min Speed]]," "))*1.60934,0))</f>
        <v>20</v>
      </c>
      <c r="J38" s="44">
        <f>ROUND(IF(ISNUMBER(SEARCH("km/h",Table13[[#This Row],[Min Speed]])),Table13[[#This Row],[Min Speed (km/h)]]*0.621371,VALUE(_xlfn.TEXTBEFORE(Table13[[#This Row],[Min Speed]]," "))),0)</f>
        <v>12</v>
      </c>
      <c r="K38" s="23" t="s">
        <v>25</v>
      </c>
      <c r="L38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38" s="44">
        <f>IF(ISNUMBER(SEARCH("mph",Table13[[#This Row],[Max Speed]])),--_xlfn.TEXTBEFORE(Table13[[#This Row],[Max Speed]]," mph"),ROUND(--_xlfn.TEXTBEFORE(Table13[[#This Row],[Max Speed]]," km/h")*0.621371,0))</f>
        <v>150</v>
      </c>
      <c r="N38" s="23" t="s">
        <v>28</v>
      </c>
      <c r="O3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38" s="42" t="str">
        <f>TEXT(Table13[[#This Row],[Min Speed (km/h)]],"0")&amp;" - "&amp;TEXT(Table13[[#This Row],[Max Speed (km/h)]],"0")&amp;""</f>
        <v>20 - 241</v>
      </c>
      <c r="Q38" s="46">
        <f>IF(Table13[[#This Row],[Distance (km)]]="", AVERAGE(Table13[Distance (km)]), Table13[[#This Row],[Distance (km)]])</f>
        <v>241.40100000000001</v>
      </c>
      <c r="R38" s="23" t="s">
        <v>107</v>
      </c>
      <c r="S38" s="42" t="str" cm="1">
        <f t="array" ref="S38">TRIM(INDEX(_xlfn.TEXTSPLIT(Table13[[#This Row],[Shipping Address]],","),1))</f>
        <v>789 Nanjing Road</v>
      </c>
      <c r="T38" s="42" t="str" cm="1">
        <f t="array" ref="T38">TRIM(INDEX(_xlfn.TEXTSPLIT(Table13[[#This Row],[Shipping Address]],","),2))</f>
        <v>Shenzhen</v>
      </c>
      <c r="U38" s="42" t="str" cm="1">
        <f t="array" ref="U38">TRIM(INDEX(_xlfn.TEXTSPLIT(Table13[[#This Row],[Shipping Address]],","),3))</f>
        <v>200001</v>
      </c>
      <c r="V38" s="23" t="s">
        <v>103</v>
      </c>
      <c r="W38" s="42" t="str" cm="1">
        <f t="array" ref="W38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38" s="42" t="str" cm="1">
        <f t="array" ref="X38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38" s="23" t="s">
        <v>108</v>
      </c>
      <c r="Z38" s="33">
        <f>_xlfn.NUMBERVALUE(_xlfn.TEXTBEFORE(Table13[[#This Row],[Unit Price]]," "))</f>
        <v>1807</v>
      </c>
      <c r="AA38" s="23" t="str">
        <f>RIGHT(Table13[[#This Row],[Unit Price]],LEN(Table13[[#This Row],[Unit Price]])-FIND(" ",Table13[[#This Row],[Unit Price]]))</f>
        <v>CNY</v>
      </c>
      <c r="AB38" s="33" cm="1">
        <f t="array" ref="AB38">Table13[[#This Row],[Unit Price Value]]*_xlfn.XLOOKUP(Table13[[#This Row],[Unit Price Currency]],{"EUR","USD","GBP","BRL","CAD","CNY","AUD","ZAR","MXN","JPY","INR"},{1,0.86,1.15,0.15,0.63,0.12,0.56,0.05,0.05,0.01,0.01},NA())</f>
        <v>216.84</v>
      </c>
      <c r="AC38" s="32">
        <v>7</v>
      </c>
      <c r="AD38" s="32"/>
      <c r="AE38" s="20">
        <f>IF(Table13[[#This Row],[Discount (%)]]="",CHOOSE(MATCH(MOD(Table13[[#This Row],[Sales Rep ID]],3)+1,{1,2,3},0),5,10,15),Table13[[#This Row],[Discount (%)]])</f>
        <v>10</v>
      </c>
      <c r="AF38" s="38">
        <f>Table13[[#This Row],[Unit Price (EUR)]]*Table13[[#This Row],[Units Sold]]</f>
        <v>1517.88</v>
      </c>
      <c r="AG38" s="38">
        <f>Table13[[#This Row],[Gross Price (Euro)]]*Table13[[#This Row],[Calc Discount (%)]]/100</f>
        <v>151.78800000000001</v>
      </c>
      <c r="AH38" s="39">
        <f>Table13[[#This Row],[Gross Price (Euro)]]-Table13[[#This Row],[Discount Value (Euro)]]</f>
        <v>1366.0920000000001</v>
      </c>
    </row>
    <row r="39" spans="1:34" x14ac:dyDescent="0.25">
      <c r="A39" s="43">
        <v>38</v>
      </c>
      <c r="B39" s="23" t="s">
        <v>45</v>
      </c>
      <c r="C39" s="23" t="s">
        <v>46</v>
      </c>
      <c r="D39" s="23" t="str">
        <f>_xlfn.TEXTJOIN(" ",,Table13[[#This Row],[Rep First Name]],Table13[[#This Row],[Rep Last Name]])</f>
        <v>Jonas Fischer</v>
      </c>
      <c r="E39" s="23" t="s">
        <v>15</v>
      </c>
      <c r="F39" s="23" t="str">
        <f>IF(LEN(Table13[[#This Row],[Month]]) &gt; 0, LEFT(Table13[[#This Row],[Month]], 3), "")</f>
        <v>Jun</v>
      </c>
      <c r="G39" s="23" t="s">
        <v>16</v>
      </c>
      <c r="H39" s="23" t="s">
        <v>24</v>
      </c>
      <c r="I39" s="44">
        <f>IF(ISNUMBER(SEARCH("km/h",Table13[[#This Row],[Min Speed]])),VALUE(_xlfn.TEXTBEFORE(Table13[[#This Row],[Min Speed]]," ")),ROUND(VALUE(_xlfn.TEXTBEFORE(Table13[[#This Row],[Min Speed]]," "))*1.60934,0))</f>
        <v>80</v>
      </c>
      <c r="J39" s="44">
        <f>ROUND(IF(ISNUMBER(SEARCH("km/h",Table13[[#This Row],[Min Speed]])),Table13[[#This Row],[Min Speed (km/h)]]*0.621371,VALUE(_xlfn.TEXTBEFORE(Table13[[#This Row],[Min Speed]]," "))),0)</f>
        <v>50</v>
      </c>
      <c r="K39" s="23" t="s">
        <v>55</v>
      </c>
      <c r="L39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39" s="44">
        <f>IF(ISNUMBER(SEARCH("mph",Table13[[#This Row],[Max Speed]])),--_xlfn.TEXTBEFORE(Table13[[#This Row],[Max Speed]]," mph"),ROUND(--_xlfn.TEXTBEFORE(Table13[[#This Row],[Max Speed]]," km/h")*0.621371,0))</f>
        <v>100</v>
      </c>
      <c r="N39" s="23" t="s">
        <v>26</v>
      </c>
      <c r="O3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39" s="42" t="str">
        <f>TEXT(Table13[[#This Row],[Min Speed (km/h)]],"0")&amp;" - "&amp;TEXT(Table13[[#This Row],[Max Speed (km/h)]],"0")&amp;""</f>
        <v>80 - 161</v>
      </c>
      <c r="Q39" s="46">
        <f>IF(Table13[[#This Row],[Distance (km)]]="", AVERAGE(Table13[Distance (km)]), Table13[[#This Row],[Distance (km)]])</f>
        <v>482.80200000000002</v>
      </c>
      <c r="R39" s="23" t="s">
        <v>109</v>
      </c>
      <c r="S39" s="42" t="str" cm="1">
        <f t="array" ref="S39">TRIM(INDEX(_xlfn.TEXTSPLIT(Table13[[#This Row],[Shipping Address]],","),1))</f>
        <v>321 Huaihai Road</v>
      </c>
      <c r="T39" s="42" t="str" cm="1">
        <f t="array" ref="T39">TRIM(INDEX(_xlfn.TEXTSPLIT(Table13[[#This Row],[Shipping Address]],","),2))</f>
        <v>Guangzhou</v>
      </c>
      <c r="U39" s="42" t="str" cm="1">
        <f t="array" ref="U39">TRIM(INDEX(_xlfn.TEXTSPLIT(Table13[[#This Row],[Shipping Address]],","),3))</f>
        <v>200020</v>
      </c>
      <c r="V39" s="23" t="s">
        <v>103</v>
      </c>
      <c r="W39" s="42" t="str" cm="1">
        <f t="array" ref="W39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39" s="42" t="str" cm="1">
        <f t="array" ref="X39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39" s="23" t="s">
        <v>110</v>
      </c>
      <c r="Z39" s="33">
        <f>_xlfn.NUMBERVALUE(_xlfn.TEXTBEFORE(Table13[[#This Row],[Unit Price]]," "))</f>
        <v>2069</v>
      </c>
      <c r="AA39" s="23" t="str">
        <f>RIGHT(Table13[[#This Row],[Unit Price]],LEN(Table13[[#This Row],[Unit Price]])-FIND(" ",Table13[[#This Row],[Unit Price]]))</f>
        <v>CNY</v>
      </c>
      <c r="AB39" s="33" cm="1">
        <f t="array" ref="AB39">Table13[[#This Row],[Unit Price Value]]*_xlfn.XLOOKUP(Table13[[#This Row],[Unit Price Currency]],{"EUR","USD","GBP","BRL","CAD","CNY","AUD","ZAR","MXN","JPY","INR"},{1,0.86,1.15,0.15,0.63,0.12,0.56,0.05,0.05,0.01,0.01},NA())</f>
        <v>248.28</v>
      </c>
      <c r="AC39" s="32">
        <v>5</v>
      </c>
      <c r="AD39" s="32">
        <v>10</v>
      </c>
      <c r="AE39" s="20">
        <f>IF(Table13[[#This Row],[Discount (%)]]="",CHOOSE(MATCH(MOD(Table13[[#This Row],[Sales Rep ID]],3)+1,{1,2,3},0),5,10,15),Table13[[#This Row],[Discount (%)]])</f>
        <v>10</v>
      </c>
      <c r="AF39" s="38">
        <f>Table13[[#This Row],[Unit Price (EUR)]]*Table13[[#This Row],[Units Sold]]</f>
        <v>1241.4000000000001</v>
      </c>
      <c r="AG39" s="38">
        <f>Table13[[#This Row],[Gross Price (Euro)]]*Table13[[#This Row],[Calc Discount (%)]]/100</f>
        <v>124.14</v>
      </c>
      <c r="AH39" s="39">
        <f>Table13[[#This Row],[Gross Price (Euro)]]-Table13[[#This Row],[Discount Value (Euro)]]</f>
        <v>1117.26</v>
      </c>
    </row>
    <row r="40" spans="1:34" x14ac:dyDescent="0.25">
      <c r="A40" s="43">
        <v>39</v>
      </c>
      <c r="B40" s="23" t="s">
        <v>59</v>
      </c>
      <c r="C40" s="23" t="s">
        <v>60</v>
      </c>
      <c r="D40" s="23" t="str">
        <f>_xlfn.TEXTJOIN(" ",,Table13[[#This Row],[Rep First Name]],Table13[[#This Row],[Rep Last Name]])</f>
        <v>Théo Bernard</v>
      </c>
      <c r="E40" s="23" t="s">
        <v>15</v>
      </c>
      <c r="F40" s="23" t="str">
        <f>IF(LEN(Table13[[#This Row],[Month]]) &gt; 0, LEFT(Table13[[#This Row],[Month]], 3), "")</f>
        <v>Jun</v>
      </c>
      <c r="G40" s="23" t="s">
        <v>16</v>
      </c>
      <c r="H40" s="23" t="s">
        <v>24</v>
      </c>
      <c r="I40" s="44">
        <f>IF(ISNUMBER(SEARCH("km/h",Table13[[#This Row],[Min Speed]])),VALUE(_xlfn.TEXTBEFORE(Table13[[#This Row],[Min Speed]]," ")),ROUND(VALUE(_xlfn.TEXTBEFORE(Table13[[#This Row],[Min Speed]]," "))*1.60934,0))</f>
        <v>80</v>
      </c>
      <c r="J40" s="44">
        <f>ROUND(IF(ISNUMBER(SEARCH("km/h",Table13[[#This Row],[Min Speed]])),Table13[[#This Row],[Min Speed (km/h)]]*0.621371,VALUE(_xlfn.TEXTBEFORE(Table13[[#This Row],[Min Speed]]," "))),0)</f>
        <v>50</v>
      </c>
      <c r="K40" s="23" t="s">
        <v>44</v>
      </c>
      <c r="L40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40" s="44">
        <f>IF(ISNUMBER(SEARCH("mph",Table13[[#This Row],[Max Speed]])),--_xlfn.TEXTBEFORE(Table13[[#This Row],[Max Speed]]," mph"),ROUND(--_xlfn.TEXTBEFORE(Table13[[#This Row],[Max Speed]]," km/h")*0.621371,0))</f>
        <v>50</v>
      </c>
      <c r="N40" s="23" t="s">
        <v>28</v>
      </c>
      <c r="O4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40" s="42" t="str">
        <f>TEXT(Table13[[#This Row],[Min Speed (km/h)]],"0")&amp;" - "&amp;TEXT(Table13[[#This Row],[Max Speed (km/h)]],"0")&amp;""</f>
        <v>80 - 80</v>
      </c>
      <c r="Q40" s="46">
        <f>IF(Table13[[#This Row],[Distance (km)]]="", AVERAGE(Table13[Distance (km)]), Table13[[#This Row],[Distance (km)]])</f>
        <v>241.40100000000001</v>
      </c>
      <c r="R40" s="23" t="s">
        <v>111</v>
      </c>
      <c r="S40" s="42" t="str" cm="1">
        <f t="array" ref="S40">TRIM(INDEX(_xlfn.TEXTSPLIT(Table13[[#This Row],[Shipping Address]],","),1))</f>
        <v>123 MG Road</v>
      </c>
      <c r="T40" s="42" t="str" cm="1">
        <f t="array" ref="T40">TRIM(INDEX(_xlfn.TEXTSPLIT(Table13[[#This Row],[Shipping Address]],","),2))</f>
        <v>Bangalore</v>
      </c>
      <c r="U40" s="42" t="str" cm="1">
        <f t="array" ref="U40">TRIM(INDEX(_xlfn.TEXTSPLIT(Table13[[#This Row],[Shipping Address]],","),3))</f>
        <v>560001</v>
      </c>
      <c r="V40" s="23" t="s">
        <v>112</v>
      </c>
      <c r="W40" s="42" t="str" cm="1">
        <f t="array" ref="W40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40" s="42" t="str" cm="1">
        <f t="array" ref="X40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40" s="23" t="s">
        <v>113</v>
      </c>
      <c r="Z40" s="33">
        <f>_xlfn.NUMBERVALUE(_xlfn.TEXTBEFORE(Table13[[#This Row],[Unit Price]]," "))</f>
        <v>12348</v>
      </c>
      <c r="AA40" s="23" t="str">
        <f>RIGHT(Table13[[#This Row],[Unit Price]],LEN(Table13[[#This Row],[Unit Price]])-FIND(" ",Table13[[#This Row],[Unit Price]]))</f>
        <v>INR</v>
      </c>
      <c r="AB40" s="33" cm="1">
        <f t="array" ref="AB40">Table13[[#This Row],[Unit Price Value]]*_xlfn.XLOOKUP(Table13[[#This Row],[Unit Price Currency]],{"EUR","USD","GBP","BRL","CAD","CNY","AUD","ZAR","MXN","JPY","INR"},{1,0.86,1.15,0.15,0.63,0.12,0.56,0.05,0.05,0.01,0.01},NA())</f>
        <v>123.48</v>
      </c>
      <c r="AC40" s="32">
        <v>14</v>
      </c>
      <c r="AD40" s="32">
        <v>10</v>
      </c>
      <c r="AE40" s="20">
        <f>IF(Table13[[#This Row],[Discount (%)]]="",CHOOSE(MATCH(MOD(Table13[[#This Row],[Sales Rep ID]],3)+1,{1,2,3},0),5,10,15),Table13[[#This Row],[Discount (%)]])</f>
        <v>10</v>
      </c>
      <c r="AF40" s="38">
        <f>Table13[[#This Row],[Unit Price (EUR)]]*Table13[[#This Row],[Units Sold]]</f>
        <v>1728.72</v>
      </c>
      <c r="AG40" s="38">
        <f>Table13[[#This Row],[Gross Price (Euro)]]*Table13[[#This Row],[Calc Discount (%)]]/100</f>
        <v>172.87200000000001</v>
      </c>
      <c r="AH40" s="39">
        <f>Table13[[#This Row],[Gross Price (Euro)]]-Table13[[#This Row],[Discount Value (Euro)]]</f>
        <v>1555.848</v>
      </c>
    </row>
    <row r="41" spans="1:34" x14ac:dyDescent="0.25">
      <c r="A41" s="43">
        <v>40</v>
      </c>
      <c r="B41" s="23" t="s">
        <v>59</v>
      </c>
      <c r="C41" s="23" t="s">
        <v>60</v>
      </c>
      <c r="D41" s="23" t="str">
        <f>_xlfn.TEXTJOIN(" ",,Table13[[#This Row],[Rep First Name]],Table13[[#This Row],[Rep Last Name]])</f>
        <v>Théo Bernard</v>
      </c>
      <c r="E41" s="23" t="s">
        <v>37</v>
      </c>
      <c r="F41" s="23" t="str">
        <f>IF(LEN(Table13[[#This Row],[Month]]) &gt; 0, LEFT(Table13[[#This Row],[Month]], 3), "")</f>
        <v>Feb</v>
      </c>
      <c r="G41" s="23" t="s">
        <v>16</v>
      </c>
      <c r="H41" s="23" t="s">
        <v>48</v>
      </c>
      <c r="I41" s="44">
        <f>IF(ISNUMBER(SEARCH("km/h",Table13[[#This Row],[Min Speed]])),VALUE(_xlfn.TEXTBEFORE(Table13[[#This Row],[Min Speed]]," ")),ROUND(VALUE(_xlfn.TEXTBEFORE(Table13[[#This Row],[Min Speed]]," "))*1.60934,0))</f>
        <v>20</v>
      </c>
      <c r="J41" s="44">
        <f>ROUND(IF(ISNUMBER(SEARCH("km/h",Table13[[#This Row],[Min Speed]])),Table13[[#This Row],[Min Speed (km/h)]]*0.621371,VALUE(_xlfn.TEXTBEFORE(Table13[[#This Row],[Min Speed]]," "))),0)</f>
        <v>12</v>
      </c>
      <c r="K41" s="23" t="s">
        <v>55</v>
      </c>
      <c r="L41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41" s="44">
        <f>IF(ISNUMBER(SEARCH("mph",Table13[[#This Row],[Max Speed]])),--_xlfn.TEXTBEFORE(Table13[[#This Row],[Max Speed]]," mph"),ROUND(--_xlfn.TEXTBEFORE(Table13[[#This Row],[Max Speed]]," km/h")*0.621371,0))</f>
        <v>100</v>
      </c>
      <c r="N41" s="23" t="s">
        <v>26</v>
      </c>
      <c r="O4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41" s="42" t="str">
        <f>TEXT(Table13[[#This Row],[Min Speed (km/h)]],"0")&amp;" - "&amp;TEXT(Table13[[#This Row],[Max Speed (km/h)]],"0")&amp;""</f>
        <v>20 - 161</v>
      </c>
      <c r="Q41" s="46">
        <f>IF(Table13[[#This Row],[Distance (km)]]="", AVERAGE(Table13[Distance (km)]), Table13[[#This Row],[Distance (km)]])</f>
        <v>482.80200000000002</v>
      </c>
      <c r="R41" s="23" t="s">
        <v>114</v>
      </c>
      <c r="S41" s="42" t="str" cm="1">
        <f t="array" ref="S41">TRIM(INDEX(_xlfn.TEXTSPLIT(Table13[[#This Row],[Shipping Address]],","),1))</f>
        <v>456 Connaught Place</v>
      </c>
      <c r="T41" s="42" t="str" cm="1">
        <f t="array" ref="T41">TRIM(INDEX(_xlfn.TEXTSPLIT(Table13[[#This Row],[Shipping Address]],","),2))</f>
        <v>New Delhi</v>
      </c>
      <c r="U41" s="42" t="str" cm="1">
        <f t="array" ref="U41">TRIM(INDEX(_xlfn.TEXTSPLIT(Table13[[#This Row],[Shipping Address]],","),3))</f>
        <v>110001</v>
      </c>
      <c r="V41" s="23" t="s">
        <v>112</v>
      </c>
      <c r="W41" s="42" t="str" cm="1">
        <f t="array" ref="W41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41" s="42" t="str" cm="1">
        <f t="array" ref="X41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41" s="23" t="s">
        <v>115</v>
      </c>
      <c r="Z41" s="33">
        <f>_xlfn.NUMBERVALUE(_xlfn.TEXTBEFORE(Table13[[#This Row],[Unit Price]]," "))</f>
        <v>16456</v>
      </c>
      <c r="AA41" s="23" t="str">
        <f>RIGHT(Table13[[#This Row],[Unit Price]],LEN(Table13[[#This Row],[Unit Price]])-FIND(" ",Table13[[#This Row],[Unit Price]]))</f>
        <v>INR</v>
      </c>
      <c r="AB41" s="33" cm="1">
        <f t="array" ref="AB41">Table13[[#This Row],[Unit Price Value]]*_xlfn.XLOOKUP(Table13[[#This Row],[Unit Price Currency]],{"EUR","USD","GBP","BRL","CAD","CNY","AUD","ZAR","MXN","JPY","INR"},{1,0.86,1.15,0.15,0.63,0.12,0.56,0.05,0.05,0.01,0.01},NA())</f>
        <v>164.56</v>
      </c>
      <c r="AC41" s="32">
        <v>10</v>
      </c>
      <c r="AD41" s="32">
        <v>15</v>
      </c>
      <c r="AE41" s="20">
        <f>IF(Table13[[#This Row],[Discount (%)]]="",CHOOSE(MATCH(MOD(Table13[[#This Row],[Sales Rep ID]],3)+1,{1,2,3},0),5,10,15),Table13[[#This Row],[Discount (%)]])</f>
        <v>15</v>
      </c>
      <c r="AF41" s="38">
        <f>Table13[[#This Row],[Unit Price (EUR)]]*Table13[[#This Row],[Units Sold]]</f>
        <v>1645.6</v>
      </c>
      <c r="AG41" s="38">
        <f>Table13[[#This Row],[Gross Price (Euro)]]*Table13[[#This Row],[Calc Discount (%)]]/100</f>
        <v>246.84</v>
      </c>
      <c r="AH41" s="39">
        <f>Table13[[#This Row],[Gross Price (Euro)]]-Table13[[#This Row],[Discount Value (Euro)]]</f>
        <v>1398.76</v>
      </c>
    </row>
    <row r="42" spans="1:34" x14ac:dyDescent="0.25">
      <c r="A42" s="43">
        <v>41</v>
      </c>
      <c r="B42" s="23" t="s">
        <v>59</v>
      </c>
      <c r="C42" s="23" t="s">
        <v>60</v>
      </c>
      <c r="D42" s="23" t="str">
        <f>_xlfn.TEXTJOIN(" ",,Table13[[#This Row],[Rep First Name]],Table13[[#This Row],[Rep Last Name]])</f>
        <v>Théo Bernard</v>
      </c>
      <c r="E42" s="23" t="s">
        <v>23</v>
      </c>
      <c r="F42" s="23" t="str">
        <f>IF(LEN(Table13[[#This Row],[Month]]) &gt; 0, LEFT(Table13[[#This Row],[Month]], 3), "")</f>
        <v>Mar</v>
      </c>
      <c r="G42" s="23" t="s">
        <v>16</v>
      </c>
      <c r="H42" s="23" t="s">
        <v>24</v>
      </c>
      <c r="I42" s="44">
        <f>IF(ISNUMBER(SEARCH("km/h",Table13[[#This Row],[Min Speed]])),VALUE(_xlfn.TEXTBEFORE(Table13[[#This Row],[Min Speed]]," ")),ROUND(VALUE(_xlfn.TEXTBEFORE(Table13[[#This Row],[Min Speed]]," "))*1.60934,0))</f>
        <v>80</v>
      </c>
      <c r="J42" s="44">
        <f>ROUND(IF(ISNUMBER(SEARCH("km/h",Table13[[#This Row],[Min Speed]])),Table13[[#This Row],[Min Speed (km/h)]]*0.621371,VALUE(_xlfn.TEXTBEFORE(Table13[[#This Row],[Min Speed]]," "))),0)</f>
        <v>50</v>
      </c>
      <c r="K42" s="23" t="s">
        <v>25</v>
      </c>
      <c r="L42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42" s="44">
        <f>IF(ISNUMBER(SEARCH("mph",Table13[[#This Row],[Max Speed]])),--_xlfn.TEXTBEFORE(Table13[[#This Row],[Max Speed]]," mph"),ROUND(--_xlfn.TEXTBEFORE(Table13[[#This Row],[Max Speed]]," km/h")*0.621371,0))</f>
        <v>150</v>
      </c>
      <c r="N42" s="23" t="s">
        <v>68</v>
      </c>
      <c r="O4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42" s="42" t="str">
        <f>TEXT(Table13[[#This Row],[Min Speed (km/h)]],"0")&amp;" - "&amp;TEXT(Table13[[#This Row],[Max Speed (km/h)]],"0")&amp;""</f>
        <v>80 - 241</v>
      </c>
      <c r="Q42" s="46">
        <f>IF(Table13[[#This Row],[Distance (km)]]="", AVERAGE(Table13[Distance (km)]), Table13[[#This Row],[Distance (km)]])</f>
        <v>600</v>
      </c>
      <c r="R42" s="23" t="s">
        <v>116</v>
      </c>
      <c r="S42" s="42" t="str" cm="1">
        <f t="array" ref="S42">TRIM(INDEX(_xlfn.TEXTSPLIT(Table13[[#This Row],[Shipping Address]],","),1))</f>
        <v>789 Brigade Road</v>
      </c>
      <c r="T42" s="42" t="str" cm="1">
        <f t="array" ref="T42">TRIM(INDEX(_xlfn.TEXTSPLIT(Table13[[#This Row],[Shipping Address]],","),2))</f>
        <v>Mumbai</v>
      </c>
      <c r="U42" s="42" t="str" cm="1">
        <f t="array" ref="U42">TRIM(INDEX(_xlfn.TEXTSPLIT(Table13[[#This Row],[Shipping Address]],","),3))</f>
        <v>560025</v>
      </c>
      <c r="V42" s="23" t="s">
        <v>112</v>
      </c>
      <c r="W42" s="42" t="str" cm="1">
        <f t="array" ref="W42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42" s="42" t="str" cm="1">
        <f t="array" ref="X42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42" s="23" t="s">
        <v>117</v>
      </c>
      <c r="Z42" s="33">
        <f>_xlfn.NUMBERVALUE(_xlfn.TEXTBEFORE(Table13[[#This Row],[Unit Price]]," "))</f>
        <v>20565</v>
      </c>
      <c r="AA42" s="23" t="str">
        <f>RIGHT(Table13[[#This Row],[Unit Price]],LEN(Table13[[#This Row],[Unit Price]])-FIND(" ",Table13[[#This Row],[Unit Price]]))</f>
        <v>INR</v>
      </c>
      <c r="AB42" s="33" cm="1">
        <f t="array" ref="AB42">Table13[[#This Row],[Unit Price Value]]*_xlfn.XLOOKUP(Table13[[#This Row],[Unit Price Currency]],{"EUR","USD","GBP","BRL","CAD","CNY","AUD","ZAR","MXN","JPY","INR"},{1,0.86,1.15,0.15,0.63,0.12,0.56,0.05,0.05,0.01,0.01},NA())</f>
        <v>205.65</v>
      </c>
      <c r="AC42" s="32">
        <v>8</v>
      </c>
      <c r="AD42" s="32">
        <v>10</v>
      </c>
      <c r="AE42" s="20">
        <f>IF(Table13[[#This Row],[Discount (%)]]="",CHOOSE(MATCH(MOD(Table13[[#This Row],[Sales Rep ID]],3)+1,{1,2,3},0),5,10,15),Table13[[#This Row],[Discount (%)]])</f>
        <v>10</v>
      </c>
      <c r="AF42" s="38">
        <f>Table13[[#This Row],[Unit Price (EUR)]]*Table13[[#This Row],[Units Sold]]</f>
        <v>1645.2</v>
      </c>
      <c r="AG42" s="38">
        <f>Table13[[#This Row],[Gross Price (Euro)]]*Table13[[#This Row],[Calc Discount (%)]]/100</f>
        <v>164.52</v>
      </c>
      <c r="AH42" s="39">
        <f>Table13[[#This Row],[Gross Price (Euro)]]-Table13[[#This Row],[Discount Value (Euro)]]</f>
        <v>1480.68</v>
      </c>
    </row>
    <row r="43" spans="1:34" x14ac:dyDescent="0.25">
      <c r="A43" s="43">
        <v>42</v>
      </c>
      <c r="B43" s="23" t="s">
        <v>13</v>
      </c>
      <c r="C43" s="23" t="s">
        <v>14</v>
      </c>
      <c r="D43" s="23" t="str">
        <f>_xlfn.TEXTJOIN(" ",,Table13[[#This Row],[Rep First Name]],Table13[[#This Row],[Rep Last Name]])</f>
        <v>Sanya Joshi</v>
      </c>
      <c r="E43" s="23" t="s">
        <v>23</v>
      </c>
      <c r="F43" s="23" t="str">
        <f>IF(LEN(Table13[[#This Row],[Month]]) &gt; 0, LEFT(Table13[[#This Row],[Month]], 3), "")</f>
        <v>Mar</v>
      </c>
      <c r="G43" s="23" t="s">
        <v>67</v>
      </c>
      <c r="H43" s="23" t="s">
        <v>32</v>
      </c>
      <c r="I43" s="44">
        <f>IF(ISNUMBER(SEARCH("km/h",Table13[[#This Row],[Min Speed]])),VALUE(_xlfn.TEXTBEFORE(Table13[[#This Row],[Min Speed]]," ")),ROUND(VALUE(_xlfn.TEXTBEFORE(Table13[[#This Row],[Min Speed]]," "))*1.60934,0))</f>
        <v>30</v>
      </c>
      <c r="J43" s="44">
        <f>ROUND(IF(ISNUMBER(SEARCH("km/h",Table13[[#This Row],[Min Speed]])),Table13[[#This Row],[Min Speed (km/h)]]*0.621371,VALUE(_xlfn.TEXTBEFORE(Table13[[#This Row],[Min Speed]]," "))),0)</f>
        <v>19</v>
      </c>
      <c r="K43" s="23" t="s">
        <v>44</v>
      </c>
      <c r="L43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43" s="44">
        <f>IF(ISNUMBER(SEARCH("mph",Table13[[#This Row],[Max Speed]])),--_xlfn.TEXTBEFORE(Table13[[#This Row],[Max Speed]]," mph"),ROUND(--_xlfn.TEXTBEFORE(Table13[[#This Row],[Max Speed]]," km/h")*0.621371,0))</f>
        <v>50</v>
      </c>
      <c r="N43" s="23" t="s">
        <v>68</v>
      </c>
      <c r="O4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43" s="42" t="str">
        <f>TEXT(Table13[[#This Row],[Min Speed (km/h)]],"0")&amp;" - "&amp;TEXT(Table13[[#This Row],[Max Speed (km/h)]],"0")&amp;""</f>
        <v>30 - 80</v>
      </c>
      <c r="Q43" s="46">
        <f>IF(Table13[[#This Row],[Distance (km)]]="", AVERAGE(Table13[Distance (km)]), Table13[[#This Row],[Distance (km)]])</f>
        <v>600</v>
      </c>
      <c r="R43" s="23" t="s">
        <v>118</v>
      </c>
      <c r="S43" s="42" t="str" cm="1">
        <f t="array" ref="S43">TRIM(INDEX(_xlfn.TEXTSPLIT(Table13[[#This Row],[Shipping Address]],","),1))</f>
        <v>321 Jayanagar</v>
      </c>
      <c r="T43" s="42" t="str" cm="1">
        <f t="array" ref="T43">TRIM(INDEX(_xlfn.TEXTSPLIT(Table13[[#This Row],[Shipping Address]],","),2))</f>
        <v>Kolkata</v>
      </c>
      <c r="U43" s="42" t="str" cm="1">
        <f t="array" ref="U43">TRIM(INDEX(_xlfn.TEXTSPLIT(Table13[[#This Row],[Shipping Address]],","),3))</f>
        <v>560041</v>
      </c>
      <c r="V43" s="23" t="s">
        <v>112</v>
      </c>
      <c r="W43" s="42" t="str" cm="1">
        <f t="array" ref="W43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43" s="42" t="str" cm="1">
        <f t="array" ref="X43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43" s="23" t="s">
        <v>119</v>
      </c>
      <c r="Z43" s="33">
        <f>_xlfn.NUMBERVALUE(_xlfn.TEXTBEFORE(Table13[[#This Row],[Unit Price]]," "))</f>
        <v>24673</v>
      </c>
      <c r="AA43" s="23" t="str">
        <f>RIGHT(Table13[[#This Row],[Unit Price]],LEN(Table13[[#This Row],[Unit Price]])-FIND(" ",Table13[[#This Row],[Unit Price]]))</f>
        <v>INR</v>
      </c>
      <c r="AB43" s="33" cm="1">
        <f t="array" ref="AB43">Table13[[#This Row],[Unit Price Value]]*_xlfn.XLOOKUP(Table13[[#This Row],[Unit Price Currency]],{"EUR","USD","GBP","BRL","CAD","CNY","AUD","ZAR","MXN","JPY","INR"},{1,0.86,1.15,0.15,0.63,0.12,0.56,0.05,0.05,0.01,0.01},NA())</f>
        <v>246.73000000000002</v>
      </c>
      <c r="AC43" s="32">
        <v>4</v>
      </c>
      <c r="AD43" s="32">
        <v>15</v>
      </c>
      <c r="AE43" s="20">
        <f>IF(Table13[[#This Row],[Discount (%)]]="",CHOOSE(MATCH(MOD(Table13[[#This Row],[Sales Rep ID]],3)+1,{1,2,3},0),5,10,15),Table13[[#This Row],[Discount (%)]])</f>
        <v>15</v>
      </c>
      <c r="AF43" s="38">
        <f>Table13[[#This Row],[Unit Price (EUR)]]*Table13[[#This Row],[Units Sold]]</f>
        <v>986.92000000000007</v>
      </c>
      <c r="AG43" s="38">
        <f>Table13[[#This Row],[Gross Price (Euro)]]*Table13[[#This Row],[Calc Discount (%)]]/100</f>
        <v>148.03800000000001</v>
      </c>
      <c r="AH43" s="39">
        <f>Table13[[#This Row],[Gross Price (Euro)]]-Table13[[#This Row],[Discount Value (Euro)]]</f>
        <v>838.88200000000006</v>
      </c>
    </row>
    <row r="44" spans="1:34" x14ac:dyDescent="0.25">
      <c r="A44" s="43">
        <v>43</v>
      </c>
      <c r="B44" s="23" t="s">
        <v>13</v>
      </c>
      <c r="C44" s="23" t="s">
        <v>14</v>
      </c>
      <c r="D44" s="23" t="str">
        <f>_xlfn.TEXTJOIN(" ",,Table13[[#This Row],[Rep First Name]],Table13[[#This Row],[Rep Last Name]])</f>
        <v>Sanya Joshi</v>
      </c>
      <c r="E44" s="23" t="s">
        <v>31</v>
      </c>
      <c r="F44" s="23" t="str">
        <f>IF(LEN(Table13[[#This Row],[Month]]) &gt; 0, LEFT(Table13[[#This Row],[Month]], 3), "")</f>
        <v>Jan</v>
      </c>
      <c r="G44" s="23" t="s">
        <v>27</v>
      </c>
      <c r="H44" s="23" t="s">
        <v>17</v>
      </c>
      <c r="I44" s="44">
        <f>IF(ISNUMBER(SEARCH("km/h",Table13[[#This Row],[Min Speed]])),VALUE(_xlfn.TEXTBEFORE(Table13[[#This Row],[Min Speed]]," ")),ROUND(VALUE(_xlfn.TEXTBEFORE(Table13[[#This Row],[Min Speed]]," "))*1.60934,0))</f>
        <v>64</v>
      </c>
      <c r="J44" s="44">
        <f>ROUND(IF(ISNUMBER(SEARCH("km/h",Table13[[#This Row],[Min Speed]])),Table13[[#This Row],[Min Speed (km/h)]]*0.621371,VALUE(_xlfn.TEXTBEFORE(Table13[[#This Row],[Min Speed]]," "))),0)</f>
        <v>40</v>
      </c>
      <c r="K44" s="23" t="s">
        <v>18</v>
      </c>
      <c r="L44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44" s="44">
        <f>IF(ISNUMBER(SEARCH("mph",Table13[[#This Row],[Max Speed]])),--_xlfn.TEXTBEFORE(Table13[[#This Row],[Max Speed]]," mph"),ROUND(--_xlfn.TEXTBEFORE(Table13[[#This Row],[Max Speed]]," km/h")*0.621371,0))</f>
        <v>75</v>
      </c>
      <c r="N44" s="23"/>
      <c r="O44" s="45" t="str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/>
      </c>
      <c r="P44" s="42" t="str">
        <f>TEXT(Table13[[#This Row],[Min Speed (km/h)]],"0")&amp;" - "&amp;TEXT(Table13[[#This Row],[Max Speed (km/h)]],"0")&amp;""</f>
        <v>64 - 120</v>
      </c>
      <c r="Q44" s="46">
        <f>IF(Table13[[#This Row],[Distance (km)]]="", AVERAGE(Table13[Distance (km)]), Table13[[#This Row],[Distance (km)]])</f>
        <v>451.98137500000013</v>
      </c>
      <c r="R44" s="23" t="s">
        <v>120</v>
      </c>
      <c r="S44" s="42" t="str" cm="1">
        <f t="array" ref="S44">TRIM(INDEX(_xlfn.TEXTSPLIT(Table13[[#This Row],[Shipping Address]],","),1))</f>
        <v>123 George Street</v>
      </c>
      <c r="T44" s="42" t="str" cm="1">
        <f t="array" ref="T44">TRIM(INDEX(_xlfn.TEXTSPLIT(Table13[[#This Row],[Shipping Address]],","),2))</f>
        <v>Sydney</v>
      </c>
      <c r="U44" s="42" t="str" cm="1">
        <f t="array" ref="U44">TRIM(INDEX(_xlfn.TEXTSPLIT(Table13[[#This Row],[Shipping Address]],","),3))</f>
        <v>2000</v>
      </c>
      <c r="V44" s="23" t="s">
        <v>121</v>
      </c>
      <c r="W44" s="42" t="str" cm="1">
        <f t="array" ref="W44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44" s="42" t="str" cm="1">
        <f t="array" ref="X44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44" s="23" t="s">
        <v>122</v>
      </c>
      <c r="Z44" s="33">
        <f>_xlfn.NUMBERVALUE(_xlfn.TEXTBEFORE(Table13[[#This Row],[Unit Price]]," "))</f>
        <v>222</v>
      </c>
      <c r="AA44" s="23" t="str">
        <f>RIGHT(Table13[[#This Row],[Unit Price]],LEN(Table13[[#This Row],[Unit Price]])-FIND(" ",Table13[[#This Row],[Unit Price]]))</f>
        <v>AUD</v>
      </c>
      <c r="AB44" s="33" cm="1">
        <f t="array" ref="AB44">Table13[[#This Row],[Unit Price Value]]*_xlfn.XLOOKUP(Table13[[#This Row],[Unit Price Currency]],{"EUR","USD","GBP","BRL","CAD","CNY","AUD","ZAR","MXN","JPY","INR"},{1,0.86,1.15,0.15,0.63,0.12,0.56,0.05,0.05,0.01,0.01},NA())</f>
        <v>124.32000000000001</v>
      </c>
      <c r="AC44" s="32">
        <v>16</v>
      </c>
      <c r="AD44" s="32">
        <v>10</v>
      </c>
      <c r="AE44" s="20">
        <f>IF(Table13[[#This Row],[Discount (%)]]="",CHOOSE(MATCH(MOD(Table13[[#This Row],[Sales Rep ID]],3)+1,{1,2,3},0),5,10,15),Table13[[#This Row],[Discount (%)]])</f>
        <v>10</v>
      </c>
      <c r="AF44" s="38">
        <f>Table13[[#This Row],[Unit Price (EUR)]]*Table13[[#This Row],[Units Sold]]</f>
        <v>1989.1200000000001</v>
      </c>
      <c r="AG44" s="38">
        <f>Table13[[#This Row],[Gross Price (Euro)]]*Table13[[#This Row],[Calc Discount (%)]]/100</f>
        <v>198.91200000000001</v>
      </c>
      <c r="AH44" s="39">
        <f>Table13[[#This Row],[Gross Price (Euro)]]-Table13[[#This Row],[Discount Value (Euro)]]</f>
        <v>1790.2080000000001</v>
      </c>
    </row>
    <row r="45" spans="1:34" x14ac:dyDescent="0.25">
      <c r="A45" s="43">
        <v>44</v>
      </c>
      <c r="B45" s="23" t="s">
        <v>13</v>
      </c>
      <c r="C45" s="23" t="s">
        <v>14</v>
      </c>
      <c r="D45" s="23" t="str">
        <f>_xlfn.TEXTJOIN(" ",,Table13[[#This Row],[Rep First Name]],Table13[[#This Row],[Rep Last Name]])</f>
        <v>Sanya Joshi</v>
      </c>
      <c r="E45" s="23" t="s">
        <v>23</v>
      </c>
      <c r="F45" s="23" t="str">
        <f>IF(LEN(Table13[[#This Row],[Month]]) &gt; 0, LEFT(Table13[[#This Row],[Month]], 3), "")</f>
        <v>Mar</v>
      </c>
      <c r="G45" s="23" t="s">
        <v>43</v>
      </c>
      <c r="H45" s="23" t="s">
        <v>32</v>
      </c>
      <c r="I45" s="44">
        <f>IF(ISNUMBER(SEARCH("km/h",Table13[[#This Row],[Min Speed]])),VALUE(_xlfn.TEXTBEFORE(Table13[[#This Row],[Min Speed]]," ")),ROUND(VALUE(_xlfn.TEXTBEFORE(Table13[[#This Row],[Min Speed]]," "))*1.60934,0))</f>
        <v>30</v>
      </c>
      <c r="J45" s="44">
        <f>ROUND(IF(ISNUMBER(SEARCH("km/h",Table13[[#This Row],[Min Speed]])),Table13[[#This Row],[Min Speed (km/h)]]*0.621371,VALUE(_xlfn.TEXTBEFORE(Table13[[#This Row],[Min Speed]]," "))),0)</f>
        <v>19</v>
      </c>
      <c r="K45" s="23" t="s">
        <v>18</v>
      </c>
      <c r="L45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45" s="44">
        <f>IF(ISNUMBER(SEARCH("mph",Table13[[#This Row],[Max Speed]])),--_xlfn.TEXTBEFORE(Table13[[#This Row],[Max Speed]]," mph"),ROUND(--_xlfn.TEXTBEFORE(Table13[[#This Row],[Max Speed]]," km/h")*0.621371,0))</f>
        <v>75</v>
      </c>
      <c r="N45" s="23" t="s">
        <v>19</v>
      </c>
      <c r="O4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45" s="42" t="str">
        <f>TEXT(Table13[[#This Row],[Min Speed (km/h)]],"0")&amp;" - "&amp;TEXT(Table13[[#This Row],[Max Speed (km/h)]],"0")&amp;""</f>
        <v>30 - 120</v>
      </c>
      <c r="Q45" s="46">
        <f>IF(Table13[[#This Row],[Distance (km)]]="", AVERAGE(Table13[Distance (km)]), Table13[[#This Row],[Distance (km)]])</f>
        <v>500</v>
      </c>
      <c r="R45" s="23" t="s">
        <v>123</v>
      </c>
      <c r="S45" s="42" t="str" cm="1">
        <f t="array" ref="S45">TRIM(INDEX(_xlfn.TEXTSPLIT(Table13[[#This Row],[Shipping Address]],","),1))</f>
        <v>456 King Street</v>
      </c>
      <c r="T45" s="42" t="str" cm="1">
        <f t="array" ref="T45">TRIM(INDEX(_xlfn.TEXTSPLIT(Table13[[#This Row],[Shipping Address]],","),2))</f>
        <v>Melbourne</v>
      </c>
      <c r="U45" s="42" t="str" cm="1">
        <f t="array" ref="U45">TRIM(INDEX(_xlfn.TEXTSPLIT(Table13[[#This Row],[Shipping Address]],","),3))</f>
        <v>3000</v>
      </c>
      <c r="V45" s="23" t="s">
        <v>121</v>
      </c>
      <c r="W45" s="42" t="str" cm="1">
        <f t="array" ref="W45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45" s="42" t="str" cm="1">
        <f t="array" ref="X45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45" s="23" t="s">
        <v>124</v>
      </c>
      <c r="Z45" s="33">
        <f>_xlfn.NUMBERVALUE(_xlfn.TEXTBEFORE(Table13[[#This Row],[Unit Price]]," "))</f>
        <v>296</v>
      </c>
      <c r="AA45" s="23" t="str">
        <f>RIGHT(Table13[[#This Row],[Unit Price]],LEN(Table13[[#This Row],[Unit Price]])-FIND(" ",Table13[[#This Row],[Unit Price]]))</f>
        <v>AUD</v>
      </c>
      <c r="AB45" s="33" cm="1">
        <f t="array" ref="AB45">Table13[[#This Row],[Unit Price Value]]*_xlfn.XLOOKUP(Table13[[#This Row],[Unit Price Currency]],{"EUR","USD","GBP","BRL","CAD","CNY","AUD","ZAR","MXN","JPY","INR"},{1,0.86,1.15,0.15,0.63,0.12,0.56,0.05,0.05,0.01,0.01},NA())</f>
        <v>165.76000000000002</v>
      </c>
      <c r="AC45" s="32">
        <v>12</v>
      </c>
      <c r="AD45" s="32">
        <v>5</v>
      </c>
      <c r="AE45" s="20">
        <f>IF(Table13[[#This Row],[Discount (%)]]="",CHOOSE(MATCH(MOD(Table13[[#This Row],[Sales Rep ID]],3)+1,{1,2,3},0),5,10,15),Table13[[#This Row],[Discount (%)]])</f>
        <v>5</v>
      </c>
      <c r="AF45" s="38">
        <f>Table13[[#This Row],[Unit Price (EUR)]]*Table13[[#This Row],[Units Sold]]</f>
        <v>1989.1200000000003</v>
      </c>
      <c r="AG45" s="38">
        <f>Table13[[#This Row],[Gross Price (Euro)]]*Table13[[#This Row],[Calc Discount (%)]]/100</f>
        <v>99.456000000000017</v>
      </c>
      <c r="AH45" s="39">
        <f>Table13[[#This Row],[Gross Price (Euro)]]-Table13[[#This Row],[Discount Value (Euro)]]</f>
        <v>1889.6640000000002</v>
      </c>
    </row>
    <row r="46" spans="1:34" x14ac:dyDescent="0.25">
      <c r="A46" s="43">
        <v>45</v>
      </c>
      <c r="B46" s="23" t="s">
        <v>35</v>
      </c>
      <c r="C46" s="23" t="s">
        <v>36</v>
      </c>
      <c r="D46" s="23" t="str">
        <f>_xlfn.TEXTJOIN(" ",,Table13[[#This Row],[Rep First Name]],Table13[[#This Row],[Rep Last Name]])</f>
        <v>Fang Liu</v>
      </c>
      <c r="E46" s="23" t="s">
        <v>15</v>
      </c>
      <c r="F46" s="23" t="str">
        <f>IF(LEN(Table13[[#This Row],[Month]]) &gt; 0, LEFT(Table13[[#This Row],[Month]], 3), "")</f>
        <v>Jun</v>
      </c>
      <c r="G46" s="23" t="s">
        <v>43</v>
      </c>
      <c r="H46" s="23" t="s">
        <v>48</v>
      </c>
      <c r="I46" s="44">
        <f>IF(ISNUMBER(SEARCH("km/h",Table13[[#This Row],[Min Speed]])),VALUE(_xlfn.TEXTBEFORE(Table13[[#This Row],[Min Speed]]," ")),ROUND(VALUE(_xlfn.TEXTBEFORE(Table13[[#This Row],[Min Speed]]," "))*1.60934,0))</f>
        <v>20</v>
      </c>
      <c r="J46" s="44">
        <f>ROUND(IF(ISNUMBER(SEARCH("km/h",Table13[[#This Row],[Min Speed]])),Table13[[#This Row],[Min Speed (km/h)]]*0.621371,VALUE(_xlfn.TEXTBEFORE(Table13[[#This Row],[Min Speed]]," "))),0)</f>
        <v>12</v>
      </c>
      <c r="K46" s="23" t="s">
        <v>25</v>
      </c>
      <c r="L46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46" s="44">
        <f>IF(ISNUMBER(SEARCH("mph",Table13[[#This Row],[Max Speed]])),--_xlfn.TEXTBEFORE(Table13[[#This Row],[Max Speed]]," mph"),ROUND(--_xlfn.TEXTBEFORE(Table13[[#This Row],[Max Speed]]," km/h")*0.621371,0))</f>
        <v>150</v>
      </c>
      <c r="N46" s="23" t="s">
        <v>26</v>
      </c>
      <c r="O4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46" s="42" t="str">
        <f>TEXT(Table13[[#This Row],[Min Speed (km/h)]],"0")&amp;" - "&amp;TEXT(Table13[[#This Row],[Max Speed (km/h)]],"0")&amp;""</f>
        <v>20 - 241</v>
      </c>
      <c r="Q46" s="46">
        <f>IF(Table13[[#This Row],[Distance (km)]]="", AVERAGE(Table13[Distance (km)]), Table13[[#This Row],[Distance (km)]])</f>
        <v>482.80200000000002</v>
      </c>
      <c r="R46" s="23" t="s">
        <v>125</v>
      </c>
      <c r="S46" s="42" t="str" cm="1">
        <f t="array" ref="S46">TRIM(INDEX(_xlfn.TEXTSPLIT(Table13[[#This Row],[Shipping Address]],","),1))</f>
        <v>789 Victoria Road</v>
      </c>
      <c r="T46" s="42" t="str" cm="1">
        <f t="array" ref="T46">TRIM(INDEX(_xlfn.TEXTSPLIT(Table13[[#This Row],[Shipping Address]],","),2))</f>
        <v>Brisbane</v>
      </c>
      <c r="U46" s="42" t="str" cm="1">
        <f t="array" ref="U46">TRIM(INDEX(_xlfn.TEXTSPLIT(Table13[[#This Row],[Shipping Address]],","),3))</f>
        <v>2048</v>
      </c>
      <c r="V46" s="23" t="s">
        <v>121</v>
      </c>
      <c r="W46" s="42" t="str" cm="1">
        <f t="array" ref="W46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46" s="42" t="str" cm="1">
        <f t="array" ref="X46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46" s="23" t="s">
        <v>126</v>
      </c>
      <c r="Z46" s="33">
        <f>_xlfn.NUMBERVALUE(_xlfn.TEXTBEFORE(Table13[[#This Row],[Unit Price]]," "))</f>
        <v>370</v>
      </c>
      <c r="AA46" s="23" t="str">
        <f>RIGHT(Table13[[#This Row],[Unit Price]],LEN(Table13[[#This Row],[Unit Price]])-FIND(" ",Table13[[#This Row],[Unit Price]]))</f>
        <v>AUD</v>
      </c>
      <c r="AB46" s="33" cm="1">
        <f t="array" ref="AB46">Table13[[#This Row],[Unit Price Value]]*_xlfn.XLOOKUP(Table13[[#This Row],[Unit Price Currency]],{"EUR","USD","GBP","BRL","CAD","CNY","AUD","ZAR","MXN","JPY","INR"},{1,0.86,1.15,0.15,0.63,0.12,0.56,0.05,0.05,0.01,0.01},NA())</f>
        <v>207.20000000000002</v>
      </c>
      <c r="AC46" s="32">
        <v>9</v>
      </c>
      <c r="AD46" s="32"/>
      <c r="AE46" s="20">
        <f>IF(Table13[[#This Row],[Discount (%)]]="",CHOOSE(MATCH(MOD(Table13[[#This Row],[Sales Rep ID]],3)+1,{1,2,3},0),5,10,15),Table13[[#This Row],[Discount (%)]])</f>
        <v>5</v>
      </c>
      <c r="AF46" s="38">
        <f>Table13[[#This Row],[Unit Price (EUR)]]*Table13[[#This Row],[Units Sold]]</f>
        <v>1864.8000000000002</v>
      </c>
      <c r="AG46" s="38">
        <f>Table13[[#This Row],[Gross Price (Euro)]]*Table13[[#This Row],[Calc Discount (%)]]/100</f>
        <v>93.24</v>
      </c>
      <c r="AH46" s="39">
        <f>Table13[[#This Row],[Gross Price (Euro)]]-Table13[[#This Row],[Discount Value (Euro)]]</f>
        <v>1771.5600000000002</v>
      </c>
    </row>
    <row r="47" spans="1:34" x14ac:dyDescent="0.25">
      <c r="A47" s="43">
        <v>46</v>
      </c>
      <c r="B47" s="23" t="s">
        <v>35</v>
      </c>
      <c r="C47" s="23" t="s">
        <v>36</v>
      </c>
      <c r="D47" s="23" t="str">
        <f>_xlfn.TEXTJOIN(" ",,Table13[[#This Row],[Rep First Name]],Table13[[#This Row],[Rep Last Name]])</f>
        <v>Fang Liu</v>
      </c>
      <c r="E47" s="23" t="s">
        <v>47</v>
      </c>
      <c r="F47" s="23" t="str">
        <f>IF(LEN(Table13[[#This Row],[Month]]) &gt; 0, LEFT(Table13[[#This Row],[Month]], 3), "")</f>
        <v>Apr</v>
      </c>
      <c r="G47" s="23" t="s">
        <v>43</v>
      </c>
      <c r="H47" s="23" t="s">
        <v>32</v>
      </c>
      <c r="I47" s="44">
        <f>IF(ISNUMBER(SEARCH("km/h",Table13[[#This Row],[Min Speed]])),VALUE(_xlfn.TEXTBEFORE(Table13[[#This Row],[Min Speed]]," ")),ROUND(VALUE(_xlfn.TEXTBEFORE(Table13[[#This Row],[Min Speed]]," "))*1.60934,0))</f>
        <v>30</v>
      </c>
      <c r="J47" s="44">
        <f>ROUND(IF(ISNUMBER(SEARCH("km/h",Table13[[#This Row],[Min Speed]])),Table13[[#This Row],[Min Speed (km/h)]]*0.621371,VALUE(_xlfn.TEXTBEFORE(Table13[[#This Row],[Min Speed]]," "))),0)</f>
        <v>19</v>
      </c>
      <c r="K47" s="23" t="s">
        <v>55</v>
      </c>
      <c r="L47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47" s="44">
        <f>IF(ISNUMBER(SEARCH("mph",Table13[[#This Row],[Max Speed]])),--_xlfn.TEXTBEFORE(Table13[[#This Row],[Max Speed]]," mph"),ROUND(--_xlfn.TEXTBEFORE(Table13[[#This Row],[Max Speed]]," km/h")*0.621371,0))</f>
        <v>100</v>
      </c>
      <c r="N47" s="23" t="s">
        <v>68</v>
      </c>
      <c r="O4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47" s="42" t="str">
        <f>TEXT(Table13[[#This Row],[Min Speed (km/h)]],"0")&amp;" - "&amp;TEXT(Table13[[#This Row],[Max Speed (km/h)]],"0")&amp;""</f>
        <v>30 - 161</v>
      </c>
      <c r="Q47" s="46">
        <f>IF(Table13[[#This Row],[Distance (km)]]="", AVERAGE(Table13[Distance (km)]), Table13[[#This Row],[Distance (km)]])</f>
        <v>600</v>
      </c>
      <c r="R47" s="23" t="s">
        <v>127</v>
      </c>
      <c r="S47" s="42" t="str" cm="1">
        <f t="array" ref="S47">TRIM(INDEX(_xlfn.TEXTSPLIT(Table13[[#This Row],[Shipping Address]],","),1))</f>
        <v>321 Oxford Street</v>
      </c>
      <c r="T47" s="42" t="str" cm="1">
        <f t="array" ref="T47">TRIM(INDEX(_xlfn.TEXTSPLIT(Table13[[#This Row],[Shipping Address]],","),2))</f>
        <v>Perth</v>
      </c>
      <c r="U47" s="42" t="str" cm="1">
        <f t="array" ref="U47">TRIM(INDEX(_xlfn.TEXTSPLIT(Table13[[#This Row],[Shipping Address]],","),3))</f>
        <v>2011</v>
      </c>
      <c r="V47" s="23" t="s">
        <v>121</v>
      </c>
      <c r="W47" s="42" t="str" cm="1">
        <f t="array" ref="W47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47" s="42" t="str" cm="1">
        <f t="array" ref="X47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47" s="23" t="s">
        <v>128</v>
      </c>
      <c r="Z47" s="33">
        <f>_xlfn.NUMBERVALUE(_xlfn.TEXTBEFORE(Table13[[#This Row],[Unit Price]]," "))</f>
        <v>444</v>
      </c>
      <c r="AA47" s="23" t="str">
        <f>RIGHT(Table13[[#This Row],[Unit Price]],LEN(Table13[[#This Row],[Unit Price]])-FIND(" ",Table13[[#This Row],[Unit Price]]))</f>
        <v>AUD</v>
      </c>
      <c r="AB47" s="33" cm="1">
        <f t="array" ref="AB47">Table13[[#This Row],[Unit Price Value]]*_xlfn.XLOOKUP(Table13[[#This Row],[Unit Price Currency]],{"EUR","USD","GBP","BRL","CAD","CNY","AUD","ZAR","MXN","JPY","INR"},{1,0.86,1.15,0.15,0.63,0.12,0.56,0.05,0.05,0.01,0.01},NA())</f>
        <v>248.64000000000001</v>
      </c>
      <c r="AC47" s="32">
        <v>6</v>
      </c>
      <c r="AD47" s="32">
        <v>15</v>
      </c>
      <c r="AE47" s="20">
        <f>IF(Table13[[#This Row],[Discount (%)]]="",CHOOSE(MATCH(MOD(Table13[[#This Row],[Sales Rep ID]],3)+1,{1,2,3},0),5,10,15),Table13[[#This Row],[Discount (%)]])</f>
        <v>15</v>
      </c>
      <c r="AF47" s="38">
        <f>Table13[[#This Row],[Unit Price (EUR)]]*Table13[[#This Row],[Units Sold]]</f>
        <v>1491.8400000000001</v>
      </c>
      <c r="AG47" s="38">
        <f>Table13[[#This Row],[Gross Price (Euro)]]*Table13[[#This Row],[Calc Discount (%)]]/100</f>
        <v>223.77600000000001</v>
      </c>
      <c r="AH47" s="39">
        <f>Table13[[#This Row],[Gross Price (Euro)]]-Table13[[#This Row],[Discount Value (Euro)]]</f>
        <v>1268.0640000000001</v>
      </c>
    </row>
    <row r="48" spans="1:34" x14ac:dyDescent="0.25">
      <c r="A48" s="43">
        <v>47</v>
      </c>
      <c r="B48" s="23" t="s">
        <v>35</v>
      </c>
      <c r="C48" s="23" t="s">
        <v>36</v>
      </c>
      <c r="D48" s="23" t="str">
        <f>_xlfn.TEXTJOIN(" ",,Table13[[#This Row],[Rep First Name]],Table13[[#This Row],[Rep Last Name]])</f>
        <v>Fang Liu</v>
      </c>
      <c r="E48" s="23" t="s">
        <v>23</v>
      </c>
      <c r="F48" s="23" t="str">
        <f>IF(LEN(Table13[[#This Row],[Month]]) &gt; 0, LEFT(Table13[[#This Row],[Month]], 3), "")</f>
        <v>Mar</v>
      </c>
      <c r="G48" s="23" t="s">
        <v>27</v>
      </c>
      <c r="H48" s="23" t="s">
        <v>24</v>
      </c>
      <c r="I48" s="44">
        <f>IF(ISNUMBER(SEARCH("km/h",Table13[[#This Row],[Min Speed]])),VALUE(_xlfn.TEXTBEFORE(Table13[[#This Row],[Min Speed]]," ")),ROUND(VALUE(_xlfn.TEXTBEFORE(Table13[[#This Row],[Min Speed]]," "))*1.60934,0))</f>
        <v>80</v>
      </c>
      <c r="J48" s="44">
        <f>ROUND(IF(ISNUMBER(SEARCH("km/h",Table13[[#This Row],[Min Speed]])),Table13[[#This Row],[Min Speed (km/h)]]*0.621371,VALUE(_xlfn.TEXTBEFORE(Table13[[#This Row],[Min Speed]]," "))),0)</f>
        <v>50</v>
      </c>
      <c r="K48" s="23" t="s">
        <v>44</v>
      </c>
      <c r="L48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48" s="44">
        <f>IF(ISNUMBER(SEARCH("mph",Table13[[#This Row],[Max Speed]])),--_xlfn.TEXTBEFORE(Table13[[#This Row],[Max Speed]]," mph"),ROUND(--_xlfn.TEXTBEFORE(Table13[[#This Row],[Max Speed]]," km/h")*0.621371,0))</f>
        <v>50</v>
      </c>
      <c r="N48" s="23" t="s">
        <v>28</v>
      </c>
      <c r="O4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48" s="42" t="str">
        <f>TEXT(Table13[[#This Row],[Min Speed (km/h)]],"0")&amp;" - "&amp;TEXT(Table13[[#This Row],[Max Speed (km/h)]],"0")&amp;""</f>
        <v>80 - 80</v>
      </c>
      <c r="Q48" s="46">
        <f>IF(Table13[[#This Row],[Distance (km)]]="", AVERAGE(Table13[Distance (km)]), Table13[[#This Row],[Distance (km)]])</f>
        <v>241.40100000000001</v>
      </c>
      <c r="R48" s="23" t="s">
        <v>129</v>
      </c>
      <c r="S48" s="42" t="str" cm="1">
        <f t="array" ref="S48">TRIM(INDEX(_xlfn.TEXTSPLIT(Table13[[#This Row],[Shipping Address]],","),1))</f>
        <v>123 Long Street</v>
      </c>
      <c r="T48" s="42" t="str" cm="1">
        <f t="array" ref="T48">TRIM(INDEX(_xlfn.TEXTSPLIT(Table13[[#This Row],[Shipping Address]],","),2))</f>
        <v>Cape Town</v>
      </c>
      <c r="U48" s="42" t="str" cm="1">
        <f t="array" ref="U48">TRIM(INDEX(_xlfn.TEXTSPLIT(Table13[[#This Row],[Shipping Address]],","),3))</f>
        <v>8001</v>
      </c>
      <c r="V48" s="23" t="s">
        <v>130</v>
      </c>
      <c r="W48" s="42" t="str" cm="1">
        <f t="array" ref="W48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48" s="42" t="str" cm="1">
        <f t="array" ref="X48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48" s="23" t="s">
        <v>131</v>
      </c>
      <c r="Z48" s="33">
        <f>_xlfn.NUMBERVALUE(_xlfn.TEXTBEFORE(Table13[[#This Row],[Unit Price]]," "))</f>
        <v>2743</v>
      </c>
      <c r="AA48" s="23" t="str">
        <f>RIGHT(Table13[[#This Row],[Unit Price]],LEN(Table13[[#This Row],[Unit Price]])-FIND(" ",Table13[[#This Row],[Unit Price]]))</f>
        <v>ZAR</v>
      </c>
      <c r="AB48" s="33" cm="1">
        <f t="array" ref="AB48">Table13[[#This Row],[Unit Price Value]]*_xlfn.XLOOKUP(Table13[[#This Row],[Unit Price Currency]],{"EUR","USD","GBP","BRL","CAD","CNY","AUD","ZAR","MXN","JPY","INR"},{1,0.86,1.15,0.15,0.63,0.12,0.56,0.05,0.05,0.01,0.01},NA())</f>
        <v>137.15</v>
      </c>
      <c r="AC48" s="32">
        <v>13</v>
      </c>
      <c r="AD48" s="32"/>
      <c r="AE48" s="20">
        <f>IF(Table13[[#This Row],[Discount (%)]]="",CHOOSE(MATCH(MOD(Table13[[#This Row],[Sales Rep ID]],3)+1,{1,2,3},0),5,10,15),Table13[[#This Row],[Discount (%)]])</f>
        <v>15</v>
      </c>
      <c r="AF48" s="38">
        <f>Table13[[#This Row],[Unit Price (EUR)]]*Table13[[#This Row],[Units Sold]]</f>
        <v>1782.95</v>
      </c>
      <c r="AG48" s="38">
        <f>Table13[[#This Row],[Gross Price (Euro)]]*Table13[[#This Row],[Calc Discount (%)]]/100</f>
        <v>267.4425</v>
      </c>
      <c r="AH48" s="39">
        <f>Table13[[#This Row],[Gross Price (Euro)]]-Table13[[#This Row],[Discount Value (Euro)]]</f>
        <v>1515.5075000000002</v>
      </c>
    </row>
    <row r="49" spans="1:34" x14ac:dyDescent="0.25">
      <c r="A49" s="43">
        <v>48</v>
      </c>
      <c r="B49" s="23" t="s">
        <v>45</v>
      </c>
      <c r="C49" s="23" t="s">
        <v>46</v>
      </c>
      <c r="D49" s="23" t="str">
        <f>_xlfn.TEXTJOIN(" ",,Table13[[#This Row],[Rep First Name]],Table13[[#This Row],[Rep Last Name]])</f>
        <v>Jonas Fischer</v>
      </c>
      <c r="E49" s="23" t="s">
        <v>47</v>
      </c>
      <c r="F49" s="23" t="str">
        <f>IF(LEN(Table13[[#This Row],[Month]]) &gt; 0, LEFT(Table13[[#This Row],[Month]], 3), "")</f>
        <v>Apr</v>
      </c>
      <c r="G49" s="23" t="s">
        <v>27</v>
      </c>
      <c r="H49" s="23" t="s">
        <v>48</v>
      </c>
      <c r="I49" s="44">
        <f>IF(ISNUMBER(SEARCH("km/h",Table13[[#This Row],[Min Speed]])),VALUE(_xlfn.TEXTBEFORE(Table13[[#This Row],[Min Speed]]," ")),ROUND(VALUE(_xlfn.TEXTBEFORE(Table13[[#This Row],[Min Speed]]," "))*1.60934,0))</f>
        <v>20</v>
      </c>
      <c r="J49" s="44">
        <f>ROUND(IF(ISNUMBER(SEARCH("km/h",Table13[[#This Row],[Min Speed]])),Table13[[#This Row],[Min Speed (km/h)]]*0.621371,VALUE(_xlfn.TEXTBEFORE(Table13[[#This Row],[Min Speed]]," "))),0)</f>
        <v>12</v>
      </c>
      <c r="K49" s="23" t="s">
        <v>44</v>
      </c>
      <c r="L49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49" s="44">
        <f>IF(ISNUMBER(SEARCH("mph",Table13[[#This Row],[Max Speed]])),--_xlfn.TEXTBEFORE(Table13[[#This Row],[Max Speed]]," mph"),ROUND(--_xlfn.TEXTBEFORE(Table13[[#This Row],[Max Speed]]," km/h")*0.621371,0))</f>
        <v>50</v>
      </c>
      <c r="N49" s="23" t="s">
        <v>28</v>
      </c>
      <c r="O4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49" s="42" t="str">
        <f>TEXT(Table13[[#This Row],[Min Speed (km/h)]],"0")&amp;" - "&amp;TEXT(Table13[[#This Row],[Max Speed (km/h)]],"0")&amp;""</f>
        <v>20 - 80</v>
      </c>
      <c r="Q49" s="46">
        <f>IF(Table13[[#This Row],[Distance (km)]]="", AVERAGE(Table13[Distance (km)]), Table13[[#This Row],[Distance (km)]])</f>
        <v>241.40100000000001</v>
      </c>
      <c r="R49" s="23" t="s">
        <v>132</v>
      </c>
      <c r="S49" s="42" t="str" cm="1">
        <f t="array" ref="S49">TRIM(INDEX(_xlfn.TEXTSPLIT(Table13[[#This Row],[Shipping Address]],","),1))</f>
        <v>456 Bree Street</v>
      </c>
      <c r="T49" s="42" t="str" cm="1">
        <f t="array" ref="T49">TRIM(INDEX(_xlfn.TEXTSPLIT(Table13[[#This Row],[Shipping Address]],","),2))</f>
        <v>Johannesburg</v>
      </c>
      <c r="U49" s="42" t="str" cm="1">
        <f t="array" ref="U49">TRIM(INDEX(_xlfn.TEXTSPLIT(Table13[[#This Row],[Shipping Address]],","),3))</f>
        <v>8001</v>
      </c>
      <c r="V49" s="23" t="s">
        <v>130</v>
      </c>
      <c r="W49" s="42" t="str" cm="1">
        <f t="array" ref="W49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49" s="42" t="str" cm="1">
        <f t="array" ref="X49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49" s="23" t="s">
        <v>133</v>
      </c>
      <c r="Z49" s="33">
        <f>_xlfn.NUMBERVALUE(_xlfn.TEXTBEFORE(Table13[[#This Row],[Unit Price]]," "))</f>
        <v>3652</v>
      </c>
      <c r="AA49" s="23" t="str">
        <f>RIGHT(Table13[[#This Row],[Unit Price]],LEN(Table13[[#This Row],[Unit Price]])-FIND(" ",Table13[[#This Row],[Unit Price]]))</f>
        <v>ZAR</v>
      </c>
      <c r="AB49" s="33" cm="1">
        <f t="array" ref="AB49">Table13[[#This Row],[Unit Price Value]]*_xlfn.XLOOKUP(Table13[[#This Row],[Unit Price Currency]],{"EUR","USD","GBP","BRL","CAD","CNY","AUD","ZAR","MXN","JPY","INR"},{1,0.86,1.15,0.15,0.63,0.12,0.56,0.05,0.05,0.01,0.01},NA())</f>
        <v>182.60000000000002</v>
      </c>
      <c r="AC49" s="32">
        <v>10</v>
      </c>
      <c r="AD49" s="32">
        <v>5</v>
      </c>
      <c r="AE49" s="20">
        <f>IF(Table13[[#This Row],[Discount (%)]]="",CHOOSE(MATCH(MOD(Table13[[#This Row],[Sales Rep ID]],3)+1,{1,2,3},0),5,10,15),Table13[[#This Row],[Discount (%)]])</f>
        <v>5</v>
      </c>
      <c r="AF49" s="38">
        <f>Table13[[#This Row],[Unit Price (EUR)]]*Table13[[#This Row],[Units Sold]]</f>
        <v>1826.0000000000002</v>
      </c>
      <c r="AG49" s="38">
        <f>Table13[[#This Row],[Gross Price (Euro)]]*Table13[[#This Row],[Calc Discount (%)]]/100</f>
        <v>91.300000000000011</v>
      </c>
      <c r="AH49" s="39">
        <f>Table13[[#This Row],[Gross Price (Euro)]]-Table13[[#This Row],[Discount Value (Euro)]]</f>
        <v>1734.7000000000003</v>
      </c>
    </row>
    <row r="50" spans="1:34" x14ac:dyDescent="0.25">
      <c r="A50" s="43">
        <v>49</v>
      </c>
      <c r="B50" s="23" t="s">
        <v>45</v>
      </c>
      <c r="C50" s="23" t="s">
        <v>46</v>
      </c>
      <c r="D50" s="23" t="str">
        <f>_xlfn.TEXTJOIN(" ",,Table13[[#This Row],[Rep First Name]],Table13[[#This Row],[Rep Last Name]])</f>
        <v>Jonas Fischer</v>
      </c>
      <c r="E50" s="23" t="s">
        <v>23</v>
      </c>
      <c r="F50" s="23" t="str">
        <f>IF(LEN(Table13[[#This Row],[Month]]) &gt; 0, LEFT(Table13[[#This Row],[Month]], 3), "")</f>
        <v>Mar</v>
      </c>
      <c r="G50" s="23" t="s">
        <v>16</v>
      </c>
      <c r="H50" s="23" t="s">
        <v>32</v>
      </c>
      <c r="I50" s="44">
        <f>IF(ISNUMBER(SEARCH("km/h",Table13[[#This Row],[Min Speed]])),VALUE(_xlfn.TEXTBEFORE(Table13[[#This Row],[Min Speed]]," ")),ROUND(VALUE(_xlfn.TEXTBEFORE(Table13[[#This Row],[Min Speed]]," "))*1.60934,0))</f>
        <v>30</v>
      </c>
      <c r="J50" s="44">
        <f>ROUND(IF(ISNUMBER(SEARCH("km/h",Table13[[#This Row],[Min Speed]])),Table13[[#This Row],[Min Speed (km/h)]]*0.621371,VALUE(_xlfn.TEXTBEFORE(Table13[[#This Row],[Min Speed]]," "))),0)</f>
        <v>19</v>
      </c>
      <c r="K50" s="23" t="s">
        <v>25</v>
      </c>
      <c r="L50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50" s="44">
        <f>IF(ISNUMBER(SEARCH("mph",Table13[[#This Row],[Max Speed]])),--_xlfn.TEXTBEFORE(Table13[[#This Row],[Max Speed]]," mph"),ROUND(--_xlfn.TEXTBEFORE(Table13[[#This Row],[Max Speed]]," km/h")*0.621371,0))</f>
        <v>150</v>
      </c>
      <c r="N50" s="23" t="s">
        <v>26</v>
      </c>
      <c r="O5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50" s="42" t="str">
        <f>TEXT(Table13[[#This Row],[Min Speed (km/h)]],"0")&amp;" - "&amp;TEXT(Table13[[#This Row],[Max Speed (km/h)]],"0")&amp;""</f>
        <v>30 - 241</v>
      </c>
      <c r="Q50" s="46">
        <f>IF(Table13[[#This Row],[Distance (km)]]="", AVERAGE(Table13[Distance (km)]), Table13[[#This Row],[Distance (km)]])</f>
        <v>482.80200000000002</v>
      </c>
      <c r="R50" s="23" t="s">
        <v>134</v>
      </c>
      <c r="S50" s="42" t="str" cm="1">
        <f t="array" ref="S50">TRIM(INDEX(_xlfn.TEXTSPLIT(Table13[[#This Row],[Shipping Address]],","),1))</f>
        <v>789 Loop Street</v>
      </c>
      <c r="T50" s="42" t="str" cm="1">
        <f t="array" ref="T50">TRIM(INDEX(_xlfn.TEXTSPLIT(Table13[[#This Row],[Shipping Address]],","),2))</f>
        <v>Durban</v>
      </c>
      <c r="U50" s="42" t="str" cm="1">
        <f t="array" ref="U50">TRIM(INDEX(_xlfn.TEXTSPLIT(Table13[[#This Row],[Shipping Address]],","),3))</f>
        <v>8000</v>
      </c>
      <c r="V50" s="23" t="s">
        <v>130</v>
      </c>
      <c r="W50" s="42" t="str" cm="1">
        <f t="array" ref="W50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50" s="42" t="str" cm="1">
        <f t="array" ref="X50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50" s="23" t="s">
        <v>135</v>
      </c>
      <c r="Z50" s="33">
        <f>_xlfn.NUMBERVALUE(_xlfn.TEXTBEFORE(Table13[[#This Row],[Unit Price]]," "))</f>
        <v>4500</v>
      </c>
      <c r="AA50" s="23" t="str">
        <f>RIGHT(Table13[[#This Row],[Unit Price]],LEN(Table13[[#This Row],[Unit Price]])-FIND(" ",Table13[[#This Row],[Unit Price]]))</f>
        <v>ZAR</v>
      </c>
      <c r="AB50" s="33" cm="1">
        <f t="array" ref="AB50">Table13[[#This Row],[Unit Price Value]]*_xlfn.XLOOKUP(Table13[[#This Row],[Unit Price Currency]],{"EUR","USD","GBP","BRL","CAD","CNY","AUD","ZAR","MXN","JPY","INR"},{1,0.86,1.15,0.15,0.63,0.12,0.56,0.05,0.05,0.01,0.01},NA())</f>
        <v>225</v>
      </c>
      <c r="AC50" s="32">
        <v>7</v>
      </c>
      <c r="AD50" s="32">
        <v>5</v>
      </c>
      <c r="AE50" s="20">
        <f>IF(Table13[[#This Row],[Discount (%)]]="",CHOOSE(MATCH(MOD(Table13[[#This Row],[Sales Rep ID]],3)+1,{1,2,3},0),5,10,15),Table13[[#This Row],[Discount (%)]])</f>
        <v>5</v>
      </c>
      <c r="AF50" s="38">
        <f>Table13[[#This Row],[Unit Price (EUR)]]*Table13[[#This Row],[Units Sold]]</f>
        <v>1575</v>
      </c>
      <c r="AG50" s="38">
        <f>Table13[[#This Row],[Gross Price (Euro)]]*Table13[[#This Row],[Calc Discount (%)]]/100</f>
        <v>78.75</v>
      </c>
      <c r="AH50" s="39">
        <f>Table13[[#This Row],[Gross Price (Euro)]]-Table13[[#This Row],[Discount Value (Euro)]]</f>
        <v>1496.25</v>
      </c>
    </row>
    <row r="51" spans="1:34" x14ac:dyDescent="0.25">
      <c r="A51" s="43">
        <v>50</v>
      </c>
      <c r="B51" s="23" t="s">
        <v>45</v>
      </c>
      <c r="C51" s="23" t="s">
        <v>46</v>
      </c>
      <c r="D51" s="23" t="str">
        <f>_xlfn.TEXTJOIN(" ",,Table13[[#This Row],[Rep First Name]],Table13[[#This Row],[Rep Last Name]])</f>
        <v>Jonas Fischer</v>
      </c>
      <c r="E51" s="23" t="s">
        <v>15</v>
      </c>
      <c r="F51" s="23" t="str">
        <f>IF(LEN(Table13[[#This Row],[Month]]) &gt; 0, LEFT(Table13[[#This Row],[Month]], 3), "")</f>
        <v>Jun</v>
      </c>
      <c r="G51" s="23" t="s">
        <v>43</v>
      </c>
      <c r="H51" s="23" t="s">
        <v>48</v>
      </c>
      <c r="I51" s="44">
        <f>IF(ISNUMBER(SEARCH("km/h",Table13[[#This Row],[Min Speed]])),VALUE(_xlfn.TEXTBEFORE(Table13[[#This Row],[Min Speed]]," ")),ROUND(VALUE(_xlfn.TEXTBEFORE(Table13[[#This Row],[Min Speed]]," "))*1.60934,0))</f>
        <v>20</v>
      </c>
      <c r="J51" s="44">
        <f>ROUND(IF(ISNUMBER(SEARCH("km/h",Table13[[#This Row],[Min Speed]])),Table13[[#This Row],[Min Speed (km/h)]]*0.621371,VALUE(_xlfn.TEXTBEFORE(Table13[[#This Row],[Min Speed]]," "))),0)</f>
        <v>12</v>
      </c>
      <c r="K51" s="23" t="s">
        <v>44</v>
      </c>
      <c r="L51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51" s="44">
        <f>IF(ISNUMBER(SEARCH("mph",Table13[[#This Row],[Max Speed]])),--_xlfn.TEXTBEFORE(Table13[[#This Row],[Max Speed]]," mph"),ROUND(--_xlfn.TEXTBEFORE(Table13[[#This Row],[Max Speed]]," km/h")*0.621371,0))</f>
        <v>50</v>
      </c>
      <c r="N51" s="23" t="s">
        <v>19</v>
      </c>
      <c r="O5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51" s="42" t="str">
        <f>TEXT(Table13[[#This Row],[Min Speed (km/h)]],"0")&amp;" - "&amp;TEXT(Table13[[#This Row],[Max Speed (km/h)]],"0")&amp;""</f>
        <v>20 - 80</v>
      </c>
      <c r="Q51" s="46">
        <f>IF(Table13[[#This Row],[Distance (km)]]="", AVERAGE(Table13[Distance (km)]), Table13[[#This Row],[Distance (km)]])</f>
        <v>500</v>
      </c>
      <c r="R51" s="23" t="s">
        <v>136</v>
      </c>
      <c r="S51" s="42" t="str" cm="1">
        <f t="array" ref="S51">TRIM(INDEX(_xlfn.TEXTSPLIT(Table13[[#This Row],[Shipping Address]],","),1))</f>
        <v>321 Church Street</v>
      </c>
      <c r="T51" s="42" t="str" cm="1">
        <f t="array" ref="T51">TRIM(INDEX(_xlfn.TEXTSPLIT(Table13[[#This Row],[Shipping Address]],","),2))</f>
        <v>Pretoria</v>
      </c>
      <c r="U51" s="42" t="str" cm="1">
        <f t="array" ref="U51">TRIM(INDEX(_xlfn.TEXTSPLIT(Table13[[#This Row],[Shipping Address]],","),3))</f>
        <v>8001</v>
      </c>
      <c r="V51" s="23" t="s">
        <v>130</v>
      </c>
      <c r="W51" s="42" t="str" cm="1">
        <f t="array" ref="W51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51" s="42" t="str" cm="1">
        <f t="array" ref="X51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51" s="23" t="s">
        <v>137</v>
      </c>
      <c r="Z51" s="33">
        <f>_xlfn.NUMBERVALUE(_xlfn.TEXTBEFORE(Table13[[#This Row],[Unit Price]]," "))</f>
        <v>5478</v>
      </c>
      <c r="AA51" s="23" t="str">
        <f>RIGHT(Table13[[#This Row],[Unit Price]],LEN(Table13[[#This Row],[Unit Price]])-FIND(" ",Table13[[#This Row],[Unit Price]]))</f>
        <v>ZAR</v>
      </c>
      <c r="AB51" s="33" cm="1">
        <f t="array" ref="AB51">Table13[[#This Row],[Unit Price Value]]*_xlfn.XLOOKUP(Table13[[#This Row],[Unit Price Currency]],{"EUR","USD","GBP","BRL","CAD","CNY","AUD","ZAR","MXN","JPY","INR"},{1,0.86,1.15,0.15,0.63,0.12,0.56,0.05,0.05,0.01,0.01},NA())</f>
        <v>273.90000000000003</v>
      </c>
      <c r="AC51" s="32">
        <v>5</v>
      </c>
      <c r="AD51" s="32">
        <v>5</v>
      </c>
      <c r="AE51" s="20">
        <f>IF(Table13[[#This Row],[Discount (%)]]="",CHOOSE(MATCH(MOD(Table13[[#This Row],[Sales Rep ID]],3)+1,{1,2,3},0),5,10,15),Table13[[#This Row],[Discount (%)]])</f>
        <v>5</v>
      </c>
      <c r="AF51" s="38">
        <f>Table13[[#This Row],[Unit Price (EUR)]]*Table13[[#This Row],[Units Sold]]</f>
        <v>1369.5000000000002</v>
      </c>
      <c r="AG51" s="38">
        <f>Table13[[#This Row],[Gross Price (Euro)]]*Table13[[#This Row],[Calc Discount (%)]]/100</f>
        <v>68.475000000000009</v>
      </c>
      <c r="AH51" s="39">
        <f>Table13[[#This Row],[Gross Price (Euro)]]-Table13[[#This Row],[Discount Value (Euro)]]</f>
        <v>1301.0250000000003</v>
      </c>
    </row>
    <row r="52" spans="1:34" x14ac:dyDescent="0.25">
      <c r="A52" s="43">
        <v>51</v>
      </c>
      <c r="B52" s="23" t="s">
        <v>45</v>
      </c>
      <c r="C52" s="23" t="s">
        <v>46</v>
      </c>
      <c r="D52" s="23" t="str">
        <f>_xlfn.TEXTJOIN(" ",,Table13[[#This Row],[Rep First Name]],Table13[[#This Row],[Rep Last Name]])</f>
        <v>Jonas Fischer</v>
      </c>
      <c r="E52" s="23" t="s">
        <v>15</v>
      </c>
      <c r="F52" s="23" t="str">
        <f>IF(LEN(Table13[[#This Row],[Month]]) &gt; 0, LEFT(Table13[[#This Row],[Month]], 3), "")</f>
        <v>Jun</v>
      </c>
      <c r="G52" s="23" t="s">
        <v>27</v>
      </c>
      <c r="H52" s="23" t="s">
        <v>24</v>
      </c>
      <c r="I52" s="44">
        <f>IF(ISNUMBER(SEARCH("km/h",Table13[[#This Row],[Min Speed]])),VALUE(_xlfn.TEXTBEFORE(Table13[[#This Row],[Min Speed]]," ")),ROUND(VALUE(_xlfn.TEXTBEFORE(Table13[[#This Row],[Min Speed]]," "))*1.60934,0))</f>
        <v>80</v>
      </c>
      <c r="J52" s="44">
        <f>ROUND(IF(ISNUMBER(SEARCH("km/h",Table13[[#This Row],[Min Speed]])),Table13[[#This Row],[Min Speed (km/h)]]*0.621371,VALUE(_xlfn.TEXTBEFORE(Table13[[#This Row],[Min Speed]]," "))),0)</f>
        <v>50</v>
      </c>
      <c r="K52" s="23" t="s">
        <v>18</v>
      </c>
      <c r="L52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52" s="44">
        <f>IF(ISNUMBER(SEARCH("mph",Table13[[#This Row],[Max Speed]])),--_xlfn.TEXTBEFORE(Table13[[#This Row],[Max Speed]]," mph"),ROUND(--_xlfn.TEXTBEFORE(Table13[[#This Row],[Max Speed]]," km/h")*0.621371,0))</f>
        <v>75</v>
      </c>
      <c r="N52" s="23" t="s">
        <v>68</v>
      </c>
      <c r="O5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52" s="42" t="str">
        <f>TEXT(Table13[[#This Row],[Min Speed (km/h)]],"0")&amp;" - "&amp;TEXT(Table13[[#This Row],[Max Speed (km/h)]],"0")&amp;""</f>
        <v>80 - 120</v>
      </c>
      <c r="Q52" s="46">
        <f>IF(Table13[[#This Row],[Distance (km)]]="", AVERAGE(Table13[Distance (km)]), Table13[[#This Row],[Distance (km)]])</f>
        <v>600</v>
      </c>
      <c r="R52" s="23" t="s">
        <v>138</v>
      </c>
      <c r="S52" s="42" t="str" cm="1">
        <f t="array" ref="S52">TRIM(INDEX(_xlfn.TEXTSPLIT(Table13[[#This Row],[Shipping Address]],","),1))</f>
        <v>123 Shibuya Crossing</v>
      </c>
      <c r="T52" s="42" t="str" cm="1">
        <f t="array" ref="T52">TRIM(INDEX(_xlfn.TEXTSPLIT(Table13[[#This Row],[Shipping Address]],","),2))</f>
        <v>Tokyo</v>
      </c>
      <c r="U52" s="42" t="str" cm="1">
        <f t="array" ref="U52">TRIM(INDEX(_xlfn.TEXTSPLIT(Table13[[#This Row],[Shipping Address]],","),3))</f>
        <v>150-0002</v>
      </c>
      <c r="V52" s="23" t="s">
        <v>139</v>
      </c>
      <c r="W52" s="42" t="str" cm="1">
        <f t="array" ref="W52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52" s="42" t="str" cm="1">
        <f t="array" ref="X52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52" s="23" t="s">
        <v>140</v>
      </c>
      <c r="Z52" s="33">
        <f>_xlfn.NUMBERVALUE(_xlfn.TEXTBEFORE(Table13[[#This Row],[Unit Price]]," "))</f>
        <v>22313</v>
      </c>
      <c r="AA52" s="23" t="str">
        <f>RIGHT(Table13[[#This Row],[Unit Price]],LEN(Table13[[#This Row],[Unit Price]])-FIND(" ",Table13[[#This Row],[Unit Price]]))</f>
        <v>JPY</v>
      </c>
      <c r="AB52" s="33" cm="1">
        <f t="array" ref="AB52">Table13[[#This Row],[Unit Price Value]]*_xlfn.XLOOKUP(Table13[[#This Row],[Unit Price Currency]],{"EUR","USD","GBP","BRL","CAD","CNY","AUD","ZAR","MXN","JPY","INR"},{1,0.86,1.15,0.15,0.63,0.12,0.56,0.05,0.05,0.01,0.01},NA())</f>
        <v>223.13</v>
      </c>
      <c r="AC52" s="32">
        <v>18</v>
      </c>
      <c r="AD52" s="32">
        <v>10</v>
      </c>
      <c r="AE52" s="20">
        <f>IF(Table13[[#This Row],[Discount (%)]]="",CHOOSE(MATCH(MOD(Table13[[#This Row],[Sales Rep ID]],3)+1,{1,2,3},0),5,10,15),Table13[[#This Row],[Discount (%)]])</f>
        <v>10</v>
      </c>
      <c r="AF52" s="38">
        <f>Table13[[#This Row],[Unit Price (EUR)]]*Table13[[#This Row],[Units Sold]]</f>
        <v>4016.34</v>
      </c>
      <c r="AG52" s="38">
        <f>Table13[[#This Row],[Gross Price (Euro)]]*Table13[[#This Row],[Calc Discount (%)]]/100</f>
        <v>401.63400000000001</v>
      </c>
      <c r="AH52" s="39">
        <f>Table13[[#This Row],[Gross Price (Euro)]]-Table13[[#This Row],[Discount Value (Euro)]]</f>
        <v>3614.7060000000001</v>
      </c>
    </row>
    <row r="53" spans="1:34" x14ac:dyDescent="0.25">
      <c r="A53" s="43">
        <v>52</v>
      </c>
      <c r="B53" s="23" t="s">
        <v>59</v>
      </c>
      <c r="C53" s="23" t="s">
        <v>60</v>
      </c>
      <c r="D53" s="23" t="str">
        <f>_xlfn.TEXTJOIN(" ",,Table13[[#This Row],[Rep First Name]],Table13[[#This Row],[Rep Last Name]])</f>
        <v>Théo Bernard</v>
      </c>
      <c r="E53" s="23" t="s">
        <v>23</v>
      </c>
      <c r="F53" s="23" t="str">
        <f>IF(LEN(Table13[[#This Row],[Month]]) &gt; 0, LEFT(Table13[[#This Row],[Month]], 3), "")</f>
        <v>Mar</v>
      </c>
      <c r="G53" s="23" t="s">
        <v>67</v>
      </c>
      <c r="H53" s="23" t="s">
        <v>17</v>
      </c>
      <c r="I53" s="44">
        <f>IF(ISNUMBER(SEARCH("km/h",Table13[[#This Row],[Min Speed]])),VALUE(_xlfn.TEXTBEFORE(Table13[[#This Row],[Min Speed]]," ")),ROUND(VALUE(_xlfn.TEXTBEFORE(Table13[[#This Row],[Min Speed]]," "))*1.60934,0))</f>
        <v>64</v>
      </c>
      <c r="J53" s="44">
        <f>ROUND(IF(ISNUMBER(SEARCH("km/h",Table13[[#This Row],[Min Speed]])),Table13[[#This Row],[Min Speed (km/h)]]*0.621371,VALUE(_xlfn.TEXTBEFORE(Table13[[#This Row],[Min Speed]]," "))),0)</f>
        <v>40</v>
      </c>
      <c r="K53" s="23" t="s">
        <v>25</v>
      </c>
      <c r="L53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53" s="44">
        <f>IF(ISNUMBER(SEARCH("mph",Table13[[#This Row],[Max Speed]])),--_xlfn.TEXTBEFORE(Table13[[#This Row],[Max Speed]]," mph"),ROUND(--_xlfn.TEXTBEFORE(Table13[[#This Row],[Max Speed]]," km/h")*0.621371,0))</f>
        <v>150</v>
      </c>
      <c r="N53" s="23" t="s">
        <v>26</v>
      </c>
      <c r="O5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53" s="42" t="str">
        <f>TEXT(Table13[[#This Row],[Min Speed (km/h)]],"0")&amp;" - "&amp;TEXT(Table13[[#This Row],[Max Speed (km/h)]],"0")&amp;""</f>
        <v>64 - 241</v>
      </c>
      <c r="Q53" s="46">
        <f>IF(Table13[[#This Row],[Distance (km)]]="", AVERAGE(Table13[Distance (km)]), Table13[[#This Row],[Distance (km)]])</f>
        <v>482.80200000000002</v>
      </c>
      <c r="R53" s="23" t="s">
        <v>141</v>
      </c>
      <c r="S53" s="42" t="str" cm="1">
        <f t="array" ref="S53">TRIM(INDEX(_xlfn.TEXTSPLIT(Table13[[#This Row],[Shipping Address]],","),1))</f>
        <v>456 Akihabara</v>
      </c>
      <c r="T53" s="42" t="str" cm="1">
        <f t="array" ref="T53">TRIM(INDEX(_xlfn.TEXTSPLIT(Table13[[#This Row],[Shipping Address]],","),2))</f>
        <v>Osaka</v>
      </c>
      <c r="U53" s="42" t="str" cm="1">
        <f t="array" ref="U53">TRIM(INDEX(_xlfn.TEXTSPLIT(Table13[[#This Row],[Shipping Address]],","),3))</f>
        <v>110-0006</v>
      </c>
      <c r="V53" s="23" t="s">
        <v>139</v>
      </c>
      <c r="W53" s="42" t="str" cm="1">
        <f t="array" ref="W53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53" s="42" t="str" cm="1">
        <f t="array" ref="X53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53" s="23" t="s">
        <v>142</v>
      </c>
      <c r="Z53" s="33">
        <f>_xlfn.NUMBERVALUE(_xlfn.TEXTBEFORE(Table13[[#This Row],[Unit Price]]," "))</f>
        <v>29750</v>
      </c>
      <c r="AA53" s="23" t="str">
        <f>RIGHT(Table13[[#This Row],[Unit Price]],LEN(Table13[[#This Row],[Unit Price]])-FIND(" ",Table13[[#This Row],[Unit Price]]))</f>
        <v>JPY</v>
      </c>
      <c r="AB53" s="33" cm="1">
        <f t="array" ref="AB53">Table13[[#This Row],[Unit Price Value]]*_xlfn.XLOOKUP(Table13[[#This Row],[Unit Price Currency]],{"EUR","USD","GBP","BRL","CAD","CNY","AUD","ZAR","MXN","JPY","INR"},{1,0.86,1.15,0.15,0.63,0.12,0.56,0.05,0.05,0.01,0.01},NA())</f>
        <v>297.5</v>
      </c>
      <c r="AC53" s="32">
        <v>15</v>
      </c>
      <c r="AD53" s="32">
        <v>15</v>
      </c>
      <c r="AE53" s="20">
        <f>IF(Table13[[#This Row],[Discount (%)]]="",CHOOSE(MATCH(MOD(Table13[[#This Row],[Sales Rep ID]],3)+1,{1,2,3},0),5,10,15),Table13[[#This Row],[Discount (%)]])</f>
        <v>15</v>
      </c>
      <c r="AF53" s="38">
        <f>Table13[[#This Row],[Unit Price (EUR)]]*Table13[[#This Row],[Units Sold]]</f>
        <v>4462.5</v>
      </c>
      <c r="AG53" s="38">
        <f>Table13[[#This Row],[Gross Price (Euro)]]*Table13[[#This Row],[Calc Discount (%)]]/100</f>
        <v>669.375</v>
      </c>
      <c r="AH53" s="39">
        <f>Table13[[#This Row],[Gross Price (Euro)]]-Table13[[#This Row],[Discount Value (Euro)]]</f>
        <v>3793.125</v>
      </c>
    </row>
    <row r="54" spans="1:34" x14ac:dyDescent="0.25">
      <c r="A54" s="43">
        <v>53</v>
      </c>
      <c r="B54" s="23" t="s">
        <v>59</v>
      </c>
      <c r="C54" s="23" t="s">
        <v>60</v>
      </c>
      <c r="D54" s="23" t="str">
        <f>_xlfn.TEXTJOIN(" ",,Table13[[#This Row],[Rep First Name]],Table13[[#This Row],[Rep Last Name]])</f>
        <v>Théo Bernard</v>
      </c>
      <c r="E54" s="23" t="s">
        <v>15</v>
      </c>
      <c r="F54" s="23" t="str">
        <f>IF(LEN(Table13[[#This Row],[Month]]) &gt; 0, LEFT(Table13[[#This Row],[Month]], 3), "")</f>
        <v>Jun</v>
      </c>
      <c r="G54" s="23" t="s">
        <v>27</v>
      </c>
      <c r="H54" s="23" t="s">
        <v>17</v>
      </c>
      <c r="I54" s="44">
        <f>IF(ISNUMBER(SEARCH("km/h",Table13[[#This Row],[Min Speed]])),VALUE(_xlfn.TEXTBEFORE(Table13[[#This Row],[Min Speed]]," ")),ROUND(VALUE(_xlfn.TEXTBEFORE(Table13[[#This Row],[Min Speed]]," "))*1.60934,0))</f>
        <v>64</v>
      </c>
      <c r="J54" s="44">
        <f>ROUND(IF(ISNUMBER(SEARCH("km/h",Table13[[#This Row],[Min Speed]])),Table13[[#This Row],[Min Speed (km/h)]]*0.621371,VALUE(_xlfn.TEXTBEFORE(Table13[[#This Row],[Min Speed]]," "))),0)</f>
        <v>40</v>
      </c>
      <c r="K54" s="23" t="s">
        <v>18</v>
      </c>
      <c r="L54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54" s="44">
        <f>IF(ISNUMBER(SEARCH("mph",Table13[[#This Row],[Max Speed]])),--_xlfn.TEXTBEFORE(Table13[[#This Row],[Max Speed]]," mph"),ROUND(--_xlfn.TEXTBEFORE(Table13[[#This Row],[Max Speed]]," km/h")*0.621371,0))</f>
        <v>75</v>
      </c>
      <c r="N54" s="23" t="s">
        <v>26</v>
      </c>
      <c r="O5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54" s="42" t="str">
        <f>TEXT(Table13[[#This Row],[Min Speed (km/h)]],"0")&amp;" - "&amp;TEXT(Table13[[#This Row],[Max Speed (km/h)]],"0")&amp;""</f>
        <v>64 - 120</v>
      </c>
      <c r="Q54" s="46">
        <f>IF(Table13[[#This Row],[Distance (km)]]="", AVERAGE(Table13[Distance (km)]), Table13[[#This Row],[Distance (km)]])</f>
        <v>482.80200000000002</v>
      </c>
      <c r="R54" s="23" t="s">
        <v>143</v>
      </c>
      <c r="S54" s="42" t="str" cm="1">
        <f t="array" ref="S54">TRIM(INDEX(_xlfn.TEXTSPLIT(Table13[[#This Row],[Shipping Address]],","),1))</f>
        <v>789 Roppongi Hills</v>
      </c>
      <c r="T54" s="42" t="str" cm="1">
        <f t="array" ref="T54">TRIM(INDEX(_xlfn.TEXTSPLIT(Table13[[#This Row],[Shipping Address]],","),2))</f>
        <v>Yokohama</v>
      </c>
      <c r="U54" s="42" t="str" cm="1">
        <f t="array" ref="U54">TRIM(INDEX(_xlfn.TEXTSPLIT(Table13[[#This Row],[Shipping Address]],","),3))</f>
        <v>106-0032</v>
      </c>
      <c r="V54" s="23" t="s">
        <v>139</v>
      </c>
      <c r="W54" s="42" t="str" cm="1">
        <f t="array" ref="W54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54" s="42" t="str" cm="1">
        <f t="array" ref="X54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54" s="23" t="s">
        <v>144</v>
      </c>
      <c r="Z54" s="33">
        <f>_xlfn.NUMBERVALUE(_xlfn.TEXTBEFORE(Table13[[#This Row],[Unit Price]]," "))</f>
        <v>37188</v>
      </c>
      <c r="AA54" s="23" t="str">
        <f>RIGHT(Table13[[#This Row],[Unit Price]],LEN(Table13[[#This Row],[Unit Price]])-FIND(" ",Table13[[#This Row],[Unit Price]]))</f>
        <v>JPY</v>
      </c>
      <c r="AB54" s="33" cm="1">
        <f t="array" ref="AB54">Table13[[#This Row],[Unit Price Value]]*_xlfn.XLOOKUP(Table13[[#This Row],[Unit Price Currency]],{"EUR","USD","GBP","BRL","CAD","CNY","AUD","ZAR","MXN","JPY","INR"},{1,0.86,1.15,0.15,0.63,0.12,0.56,0.05,0.05,0.01,0.01},NA())</f>
        <v>371.88</v>
      </c>
      <c r="AC54" s="32">
        <v>12</v>
      </c>
      <c r="AD54" s="32">
        <v>5</v>
      </c>
      <c r="AE54" s="20">
        <f>IF(Table13[[#This Row],[Discount (%)]]="",CHOOSE(MATCH(MOD(Table13[[#This Row],[Sales Rep ID]],3)+1,{1,2,3},0),5,10,15),Table13[[#This Row],[Discount (%)]])</f>
        <v>5</v>
      </c>
      <c r="AF54" s="38">
        <f>Table13[[#This Row],[Unit Price (EUR)]]*Table13[[#This Row],[Units Sold]]</f>
        <v>4462.5599999999995</v>
      </c>
      <c r="AG54" s="38">
        <f>Table13[[#This Row],[Gross Price (Euro)]]*Table13[[#This Row],[Calc Discount (%)]]/100</f>
        <v>223.12799999999996</v>
      </c>
      <c r="AH54" s="39">
        <f>Table13[[#This Row],[Gross Price (Euro)]]-Table13[[#This Row],[Discount Value (Euro)]]</f>
        <v>4239.4319999999998</v>
      </c>
    </row>
    <row r="55" spans="1:34" x14ac:dyDescent="0.25">
      <c r="A55" s="43">
        <v>54</v>
      </c>
      <c r="B55" s="23" t="s">
        <v>59</v>
      </c>
      <c r="C55" s="23" t="s">
        <v>60</v>
      </c>
      <c r="D55" s="23" t="str">
        <f>_xlfn.TEXTJOIN(" ",,Table13[[#This Row],[Rep First Name]],Table13[[#This Row],[Rep Last Name]])</f>
        <v>Théo Bernard</v>
      </c>
      <c r="E55" s="23" t="s">
        <v>23</v>
      </c>
      <c r="F55" s="23" t="str">
        <f>IF(LEN(Table13[[#This Row],[Month]]) &gt; 0, LEFT(Table13[[#This Row],[Month]], 3), "")</f>
        <v>Mar</v>
      </c>
      <c r="G55" s="23" t="s">
        <v>67</v>
      </c>
      <c r="H55" s="23" t="s">
        <v>32</v>
      </c>
      <c r="I55" s="44">
        <f>IF(ISNUMBER(SEARCH("km/h",Table13[[#This Row],[Min Speed]])),VALUE(_xlfn.TEXTBEFORE(Table13[[#This Row],[Min Speed]]," ")),ROUND(VALUE(_xlfn.TEXTBEFORE(Table13[[#This Row],[Min Speed]]," "))*1.60934,0))</f>
        <v>30</v>
      </c>
      <c r="J55" s="44">
        <f>ROUND(IF(ISNUMBER(SEARCH("km/h",Table13[[#This Row],[Min Speed]])),Table13[[#This Row],[Min Speed (km/h)]]*0.621371,VALUE(_xlfn.TEXTBEFORE(Table13[[#This Row],[Min Speed]]," "))),0)</f>
        <v>19</v>
      </c>
      <c r="K55" s="23" t="s">
        <v>25</v>
      </c>
      <c r="L55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55" s="44">
        <f>IF(ISNUMBER(SEARCH("mph",Table13[[#This Row],[Max Speed]])),--_xlfn.TEXTBEFORE(Table13[[#This Row],[Max Speed]]," mph"),ROUND(--_xlfn.TEXTBEFORE(Table13[[#This Row],[Max Speed]]," km/h")*0.621371,0))</f>
        <v>150</v>
      </c>
      <c r="N55" s="23" t="s">
        <v>26</v>
      </c>
      <c r="O5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55" s="42" t="str">
        <f>TEXT(Table13[[#This Row],[Min Speed (km/h)]],"0")&amp;" - "&amp;TEXT(Table13[[#This Row],[Max Speed (km/h)]],"0")&amp;""</f>
        <v>30 - 241</v>
      </c>
      <c r="Q55" s="46">
        <f>IF(Table13[[#This Row],[Distance (km)]]="", AVERAGE(Table13[Distance (km)]), Table13[[#This Row],[Distance (km)]])</f>
        <v>482.80200000000002</v>
      </c>
      <c r="R55" s="23" t="s">
        <v>143</v>
      </c>
      <c r="S55" s="42" t="str" cm="1">
        <f t="array" ref="S55">TRIM(INDEX(_xlfn.TEXTSPLIT(Table13[[#This Row],[Shipping Address]],","),1))</f>
        <v>789 Roppongi Hills</v>
      </c>
      <c r="T55" s="42" t="str" cm="1">
        <f t="array" ref="T55">TRIM(INDEX(_xlfn.TEXTSPLIT(Table13[[#This Row],[Shipping Address]],","),2))</f>
        <v>Yokohama</v>
      </c>
      <c r="U55" s="42" t="str" cm="1">
        <f t="array" ref="U55">TRIM(INDEX(_xlfn.TEXTSPLIT(Table13[[#This Row],[Shipping Address]],","),3))</f>
        <v>106-0032</v>
      </c>
      <c r="V55" s="23" t="s">
        <v>139</v>
      </c>
      <c r="W55" s="42" t="str" cm="1">
        <f t="array" ref="W55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55" s="42" t="str" cm="1">
        <f t="array" ref="X55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55" s="23" t="s">
        <v>144</v>
      </c>
      <c r="Z55" s="33">
        <f>_xlfn.NUMBERVALUE(_xlfn.TEXTBEFORE(Table13[[#This Row],[Unit Price]]," "))</f>
        <v>37188</v>
      </c>
      <c r="AA55" s="23" t="str">
        <f>RIGHT(Table13[[#This Row],[Unit Price]],LEN(Table13[[#This Row],[Unit Price]])-FIND(" ",Table13[[#This Row],[Unit Price]]))</f>
        <v>JPY</v>
      </c>
      <c r="AB55" s="33" cm="1">
        <f t="array" ref="AB55">Table13[[#This Row],[Unit Price Value]]*_xlfn.XLOOKUP(Table13[[#This Row],[Unit Price Currency]],{"EUR","USD","GBP","BRL","CAD","CNY","AUD","ZAR","MXN","JPY","INR"},{1,0.86,1.15,0.15,0.63,0.12,0.56,0.05,0.05,0.01,0.01},NA())</f>
        <v>371.88</v>
      </c>
      <c r="AC55" s="32">
        <v>12</v>
      </c>
      <c r="AD55" s="32">
        <v>10</v>
      </c>
      <c r="AE55" s="20">
        <f>IF(Table13[[#This Row],[Discount (%)]]="",CHOOSE(MATCH(MOD(Table13[[#This Row],[Sales Rep ID]],3)+1,{1,2,3},0),5,10,15),Table13[[#This Row],[Discount (%)]])</f>
        <v>10</v>
      </c>
      <c r="AF55" s="38">
        <f>Table13[[#This Row],[Unit Price (EUR)]]*Table13[[#This Row],[Units Sold]]</f>
        <v>4462.5599999999995</v>
      </c>
      <c r="AG55" s="38">
        <f>Table13[[#This Row],[Gross Price (Euro)]]*Table13[[#This Row],[Calc Discount (%)]]/100</f>
        <v>446.25599999999991</v>
      </c>
      <c r="AH55" s="39">
        <f>Table13[[#This Row],[Gross Price (Euro)]]-Table13[[#This Row],[Discount Value (Euro)]]</f>
        <v>4016.3039999999996</v>
      </c>
    </row>
    <row r="56" spans="1:34" x14ac:dyDescent="0.25">
      <c r="A56" s="43">
        <v>55</v>
      </c>
      <c r="B56" s="23" t="s">
        <v>13</v>
      </c>
      <c r="C56" s="23" t="s">
        <v>14</v>
      </c>
      <c r="D56" s="23" t="str">
        <f>_xlfn.TEXTJOIN(" ",,Table13[[#This Row],[Rep First Name]],Table13[[#This Row],[Rep Last Name]])</f>
        <v>Sanya Joshi</v>
      </c>
      <c r="E56" s="23" t="s">
        <v>76</v>
      </c>
      <c r="F56" s="23" t="str">
        <f>IF(LEN(Table13[[#This Row],[Month]]) &gt; 0, LEFT(Table13[[#This Row],[Month]], 3), "")</f>
        <v>May</v>
      </c>
      <c r="G56" s="23" t="s">
        <v>43</v>
      </c>
      <c r="H56" s="23" t="s">
        <v>17</v>
      </c>
      <c r="I56" s="44">
        <f>IF(ISNUMBER(SEARCH("km/h",Table13[[#This Row],[Min Speed]])),VALUE(_xlfn.TEXTBEFORE(Table13[[#This Row],[Min Speed]]," ")),ROUND(VALUE(_xlfn.TEXTBEFORE(Table13[[#This Row],[Min Speed]]," "))*1.60934,0))</f>
        <v>64</v>
      </c>
      <c r="J56" s="44">
        <f>ROUND(IF(ISNUMBER(SEARCH("km/h",Table13[[#This Row],[Min Speed]])),Table13[[#This Row],[Min Speed (km/h)]]*0.621371,VALUE(_xlfn.TEXTBEFORE(Table13[[#This Row],[Min Speed]]," "))),0)</f>
        <v>40</v>
      </c>
      <c r="K56" s="23" t="s">
        <v>55</v>
      </c>
      <c r="L56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56" s="44">
        <f>IF(ISNUMBER(SEARCH("mph",Table13[[#This Row],[Max Speed]])),--_xlfn.TEXTBEFORE(Table13[[#This Row],[Max Speed]]," mph"),ROUND(--_xlfn.TEXTBEFORE(Table13[[#This Row],[Max Speed]]," km/h")*0.621371,0))</f>
        <v>100</v>
      </c>
      <c r="N56" s="23" t="s">
        <v>26</v>
      </c>
      <c r="O5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56" s="42" t="str">
        <f>TEXT(Table13[[#This Row],[Min Speed (km/h)]],"0")&amp;" - "&amp;TEXT(Table13[[#This Row],[Max Speed (km/h)]],"0")&amp;""</f>
        <v>64 - 161</v>
      </c>
      <c r="Q56" s="46">
        <f>IF(Table13[[#This Row],[Distance (km)]]="", AVERAGE(Table13[Distance (km)]), Table13[[#This Row],[Distance (km)]])</f>
        <v>482.80200000000002</v>
      </c>
      <c r="R56" s="23" t="s">
        <v>145</v>
      </c>
      <c r="S56" s="42" t="str" cm="1">
        <f t="array" ref="S56">TRIM(INDEX(_xlfn.TEXTSPLIT(Table13[[#This Row],[Shipping Address]],","),1))</f>
        <v>321 Ginza</v>
      </c>
      <c r="T56" s="42" t="str" cm="1">
        <f t="array" ref="T56">TRIM(INDEX(_xlfn.TEXTSPLIT(Table13[[#This Row],[Shipping Address]],","),2))</f>
        <v>Nagoya</v>
      </c>
      <c r="U56" s="42" t="str" cm="1">
        <f t="array" ref="U56">TRIM(INDEX(_xlfn.TEXTSPLIT(Table13[[#This Row],[Shipping Address]],","),3))</f>
        <v>104-0061</v>
      </c>
      <c r="V56" s="23" t="s">
        <v>139</v>
      </c>
      <c r="W56" s="42" t="str" cm="1">
        <f t="array" ref="W56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56" s="42" t="str" cm="1">
        <f t="array" ref="X56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56" s="23" t="s">
        <v>146</v>
      </c>
      <c r="Z56" s="33">
        <f>_xlfn.NUMBERVALUE(_xlfn.TEXTBEFORE(Table13[[#This Row],[Unit Price]]," "))</f>
        <v>44625</v>
      </c>
      <c r="AA56" s="23" t="str">
        <f>RIGHT(Table13[[#This Row],[Unit Price]],LEN(Table13[[#This Row],[Unit Price]])-FIND(" ",Table13[[#This Row],[Unit Price]]))</f>
        <v>JPY</v>
      </c>
      <c r="AB56" s="33" cm="1">
        <f t="array" ref="AB56">Table13[[#This Row],[Unit Price Value]]*_xlfn.XLOOKUP(Table13[[#This Row],[Unit Price Currency]],{"EUR","USD","GBP","BRL","CAD","CNY","AUD","ZAR","MXN","JPY","INR"},{1,0.86,1.15,0.15,0.63,0.12,0.56,0.05,0.05,0.01,0.01},NA())</f>
        <v>446.25</v>
      </c>
      <c r="AC56" s="32">
        <v>8</v>
      </c>
      <c r="AD56" s="32"/>
      <c r="AE56" s="20">
        <f>IF(Table13[[#This Row],[Discount (%)]]="",CHOOSE(MATCH(MOD(Table13[[#This Row],[Sales Rep ID]],3)+1,{1,2,3},0),5,10,15),Table13[[#This Row],[Discount (%)]])</f>
        <v>10</v>
      </c>
      <c r="AF56" s="38">
        <f>Table13[[#This Row],[Unit Price (EUR)]]*Table13[[#This Row],[Units Sold]]</f>
        <v>3570</v>
      </c>
      <c r="AG56" s="38">
        <f>Table13[[#This Row],[Gross Price (Euro)]]*Table13[[#This Row],[Calc Discount (%)]]/100</f>
        <v>357</v>
      </c>
      <c r="AH56" s="39">
        <f>Table13[[#This Row],[Gross Price (Euro)]]-Table13[[#This Row],[Discount Value (Euro)]]</f>
        <v>3213</v>
      </c>
    </row>
    <row r="57" spans="1:34" x14ac:dyDescent="0.25">
      <c r="A57" s="43">
        <v>56</v>
      </c>
      <c r="B57" s="23" t="s">
        <v>13</v>
      </c>
      <c r="C57" s="23" t="s">
        <v>14</v>
      </c>
      <c r="D57" s="23" t="str">
        <f>_xlfn.TEXTJOIN(" ",,Table13[[#This Row],[Rep First Name]],Table13[[#This Row],[Rep Last Name]])</f>
        <v>Sanya Joshi</v>
      </c>
      <c r="E57" s="23" t="s">
        <v>76</v>
      </c>
      <c r="F57" s="23" t="str">
        <f>IF(LEN(Table13[[#This Row],[Month]]) &gt; 0, LEFT(Table13[[#This Row],[Month]], 3), "")</f>
        <v>May</v>
      </c>
      <c r="G57" s="23" t="s">
        <v>43</v>
      </c>
      <c r="H57" s="23" t="s">
        <v>32</v>
      </c>
      <c r="I57" s="44">
        <f>IF(ISNUMBER(SEARCH("km/h",Table13[[#This Row],[Min Speed]])),VALUE(_xlfn.TEXTBEFORE(Table13[[#This Row],[Min Speed]]," ")),ROUND(VALUE(_xlfn.TEXTBEFORE(Table13[[#This Row],[Min Speed]]," "))*1.60934,0))</f>
        <v>30</v>
      </c>
      <c r="J57" s="44">
        <f>ROUND(IF(ISNUMBER(SEARCH("km/h",Table13[[#This Row],[Min Speed]])),Table13[[#This Row],[Min Speed (km/h)]]*0.621371,VALUE(_xlfn.TEXTBEFORE(Table13[[#This Row],[Min Speed]]," "))),0)</f>
        <v>19</v>
      </c>
      <c r="K57" s="23" t="s">
        <v>25</v>
      </c>
      <c r="L5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57" s="44">
        <f>IF(ISNUMBER(SEARCH("mph",Table13[[#This Row],[Max Speed]])),--_xlfn.TEXTBEFORE(Table13[[#This Row],[Max Speed]]," mph"),ROUND(--_xlfn.TEXTBEFORE(Table13[[#This Row],[Max Speed]]," km/h")*0.621371,0))</f>
        <v>150</v>
      </c>
      <c r="N57" s="23" t="s">
        <v>19</v>
      </c>
      <c r="O5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57" s="42" t="str">
        <f>TEXT(Table13[[#This Row],[Min Speed (km/h)]],"0")&amp;" - "&amp;TEXT(Table13[[#This Row],[Max Speed (km/h)]],"0")&amp;""</f>
        <v>30 - 241</v>
      </c>
      <c r="Q57" s="46">
        <f>IF(Table13[[#This Row],[Distance (km)]]="", AVERAGE(Table13[Distance (km)]), Table13[[#This Row],[Distance (km)]])</f>
        <v>500</v>
      </c>
      <c r="R57" s="23" t="s">
        <v>20</v>
      </c>
      <c r="S57" s="42" t="str" cm="1">
        <f t="array" ref="S57">TRIM(INDEX(_xlfn.TEXTSPLIT(Table13[[#This Row],[Shipping Address]],","),1))</f>
        <v>1234 Maple Street</v>
      </c>
      <c r="T57" s="42" t="str" cm="1">
        <f t="array" ref="T57">TRIM(INDEX(_xlfn.TEXTSPLIT(Table13[[#This Row],[Shipping Address]],","),2))</f>
        <v>Los Angeles</v>
      </c>
      <c r="U57" s="42" t="str" cm="1">
        <f t="array" ref="U57">TRIM(INDEX(_xlfn.TEXTSPLIT(Table13[[#This Row],[Shipping Address]],","),3))</f>
        <v>90210</v>
      </c>
      <c r="V57" s="23" t="s">
        <v>21</v>
      </c>
      <c r="W57" s="42" t="str" cm="1">
        <f t="array" ref="W57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57" s="42" t="str" cm="1">
        <f t="array" ref="X57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57" s="23" t="s">
        <v>22</v>
      </c>
      <c r="Z57" s="33">
        <f>_xlfn.NUMBERVALUE(_xlfn.TEXTBEFORE(Table13[[#This Row],[Unit Price]]," "))</f>
        <v>150</v>
      </c>
      <c r="AA57" s="23" t="str">
        <f>RIGHT(Table13[[#This Row],[Unit Price]],LEN(Table13[[#This Row],[Unit Price]])-FIND(" ",Table13[[#This Row],[Unit Price]]))</f>
        <v>USD</v>
      </c>
      <c r="AB57" s="33" cm="1">
        <f t="array" ref="AB57">Table13[[#This Row],[Unit Price Value]]*_xlfn.XLOOKUP(Table13[[#This Row],[Unit Price Currency]],{"EUR","USD","GBP","BRL","CAD","CNY","AUD","ZAR","MXN","JPY","INR"},{1,0.86,1.15,0.15,0.63,0.12,0.56,0.05,0.05,0.01,0.01},NA())</f>
        <v>129</v>
      </c>
      <c r="AC57" s="32">
        <v>18</v>
      </c>
      <c r="AD57" s="32">
        <v>15</v>
      </c>
      <c r="AE57" s="20">
        <f>IF(Table13[[#This Row],[Discount (%)]]="",CHOOSE(MATCH(MOD(Table13[[#This Row],[Sales Rep ID]],3)+1,{1,2,3},0),5,10,15),Table13[[#This Row],[Discount (%)]])</f>
        <v>15</v>
      </c>
      <c r="AF57" s="38">
        <f>Table13[[#This Row],[Unit Price (EUR)]]*Table13[[#This Row],[Units Sold]]</f>
        <v>2322</v>
      </c>
      <c r="AG57" s="38">
        <f>Table13[[#This Row],[Gross Price (Euro)]]*Table13[[#This Row],[Calc Discount (%)]]/100</f>
        <v>348.3</v>
      </c>
      <c r="AH57" s="39">
        <f>Table13[[#This Row],[Gross Price (Euro)]]-Table13[[#This Row],[Discount Value (Euro)]]</f>
        <v>1973.7</v>
      </c>
    </row>
    <row r="58" spans="1:34" x14ac:dyDescent="0.25">
      <c r="A58" s="43">
        <v>57</v>
      </c>
      <c r="B58" s="23" t="s">
        <v>13</v>
      </c>
      <c r="C58" s="23" t="s">
        <v>14</v>
      </c>
      <c r="D58" s="23" t="str">
        <f>_xlfn.TEXTJOIN(" ",,Table13[[#This Row],[Rep First Name]],Table13[[#This Row],[Rep Last Name]])</f>
        <v>Sanya Joshi</v>
      </c>
      <c r="E58" s="23" t="s">
        <v>47</v>
      </c>
      <c r="F58" s="23" t="str">
        <f>IF(LEN(Table13[[#This Row],[Month]]) &gt; 0, LEFT(Table13[[#This Row],[Month]], 3), "")</f>
        <v>Apr</v>
      </c>
      <c r="G58" s="23" t="s">
        <v>27</v>
      </c>
      <c r="H58" s="23" t="s">
        <v>24</v>
      </c>
      <c r="I58" s="44">
        <f>IF(ISNUMBER(SEARCH("km/h",Table13[[#This Row],[Min Speed]])),VALUE(_xlfn.TEXTBEFORE(Table13[[#This Row],[Min Speed]]," ")),ROUND(VALUE(_xlfn.TEXTBEFORE(Table13[[#This Row],[Min Speed]]," "))*1.60934,0))</f>
        <v>80</v>
      </c>
      <c r="J58" s="44">
        <f>ROUND(IF(ISNUMBER(SEARCH("km/h",Table13[[#This Row],[Min Speed]])),Table13[[#This Row],[Min Speed (km/h)]]*0.621371,VALUE(_xlfn.TEXTBEFORE(Table13[[#This Row],[Min Speed]]," "))),0)</f>
        <v>50</v>
      </c>
      <c r="K58" s="23" t="s">
        <v>25</v>
      </c>
      <c r="L58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58" s="44">
        <f>IF(ISNUMBER(SEARCH("mph",Table13[[#This Row],[Max Speed]])),--_xlfn.TEXTBEFORE(Table13[[#This Row],[Max Speed]]," mph"),ROUND(--_xlfn.TEXTBEFORE(Table13[[#This Row],[Max Speed]]," km/h")*0.621371,0))</f>
        <v>150</v>
      </c>
      <c r="N58" s="23" t="s">
        <v>68</v>
      </c>
      <c r="O5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58" s="42" t="str">
        <f>TEXT(Table13[[#This Row],[Min Speed (km/h)]],"0")&amp;" - "&amp;TEXT(Table13[[#This Row],[Max Speed (km/h)]],"0")&amp;""</f>
        <v>80 - 241</v>
      </c>
      <c r="Q58" s="46">
        <f>IF(Table13[[#This Row],[Distance (km)]]="", AVERAGE(Table13[Distance (km)]), Table13[[#This Row],[Distance (km)]])</f>
        <v>600</v>
      </c>
      <c r="R58" s="23" t="s">
        <v>29</v>
      </c>
      <c r="S58" s="42" t="str" cm="1">
        <f t="array" ref="S58">TRIM(INDEX(_xlfn.TEXTSPLIT(Table13[[#This Row],[Shipping Address]],","),1))</f>
        <v>5678 Oak Avenue</v>
      </c>
      <c r="T58" s="42" t="str" cm="1">
        <f t="array" ref="T58">TRIM(INDEX(_xlfn.TEXTSPLIT(Table13[[#This Row],[Shipping Address]],","),2))</f>
        <v>New York</v>
      </c>
      <c r="U58" s="42" t="str" cm="1">
        <f t="array" ref="U58">TRIM(INDEX(_xlfn.TEXTSPLIT(Table13[[#This Row],[Shipping Address]],","),3))</f>
        <v>10001</v>
      </c>
      <c r="V58" s="23" t="s">
        <v>21</v>
      </c>
      <c r="W58" s="42" t="str" cm="1">
        <f t="array" ref="W58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58" s="42" t="str" cm="1">
        <f t="array" ref="X58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58" s="23" t="s">
        <v>30</v>
      </c>
      <c r="Z58" s="33">
        <f>_xlfn.NUMBERVALUE(_xlfn.TEXTBEFORE(Table13[[#This Row],[Unit Price]]," "))</f>
        <v>200</v>
      </c>
      <c r="AA58" s="23" t="str">
        <f>RIGHT(Table13[[#This Row],[Unit Price]],LEN(Table13[[#This Row],[Unit Price]])-FIND(" ",Table13[[#This Row],[Unit Price]]))</f>
        <v>USD</v>
      </c>
      <c r="AB58" s="33" cm="1">
        <f t="array" ref="AB58">Table13[[#This Row],[Unit Price Value]]*_xlfn.XLOOKUP(Table13[[#This Row],[Unit Price Currency]],{"EUR","USD","GBP","BRL","CAD","CNY","AUD","ZAR","MXN","JPY","INR"},{1,0.86,1.15,0.15,0.63,0.12,0.56,0.05,0.05,0.01,0.01},NA())</f>
        <v>172</v>
      </c>
      <c r="AC58" s="32">
        <v>12</v>
      </c>
      <c r="AD58" s="32">
        <v>10</v>
      </c>
      <c r="AE58" s="20">
        <f>IF(Table13[[#This Row],[Discount (%)]]="",CHOOSE(MATCH(MOD(Table13[[#This Row],[Sales Rep ID]],3)+1,{1,2,3},0),5,10,15),Table13[[#This Row],[Discount (%)]])</f>
        <v>10</v>
      </c>
      <c r="AF58" s="38">
        <f>Table13[[#This Row],[Unit Price (EUR)]]*Table13[[#This Row],[Units Sold]]</f>
        <v>2064</v>
      </c>
      <c r="AG58" s="38">
        <f>Table13[[#This Row],[Gross Price (Euro)]]*Table13[[#This Row],[Calc Discount (%)]]/100</f>
        <v>206.4</v>
      </c>
      <c r="AH58" s="39">
        <f>Table13[[#This Row],[Gross Price (Euro)]]-Table13[[#This Row],[Discount Value (Euro)]]</f>
        <v>1857.6</v>
      </c>
    </row>
    <row r="59" spans="1:34" x14ac:dyDescent="0.25">
      <c r="A59" s="43">
        <v>58</v>
      </c>
      <c r="B59" s="23" t="s">
        <v>35</v>
      </c>
      <c r="C59" s="23" t="s">
        <v>36</v>
      </c>
      <c r="D59" s="23" t="str">
        <f>_xlfn.TEXTJOIN(" ",,Table13[[#This Row],[Rep First Name]],Table13[[#This Row],[Rep Last Name]])</f>
        <v>Fang Liu</v>
      </c>
      <c r="E59" s="23" t="s">
        <v>76</v>
      </c>
      <c r="F59" s="23" t="str">
        <f>IF(LEN(Table13[[#This Row],[Month]]) &gt; 0, LEFT(Table13[[#This Row],[Month]], 3), "")</f>
        <v>May</v>
      </c>
      <c r="G59" s="23" t="s">
        <v>43</v>
      </c>
      <c r="H59" s="23" t="s">
        <v>48</v>
      </c>
      <c r="I59" s="44">
        <f>IF(ISNUMBER(SEARCH("km/h",Table13[[#This Row],[Min Speed]])),VALUE(_xlfn.TEXTBEFORE(Table13[[#This Row],[Min Speed]]," ")),ROUND(VALUE(_xlfn.TEXTBEFORE(Table13[[#This Row],[Min Speed]]," "))*1.60934,0))</f>
        <v>20</v>
      </c>
      <c r="J59" s="44">
        <f>ROUND(IF(ISNUMBER(SEARCH("km/h",Table13[[#This Row],[Min Speed]])),Table13[[#This Row],[Min Speed (km/h)]]*0.621371,VALUE(_xlfn.TEXTBEFORE(Table13[[#This Row],[Min Speed]]," "))),0)</f>
        <v>12</v>
      </c>
      <c r="K59" s="23" t="s">
        <v>18</v>
      </c>
      <c r="L59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59" s="44">
        <f>IF(ISNUMBER(SEARCH("mph",Table13[[#This Row],[Max Speed]])),--_xlfn.TEXTBEFORE(Table13[[#This Row],[Max Speed]]," mph"),ROUND(--_xlfn.TEXTBEFORE(Table13[[#This Row],[Max Speed]]," km/h")*0.621371,0))</f>
        <v>75</v>
      </c>
      <c r="N59" s="23" t="s">
        <v>26</v>
      </c>
      <c r="O5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59" s="42" t="str">
        <f>TEXT(Table13[[#This Row],[Min Speed (km/h)]],"0")&amp;" - "&amp;TEXT(Table13[[#This Row],[Max Speed (km/h)]],"0")&amp;""</f>
        <v>20 - 120</v>
      </c>
      <c r="Q59" s="46">
        <f>IF(Table13[[#This Row],[Distance (km)]]="", AVERAGE(Table13[Distance (km)]), Table13[[#This Row],[Distance (km)]])</f>
        <v>482.80200000000002</v>
      </c>
      <c r="R59" s="23" t="s">
        <v>33</v>
      </c>
      <c r="S59" s="42" t="str" cm="1">
        <f t="array" ref="S59">TRIM(INDEX(_xlfn.TEXTSPLIT(Table13[[#This Row],[Shipping Address]],","),1))</f>
        <v>9101 Pine Drive</v>
      </c>
      <c r="T59" s="42" t="str" cm="1">
        <f t="array" ref="T59">TRIM(INDEX(_xlfn.TEXTSPLIT(Table13[[#This Row],[Shipping Address]],","),2))</f>
        <v>Atlanta</v>
      </c>
      <c r="U59" s="42" t="str" cm="1">
        <f t="array" ref="U59">TRIM(INDEX(_xlfn.TEXTSPLIT(Table13[[#This Row],[Shipping Address]],","),3))</f>
        <v>30301</v>
      </c>
      <c r="V59" s="23" t="s">
        <v>21</v>
      </c>
      <c r="W59" s="42" t="str" cm="1">
        <f t="array" ref="W59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59" s="42" t="str" cm="1">
        <f t="array" ref="X59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59" s="23" t="s">
        <v>34</v>
      </c>
      <c r="Z59" s="33">
        <f>_xlfn.NUMBERVALUE(_xlfn.TEXTBEFORE(Table13[[#This Row],[Unit Price]]," "))</f>
        <v>250</v>
      </c>
      <c r="AA59" s="23" t="str">
        <f>RIGHT(Table13[[#This Row],[Unit Price]],LEN(Table13[[#This Row],[Unit Price]])-FIND(" ",Table13[[#This Row],[Unit Price]]))</f>
        <v>USD</v>
      </c>
      <c r="AB59" s="33" cm="1">
        <f t="array" ref="AB59">Table13[[#This Row],[Unit Price Value]]*_xlfn.XLOOKUP(Table13[[#This Row],[Unit Price Currency]],{"EUR","USD","GBP","BRL","CAD","CNY","AUD","ZAR","MXN","JPY","INR"},{1,0.86,1.15,0.15,0.63,0.12,0.56,0.05,0.05,0.01,0.01},NA())</f>
        <v>215</v>
      </c>
      <c r="AC59" s="32">
        <v>10</v>
      </c>
      <c r="AD59" s="32"/>
      <c r="AE59" s="20">
        <f>IF(Table13[[#This Row],[Discount (%)]]="",CHOOSE(MATCH(MOD(Table13[[#This Row],[Sales Rep ID]],3)+1,{1,2,3},0),5,10,15),Table13[[#This Row],[Discount (%)]])</f>
        <v>10</v>
      </c>
      <c r="AF59" s="38">
        <f>Table13[[#This Row],[Unit Price (EUR)]]*Table13[[#This Row],[Units Sold]]</f>
        <v>2150</v>
      </c>
      <c r="AG59" s="38">
        <f>Table13[[#This Row],[Gross Price (Euro)]]*Table13[[#This Row],[Calc Discount (%)]]/100</f>
        <v>215</v>
      </c>
      <c r="AH59" s="39">
        <f>Table13[[#This Row],[Gross Price (Euro)]]-Table13[[#This Row],[Discount Value (Euro)]]</f>
        <v>1935</v>
      </c>
    </row>
    <row r="60" spans="1:34" x14ac:dyDescent="0.25">
      <c r="A60" s="43">
        <v>59</v>
      </c>
      <c r="B60" s="23" t="s">
        <v>35</v>
      </c>
      <c r="C60" s="23" t="s">
        <v>36</v>
      </c>
      <c r="D60" s="23" t="str">
        <f>_xlfn.TEXTJOIN(" ",,Table13[[#This Row],[Rep First Name]],Table13[[#This Row],[Rep Last Name]])</f>
        <v>Fang Liu</v>
      </c>
      <c r="E60" s="23" t="s">
        <v>15</v>
      </c>
      <c r="F60" s="23" t="str">
        <f>IF(LEN(Table13[[#This Row],[Month]]) &gt; 0, LEFT(Table13[[#This Row],[Month]], 3), "")</f>
        <v>Jun</v>
      </c>
      <c r="G60" s="23" t="s">
        <v>27</v>
      </c>
      <c r="H60" s="23" t="s">
        <v>17</v>
      </c>
      <c r="I60" s="44">
        <f>IF(ISNUMBER(SEARCH("km/h",Table13[[#This Row],[Min Speed]])),VALUE(_xlfn.TEXTBEFORE(Table13[[#This Row],[Min Speed]]," ")),ROUND(VALUE(_xlfn.TEXTBEFORE(Table13[[#This Row],[Min Speed]]," "))*1.60934,0))</f>
        <v>64</v>
      </c>
      <c r="J60" s="44">
        <f>ROUND(IF(ISNUMBER(SEARCH("km/h",Table13[[#This Row],[Min Speed]])),Table13[[#This Row],[Min Speed (km/h)]]*0.621371,VALUE(_xlfn.TEXTBEFORE(Table13[[#This Row],[Min Speed]]," "))),0)</f>
        <v>40</v>
      </c>
      <c r="K60" s="23" t="s">
        <v>44</v>
      </c>
      <c r="L60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60" s="44">
        <f>IF(ISNUMBER(SEARCH("mph",Table13[[#This Row],[Max Speed]])),--_xlfn.TEXTBEFORE(Table13[[#This Row],[Max Speed]]," mph"),ROUND(--_xlfn.TEXTBEFORE(Table13[[#This Row],[Max Speed]]," km/h")*0.621371,0))</f>
        <v>50</v>
      </c>
      <c r="N60" s="23" t="s">
        <v>68</v>
      </c>
      <c r="O6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60" s="42" t="str">
        <f>TEXT(Table13[[#This Row],[Min Speed (km/h)]],"0")&amp;" - "&amp;TEXT(Table13[[#This Row],[Max Speed (km/h)]],"0")&amp;""</f>
        <v>64 - 80</v>
      </c>
      <c r="Q60" s="46">
        <f>IF(Table13[[#This Row],[Distance (km)]]="", AVERAGE(Table13[Distance (km)]), Table13[[#This Row],[Distance (km)]])</f>
        <v>600</v>
      </c>
      <c r="R60" s="23" t="s">
        <v>38</v>
      </c>
      <c r="S60" s="42" t="str" cm="1">
        <f t="array" ref="S60">TRIM(INDEX(_xlfn.TEXTSPLIT(Table13[[#This Row],[Shipping Address]],","),1))</f>
        <v>2345 Birch Lane</v>
      </c>
      <c r="T60" s="42" t="str" cm="1">
        <f t="array" ref="T60">TRIM(INDEX(_xlfn.TEXTSPLIT(Table13[[#This Row],[Shipping Address]],","),2))</f>
        <v>Chicago</v>
      </c>
      <c r="U60" s="42" t="str" cm="1">
        <f t="array" ref="U60">TRIM(INDEX(_xlfn.TEXTSPLIT(Table13[[#This Row],[Shipping Address]],","),3))</f>
        <v>60614</v>
      </c>
      <c r="V60" s="23" t="s">
        <v>21</v>
      </c>
      <c r="W60" s="42" t="str" cm="1">
        <f t="array" ref="W60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60" s="42" t="str" cm="1">
        <f t="array" ref="X60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0" s="23" t="s">
        <v>39</v>
      </c>
      <c r="Z60" s="33">
        <f>_xlfn.NUMBERVALUE(_xlfn.TEXTBEFORE(Table13[[#This Row],[Unit Price]]," "))</f>
        <v>300</v>
      </c>
      <c r="AA60" s="23" t="str">
        <f>RIGHT(Table13[[#This Row],[Unit Price]],LEN(Table13[[#This Row],[Unit Price]])-FIND(" ",Table13[[#This Row],[Unit Price]]))</f>
        <v>USD</v>
      </c>
      <c r="AB60" s="33" cm="1">
        <f t="array" ref="AB60">Table13[[#This Row],[Unit Price Value]]*_xlfn.XLOOKUP(Table13[[#This Row],[Unit Price Currency]],{"EUR","USD","GBP","BRL","CAD","CNY","AUD","ZAR","MXN","JPY","INR"},{1,0.86,1.15,0.15,0.63,0.12,0.56,0.05,0.05,0.01,0.01},NA())</f>
        <v>258</v>
      </c>
      <c r="AC60" s="32">
        <v>6</v>
      </c>
      <c r="AD60" s="32">
        <v>15</v>
      </c>
      <c r="AE60" s="20">
        <f>IF(Table13[[#This Row],[Discount (%)]]="",CHOOSE(MATCH(MOD(Table13[[#This Row],[Sales Rep ID]],3)+1,{1,2,3},0),5,10,15),Table13[[#This Row],[Discount (%)]])</f>
        <v>15</v>
      </c>
      <c r="AF60" s="38">
        <f>Table13[[#This Row],[Unit Price (EUR)]]*Table13[[#This Row],[Units Sold]]</f>
        <v>1548</v>
      </c>
      <c r="AG60" s="38">
        <f>Table13[[#This Row],[Gross Price (Euro)]]*Table13[[#This Row],[Calc Discount (%)]]/100</f>
        <v>232.2</v>
      </c>
      <c r="AH60" s="39">
        <f>Table13[[#This Row],[Gross Price (Euro)]]-Table13[[#This Row],[Discount Value (Euro)]]</f>
        <v>1315.8</v>
      </c>
    </row>
    <row r="61" spans="1:34" x14ac:dyDescent="0.25">
      <c r="A61" s="43">
        <v>60</v>
      </c>
      <c r="B61" s="23" t="s">
        <v>35</v>
      </c>
      <c r="C61" s="23" t="s">
        <v>36</v>
      </c>
      <c r="D61" s="23" t="str">
        <f>_xlfn.TEXTJOIN(" ",,Table13[[#This Row],[Rep First Name]],Table13[[#This Row],[Rep Last Name]])</f>
        <v>Fang Liu</v>
      </c>
      <c r="E61" s="23" t="s">
        <v>31</v>
      </c>
      <c r="F61" s="23" t="str">
        <f>IF(LEN(Table13[[#This Row],[Month]]) &gt; 0, LEFT(Table13[[#This Row],[Month]], 3), "")</f>
        <v>Jan</v>
      </c>
      <c r="G61" s="23" t="s">
        <v>67</v>
      </c>
      <c r="H61" s="23" t="s">
        <v>24</v>
      </c>
      <c r="I61" s="44">
        <f>IF(ISNUMBER(SEARCH("km/h",Table13[[#This Row],[Min Speed]])),VALUE(_xlfn.TEXTBEFORE(Table13[[#This Row],[Min Speed]]," ")),ROUND(VALUE(_xlfn.TEXTBEFORE(Table13[[#This Row],[Min Speed]]," "))*1.60934,0))</f>
        <v>80</v>
      </c>
      <c r="J61" s="44">
        <f>ROUND(IF(ISNUMBER(SEARCH("km/h",Table13[[#This Row],[Min Speed]])),Table13[[#This Row],[Min Speed (km/h)]]*0.621371,VALUE(_xlfn.TEXTBEFORE(Table13[[#This Row],[Min Speed]]," "))),0)</f>
        <v>50</v>
      </c>
      <c r="K61" s="23" t="s">
        <v>55</v>
      </c>
      <c r="L61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61" s="44">
        <f>IF(ISNUMBER(SEARCH("mph",Table13[[#This Row],[Max Speed]])),--_xlfn.TEXTBEFORE(Table13[[#This Row],[Max Speed]]," mph"),ROUND(--_xlfn.TEXTBEFORE(Table13[[#This Row],[Max Speed]]," km/h")*0.621371,0))</f>
        <v>100</v>
      </c>
      <c r="N61" s="23" t="s">
        <v>68</v>
      </c>
      <c r="O6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61" s="42" t="str">
        <f>TEXT(Table13[[#This Row],[Min Speed (km/h)]],"0")&amp;" - "&amp;TEXT(Table13[[#This Row],[Max Speed (km/h)]],"0")&amp;""</f>
        <v>80 - 161</v>
      </c>
      <c r="Q61" s="46">
        <f>IF(Table13[[#This Row],[Distance (km)]]="", AVERAGE(Table13[Distance (km)]), Table13[[#This Row],[Distance (km)]])</f>
        <v>600</v>
      </c>
      <c r="R61" s="23" t="s">
        <v>40</v>
      </c>
      <c r="S61" s="42" t="str" cm="1">
        <f t="array" ref="S61">TRIM(INDEX(_xlfn.TEXTSPLIT(Table13[[#This Row],[Shipping Address]],","),1))</f>
        <v>123 Queen Street</v>
      </c>
      <c r="T61" s="42" t="str" cm="1">
        <f t="array" ref="T61">TRIM(INDEX(_xlfn.TEXTSPLIT(Table13[[#This Row],[Shipping Address]],","),2))</f>
        <v>Toronto</v>
      </c>
      <c r="U61" s="42" t="str" cm="1">
        <f t="array" ref="U61">TRIM(INDEX(_xlfn.TEXTSPLIT(Table13[[#This Row],[Shipping Address]],","),3))</f>
        <v>M5H 2N2</v>
      </c>
      <c r="V61" s="23" t="s">
        <v>41</v>
      </c>
      <c r="W61" s="42" t="str" cm="1">
        <f t="array" ref="W61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61" s="42" t="str" cm="1">
        <f t="array" ref="X61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1" s="23" t="s">
        <v>42</v>
      </c>
      <c r="Z61" s="33">
        <f>_xlfn.NUMBERVALUE(_xlfn.TEXTBEFORE(Table13[[#This Row],[Unit Price]]," "))</f>
        <v>204</v>
      </c>
      <c r="AA61" s="23" t="str">
        <f>RIGHT(Table13[[#This Row],[Unit Price]],LEN(Table13[[#This Row],[Unit Price]])-FIND(" ",Table13[[#This Row],[Unit Price]]))</f>
        <v>CAD</v>
      </c>
      <c r="AB61" s="33" cm="1">
        <f t="array" ref="AB61">Table13[[#This Row],[Unit Price Value]]*_xlfn.XLOOKUP(Table13[[#This Row],[Unit Price Currency]],{"EUR","USD","GBP","BRL","CAD","CNY","AUD","ZAR","MXN","JPY","INR"},{1,0.86,1.15,0.15,0.63,0.12,0.56,0.05,0.05,0.01,0.01},NA())</f>
        <v>128.52000000000001</v>
      </c>
      <c r="AC61" s="32">
        <v>15</v>
      </c>
      <c r="AD61" s="32">
        <v>5</v>
      </c>
      <c r="AE61" s="20">
        <f>IF(Table13[[#This Row],[Discount (%)]]="",CHOOSE(MATCH(MOD(Table13[[#This Row],[Sales Rep ID]],3)+1,{1,2,3},0),5,10,15),Table13[[#This Row],[Discount (%)]])</f>
        <v>5</v>
      </c>
      <c r="AF61" s="38">
        <f>Table13[[#This Row],[Unit Price (EUR)]]*Table13[[#This Row],[Units Sold]]</f>
        <v>1927.8000000000002</v>
      </c>
      <c r="AG61" s="38">
        <f>Table13[[#This Row],[Gross Price (Euro)]]*Table13[[#This Row],[Calc Discount (%)]]/100</f>
        <v>96.39</v>
      </c>
      <c r="AH61" s="39">
        <f>Table13[[#This Row],[Gross Price (Euro)]]-Table13[[#This Row],[Discount Value (Euro)]]</f>
        <v>1831.41</v>
      </c>
    </row>
    <row r="62" spans="1:34" x14ac:dyDescent="0.25">
      <c r="A62" s="43">
        <v>61</v>
      </c>
      <c r="B62" s="23" t="s">
        <v>35</v>
      </c>
      <c r="C62" s="23" t="s">
        <v>36</v>
      </c>
      <c r="D62" s="23" t="str">
        <f>_xlfn.TEXTJOIN(" ",,Table13[[#This Row],[Rep First Name]],Table13[[#This Row],[Rep Last Name]])</f>
        <v>Fang Liu</v>
      </c>
      <c r="E62" s="23" t="s">
        <v>47</v>
      </c>
      <c r="F62" s="23" t="str">
        <f>IF(LEN(Table13[[#This Row],[Month]]) &gt; 0, LEFT(Table13[[#This Row],[Month]], 3), "")</f>
        <v>Apr</v>
      </c>
      <c r="G62" s="23" t="s">
        <v>43</v>
      </c>
      <c r="H62" s="23" t="s">
        <v>24</v>
      </c>
      <c r="I62" s="44">
        <f>IF(ISNUMBER(SEARCH("km/h",Table13[[#This Row],[Min Speed]])),VALUE(_xlfn.TEXTBEFORE(Table13[[#This Row],[Min Speed]]," ")),ROUND(VALUE(_xlfn.TEXTBEFORE(Table13[[#This Row],[Min Speed]]," "))*1.60934,0))</f>
        <v>80</v>
      </c>
      <c r="J62" s="44">
        <f>ROUND(IF(ISNUMBER(SEARCH("km/h",Table13[[#This Row],[Min Speed]])),Table13[[#This Row],[Min Speed (km/h)]]*0.621371,VALUE(_xlfn.TEXTBEFORE(Table13[[#This Row],[Min Speed]]," "))),0)</f>
        <v>50</v>
      </c>
      <c r="K62" s="23" t="s">
        <v>55</v>
      </c>
      <c r="L62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62" s="44">
        <f>IF(ISNUMBER(SEARCH("mph",Table13[[#This Row],[Max Speed]])),--_xlfn.TEXTBEFORE(Table13[[#This Row],[Max Speed]]," mph"),ROUND(--_xlfn.TEXTBEFORE(Table13[[#This Row],[Max Speed]]," km/h")*0.621371,0))</f>
        <v>100</v>
      </c>
      <c r="N62" s="23" t="s">
        <v>26</v>
      </c>
      <c r="O6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62" s="42" t="str">
        <f>TEXT(Table13[[#This Row],[Min Speed (km/h)]],"0")&amp;" - "&amp;TEXT(Table13[[#This Row],[Max Speed (km/h)]],"0")&amp;""</f>
        <v>80 - 161</v>
      </c>
      <c r="Q62" s="46">
        <f>IF(Table13[[#This Row],[Distance (km)]]="", AVERAGE(Table13[Distance (km)]), Table13[[#This Row],[Distance (km)]])</f>
        <v>482.80200000000002</v>
      </c>
      <c r="R62" s="23" t="s">
        <v>49</v>
      </c>
      <c r="S62" s="42" t="str" cm="1">
        <f t="array" ref="S62">TRIM(INDEX(_xlfn.TEXTSPLIT(Table13[[#This Row],[Shipping Address]],","),1))</f>
        <v>456 King Road</v>
      </c>
      <c r="T62" s="42" t="str" cm="1">
        <f t="array" ref="T62">TRIM(INDEX(_xlfn.TEXTSPLIT(Table13[[#This Row],[Shipping Address]],","),2))</f>
        <v>Ottawa</v>
      </c>
      <c r="U62" s="42" t="str" cm="1">
        <f t="array" ref="U62">TRIM(INDEX(_xlfn.TEXTSPLIT(Table13[[#This Row],[Shipping Address]],","),3))</f>
        <v>K1A 0B1</v>
      </c>
      <c r="V62" s="23" t="s">
        <v>41</v>
      </c>
      <c r="W62" s="42" t="str" cm="1">
        <f t="array" ref="W62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62" s="42" t="str" cm="1">
        <f t="array" ref="X62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2" s="23" t="s">
        <v>50</v>
      </c>
      <c r="Z62" s="33">
        <f>_xlfn.NUMBERVALUE(_xlfn.TEXTBEFORE(Table13[[#This Row],[Unit Price]]," "))</f>
        <v>272</v>
      </c>
      <c r="AA62" s="23" t="str">
        <f>RIGHT(Table13[[#This Row],[Unit Price]],LEN(Table13[[#This Row],[Unit Price]])-FIND(" ",Table13[[#This Row],[Unit Price]]))</f>
        <v>CAD</v>
      </c>
      <c r="AB62" s="33" cm="1">
        <f t="array" ref="AB62">Table13[[#This Row],[Unit Price Value]]*_xlfn.XLOOKUP(Table13[[#This Row],[Unit Price Currency]],{"EUR","USD","GBP","BRL","CAD","CNY","AUD","ZAR","MXN","JPY","INR"},{1,0.86,1.15,0.15,0.63,0.12,0.56,0.05,0.05,0.01,0.01},NA())</f>
        <v>171.36</v>
      </c>
      <c r="AC62" s="32">
        <v>11</v>
      </c>
      <c r="AD62" s="32"/>
      <c r="AE62" s="20">
        <f>IF(Table13[[#This Row],[Discount (%)]]="",CHOOSE(MATCH(MOD(Table13[[#This Row],[Sales Rep ID]],3)+1,{1,2,3},0),5,10,15),Table13[[#This Row],[Discount (%)]])</f>
        <v>10</v>
      </c>
      <c r="AF62" s="38">
        <f>Table13[[#This Row],[Unit Price (EUR)]]*Table13[[#This Row],[Units Sold]]</f>
        <v>1884.96</v>
      </c>
      <c r="AG62" s="38">
        <f>Table13[[#This Row],[Gross Price (Euro)]]*Table13[[#This Row],[Calc Discount (%)]]/100</f>
        <v>188.49599999999998</v>
      </c>
      <c r="AH62" s="39">
        <f>Table13[[#This Row],[Gross Price (Euro)]]-Table13[[#This Row],[Discount Value (Euro)]]</f>
        <v>1696.4639999999999</v>
      </c>
    </row>
    <row r="63" spans="1:34" x14ac:dyDescent="0.25">
      <c r="A63" s="43">
        <v>62</v>
      </c>
      <c r="B63" s="23" t="s">
        <v>45</v>
      </c>
      <c r="C63" s="23" t="s">
        <v>46</v>
      </c>
      <c r="D63" s="23" t="str">
        <f>_xlfn.TEXTJOIN(" ",,Table13[[#This Row],[Rep First Name]],Table13[[#This Row],[Rep Last Name]])</f>
        <v>Jonas Fischer</v>
      </c>
      <c r="E63" s="23" t="s">
        <v>15</v>
      </c>
      <c r="F63" s="23" t="str">
        <f>IF(LEN(Table13[[#This Row],[Month]]) &gt; 0, LEFT(Table13[[#This Row],[Month]], 3), "")</f>
        <v>Jun</v>
      </c>
      <c r="G63" s="23" t="s">
        <v>43</v>
      </c>
      <c r="H63" s="23" t="s">
        <v>24</v>
      </c>
      <c r="I63" s="44">
        <f>IF(ISNUMBER(SEARCH("km/h",Table13[[#This Row],[Min Speed]])),VALUE(_xlfn.TEXTBEFORE(Table13[[#This Row],[Min Speed]]," ")),ROUND(VALUE(_xlfn.TEXTBEFORE(Table13[[#This Row],[Min Speed]]," "))*1.60934,0))</f>
        <v>80</v>
      </c>
      <c r="J63" s="44">
        <f>ROUND(IF(ISNUMBER(SEARCH("km/h",Table13[[#This Row],[Min Speed]])),Table13[[#This Row],[Min Speed (km/h)]]*0.621371,VALUE(_xlfn.TEXTBEFORE(Table13[[#This Row],[Min Speed]]," "))),0)</f>
        <v>50</v>
      </c>
      <c r="K63" s="23" t="s">
        <v>55</v>
      </c>
      <c r="L63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63" s="44">
        <f>IF(ISNUMBER(SEARCH("mph",Table13[[#This Row],[Max Speed]])),--_xlfn.TEXTBEFORE(Table13[[#This Row],[Max Speed]]," mph"),ROUND(--_xlfn.TEXTBEFORE(Table13[[#This Row],[Max Speed]]," km/h")*0.621371,0))</f>
        <v>100</v>
      </c>
      <c r="N63" s="23" t="s">
        <v>68</v>
      </c>
      <c r="O6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63" s="42" t="str">
        <f>TEXT(Table13[[#This Row],[Min Speed (km/h)]],"0")&amp;" - "&amp;TEXT(Table13[[#This Row],[Max Speed (km/h)]],"0")&amp;""</f>
        <v>80 - 161</v>
      </c>
      <c r="Q63" s="46">
        <f>IF(Table13[[#This Row],[Distance (km)]]="", AVERAGE(Table13[Distance (km)]), Table13[[#This Row],[Distance (km)]])</f>
        <v>600</v>
      </c>
      <c r="R63" s="23" t="s">
        <v>51</v>
      </c>
      <c r="S63" s="42" t="str" cm="1">
        <f t="array" ref="S63">TRIM(INDEX(_xlfn.TEXTSPLIT(Table13[[#This Row],[Shipping Address]],","),1))</f>
        <v>789 Elm Boulevard</v>
      </c>
      <c r="T63" s="42" t="str" cm="1">
        <f t="array" ref="T63">TRIM(INDEX(_xlfn.TEXTSPLIT(Table13[[#This Row],[Shipping Address]],","),2))</f>
        <v>Vancouver</v>
      </c>
      <c r="U63" s="42" t="str" cm="1">
        <f t="array" ref="U63">TRIM(INDEX(_xlfn.TEXTSPLIT(Table13[[#This Row],[Shipping Address]],","),3))</f>
        <v>L4T 1P5</v>
      </c>
      <c r="V63" s="23" t="s">
        <v>41</v>
      </c>
      <c r="W63" s="42" t="str" cm="1">
        <f t="array" ref="W63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63" s="42" t="str" cm="1">
        <f t="array" ref="X63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3" s="23" t="s">
        <v>52</v>
      </c>
      <c r="Z63" s="33">
        <f>_xlfn.NUMBERVALUE(_xlfn.TEXTBEFORE(Table13[[#This Row],[Unit Price]]," "))</f>
        <v>340</v>
      </c>
      <c r="AA63" s="23" t="str">
        <f>RIGHT(Table13[[#This Row],[Unit Price]],LEN(Table13[[#This Row],[Unit Price]])-FIND(" ",Table13[[#This Row],[Unit Price]]))</f>
        <v>CAD</v>
      </c>
      <c r="AB63" s="33" cm="1">
        <f t="array" ref="AB63">Table13[[#This Row],[Unit Price Value]]*_xlfn.XLOOKUP(Table13[[#This Row],[Unit Price Currency]],{"EUR","USD","GBP","BRL","CAD","CNY","AUD","ZAR","MXN","JPY","INR"},{1,0.86,1.15,0.15,0.63,0.12,0.56,0.05,0.05,0.01,0.01},NA())</f>
        <v>214.2</v>
      </c>
      <c r="AC63" s="32">
        <v>7</v>
      </c>
      <c r="AD63" s="32"/>
      <c r="AE63" s="20">
        <f>IF(Table13[[#This Row],[Discount (%)]]="",CHOOSE(MATCH(MOD(Table13[[#This Row],[Sales Rep ID]],3)+1,{1,2,3},0),5,10,15),Table13[[#This Row],[Discount (%)]])</f>
        <v>15</v>
      </c>
      <c r="AF63" s="38">
        <f>Table13[[#This Row],[Unit Price (EUR)]]*Table13[[#This Row],[Units Sold]]</f>
        <v>1499.3999999999999</v>
      </c>
      <c r="AG63" s="38">
        <f>Table13[[#This Row],[Gross Price (Euro)]]*Table13[[#This Row],[Calc Discount (%)]]/100</f>
        <v>224.90999999999997</v>
      </c>
      <c r="AH63" s="39">
        <f>Table13[[#This Row],[Gross Price (Euro)]]-Table13[[#This Row],[Discount Value (Euro)]]</f>
        <v>1274.4899999999998</v>
      </c>
    </row>
    <row r="64" spans="1:34" x14ac:dyDescent="0.25">
      <c r="A64" s="43">
        <v>63</v>
      </c>
      <c r="B64" s="23" t="s">
        <v>45</v>
      </c>
      <c r="C64" s="23" t="s">
        <v>46</v>
      </c>
      <c r="D64" s="23" t="str">
        <f>_xlfn.TEXTJOIN(" ",,Table13[[#This Row],[Rep First Name]],Table13[[#This Row],[Rep Last Name]])</f>
        <v>Jonas Fischer</v>
      </c>
      <c r="E64" s="23" t="s">
        <v>37</v>
      </c>
      <c r="F64" s="23" t="str">
        <f>IF(LEN(Table13[[#This Row],[Month]]) &gt; 0, LEFT(Table13[[#This Row],[Month]], 3), "")</f>
        <v>Feb</v>
      </c>
      <c r="G64" s="23" t="s">
        <v>43</v>
      </c>
      <c r="H64" s="23" t="s">
        <v>17</v>
      </c>
      <c r="I64" s="44">
        <f>IF(ISNUMBER(SEARCH("km/h",Table13[[#This Row],[Min Speed]])),VALUE(_xlfn.TEXTBEFORE(Table13[[#This Row],[Min Speed]]," ")),ROUND(VALUE(_xlfn.TEXTBEFORE(Table13[[#This Row],[Min Speed]]," "))*1.60934,0))</f>
        <v>64</v>
      </c>
      <c r="J64" s="44">
        <f>ROUND(IF(ISNUMBER(SEARCH("km/h",Table13[[#This Row],[Min Speed]])),Table13[[#This Row],[Min Speed (km/h)]]*0.621371,VALUE(_xlfn.TEXTBEFORE(Table13[[#This Row],[Min Speed]]," "))),0)</f>
        <v>40</v>
      </c>
      <c r="K64" s="23" t="s">
        <v>55</v>
      </c>
      <c r="L64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64" s="44">
        <f>IF(ISNUMBER(SEARCH("mph",Table13[[#This Row],[Max Speed]])),--_xlfn.TEXTBEFORE(Table13[[#This Row],[Max Speed]]," mph"),ROUND(--_xlfn.TEXTBEFORE(Table13[[#This Row],[Max Speed]]," km/h")*0.621371,0))</f>
        <v>100</v>
      </c>
      <c r="N64" s="23" t="s">
        <v>68</v>
      </c>
      <c r="O6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64" s="42" t="str">
        <f>TEXT(Table13[[#This Row],[Min Speed (km/h)]],"0")&amp;" - "&amp;TEXT(Table13[[#This Row],[Max Speed (km/h)]],"0")&amp;""</f>
        <v>64 - 161</v>
      </c>
      <c r="Q64" s="46">
        <f>IF(Table13[[#This Row],[Distance (km)]]="", AVERAGE(Table13[Distance (km)]), Table13[[#This Row],[Distance (km)]])</f>
        <v>600</v>
      </c>
      <c r="R64" s="23" t="s">
        <v>53</v>
      </c>
      <c r="S64" s="42" t="str" cm="1">
        <f t="array" ref="S64">TRIM(INDEX(_xlfn.TEXTSPLIT(Table13[[#This Row],[Shipping Address]],","),1))</f>
        <v>321 Cedar Crescent</v>
      </c>
      <c r="T64" s="42" t="str" cm="1">
        <f t="array" ref="T64">TRIM(INDEX(_xlfn.TEXTSPLIT(Table13[[#This Row],[Shipping Address]],","),2))</f>
        <v>Calgary</v>
      </c>
      <c r="U64" s="42" t="str" cm="1">
        <f t="array" ref="U64">TRIM(INDEX(_xlfn.TEXTSPLIT(Table13[[#This Row],[Shipping Address]],","),3))</f>
        <v>T5A 0H2</v>
      </c>
      <c r="V64" s="23" t="s">
        <v>41</v>
      </c>
      <c r="W64" s="42" t="str" cm="1">
        <f t="array" ref="W64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64" s="42" t="str" cm="1">
        <f t="array" ref="X64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4" s="23" t="s">
        <v>54</v>
      </c>
      <c r="Z64" s="33">
        <f>_xlfn.NUMBERVALUE(_xlfn.TEXTBEFORE(Table13[[#This Row],[Unit Price]]," "))</f>
        <v>408</v>
      </c>
      <c r="AA64" s="23" t="str">
        <f>RIGHT(Table13[[#This Row],[Unit Price]],LEN(Table13[[#This Row],[Unit Price]])-FIND(" ",Table13[[#This Row],[Unit Price]]))</f>
        <v>CAD</v>
      </c>
      <c r="AB64" s="33" cm="1">
        <f t="array" ref="AB64">Table13[[#This Row],[Unit Price Value]]*_xlfn.XLOOKUP(Table13[[#This Row],[Unit Price Currency]],{"EUR","USD","GBP","BRL","CAD","CNY","AUD","ZAR","MXN","JPY","INR"},{1,0.86,1.15,0.15,0.63,0.12,0.56,0.05,0.05,0.01,0.01},NA())</f>
        <v>257.04000000000002</v>
      </c>
      <c r="AC64" s="32">
        <v>5</v>
      </c>
      <c r="AD64" s="32">
        <v>15</v>
      </c>
      <c r="AE64" s="20">
        <f>IF(Table13[[#This Row],[Discount (%)]]="",CHOOSE(MATCH(MOD(Table13[[#This Row],[Sales Rep ID]],3)+1,{1,2,3},0),5,10,15),Table13[[#This Row],[Discount (%)]])</f>
        <v>15</v>
      </c>
      <c r="AF64" s="38">
        <f>Table13[[#This Row],[Unit Price (EUR)]]*Table13[[#This Row],[Units Sold]]</f>
        <v>1285.2</v>
      </c>
      <c r="AG64" s="38">
        <f>Table13[[#This Row],[Gross Price (Euro)]]*Table13[[#This Row],[Calc Discount (%)]]/100</f>
        <v>192.78</v>
      </c>
      <c r="AH64" s="39">
        <f>Table13[[#This Row],[Gross Price (Euro)]]-Table13[[#This Row],[Discount Value (Euro)]]</f>
        <v>1092.42</v>
      </c>
    </row>
    <row r="65" spans="1:34" x14ac:dyDescent="0.25">
      <c r="A65" s="43">
        <v>64</v>
      </c>
      <c r="B65" s="23" t="s">
        <v>45</v>
      </c>
      <c r="C65" s="23" t="s">
        <v>46</v>
      </c>
      <c r="D65" s="23" t="str">
        <f>_xlfn.TEXTJOIN(" ",,Table13[[#This Row],[Rep First Name]],Table13[[#This Row],[Rep Last Name]])</f>
        <v>Jonas Fischer</v>
      </c>
      <c r="E65" s="23" t="s">
        <v>47</v>
      </c>
      <c r="F65" s="23" t="str">
        <f>IF(LEN(Table13[[#This Row],[Month]]) &gt; 0, LEFT(Table13[[#This Row],[Month]], 3), "")</f>
        <v>Apr</v>
      </c>
      <c r="G65" s="23" t="s">
        <v>43</v>
      </c>
      <c r="H65" s="23" t="s">
        <v>17</v>
      </c>
      <c r="I65" s="44">
        <f>IF(ISNUMBER(SEARCH("km/h",Table13[[#This Row],[Min Speed]])),VALUE(_xlfn.TEXTBEFORE(Table13[[#This Row],[Min Speed]]," ")),ROUND(VALUE(_xlfn.TEXTBEFORE(Table13[[#This Row],[Min Speed]]," "))*1.60934,0))</f>
        <v>64</v>
      </c>
      <c r="J65" s="44">
        <f>ROUND(IF(ISNUMBER(SEARCH("km/h",Table13[[#This Row],[Min Speed]])),Table13[[#This Row],[Min Speed (km/h)]]*0.621371,VALUE(_xlfn.TEXTBEFORE(Table13[[#This Row],[Min Speed]]," "))),0)</f>
        <v>40</v>
      </c>
      <c r="K65" s="23" t="s">
        <v>18</v>
      </c>
      <c r="L65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65" s="44">
        <f>IF(ISNUMBER(SEARCH("mph",Table13[[#This Row],[Max Speed]])),--_xlfn.TEXTBEFORE(Table13[[#This Row],[Max Speed]]," mph"),ROUND(--_xlfn.TEXTBEFORE(Table13[[#This Row],[Max Speed]]," km/h")*0.621371,0))</f>
        <v>75</v>
      </c>
      <c r="N65" s="23" t="s">
        <v>68</v>
      </c>
      <c r="O6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65" s="42" t="str">
        <f>TEXT(Table13[[#This Row],[Min Speed (km/h)]],"0")&amp;" - "&amp;TEXT(Table13[[#This Row],[Max Speed (km/h)]],"0")&amp;""</f>
        <v>64 - 120</v>
      </c>
      <c r="Q65" s="46">
        <f>IF(Table13[[#This Row],[Distance (km)]]="", AVERAGE(Table13[Distance (km)]), Table13[[#This Row],[Distance (km)]])</f>
        <v>600</v>
      </c>
      <c r="R65" s="23" t="s">
        <v>56</v>
      </c>
      <c r="S65" s="42" t="str" cm="1">
        <f t="array" ref="S65">TRIM(INDEX(_xlfn.TEXTSPLIT(Table13[[#This Row],[Shipping Address]],","),1))</f>
        <v>456 Avenida Reforma</v>
      </c>
      <c r="T65" s="42" t="str" cm="1">
        <f t="array" ref="T65">TRIM(INDEX(_xlfn.TEXTSPLIT(Table13[[#This Row],[Shipping Address]],","),2))</f>
        <v>Mexico City</v>
      </c>
      <c r="U65" s="42" t="str" cm="1">
        <f t="array" ref="U65">TRIM(INDEX(_xlfn.TEXTSPLIT(Table13[[#This Row],[Shipping Address]],","),3))</f>
        <v>06080</v>
      </c>
      <c r="V65" s="23" t="s">
        <v>57</v>
      </c>
      <c r="W65" s="42" t="str" cm="1">
        <f t="array" ref="W65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65" s="42" t="str" cm="1">
        <f t="array" ref="X65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5" s="23" t="s">
        <v>58</v>
      </c>
      <c r="Z65" s="33">
        <f>_xlfn.NUMBERVALUE(_xlfn.TEXTBEFORE(Table13[[#This Row],[Unit Price]]," "))</f>
        <v>2645</v>
      </c>
      <c r="AA65" s="23" t="str">
        <f>RIGHT(Table13[[#This Row],[Unit Price]],LEN(Table13[[#This Row],[Unit Price]])-FIND(" ",Table13[[#This Row],[Unit Price]]))</f>
        <v>MXN</v>
      </c>
      <c r="AB65" s="33" cm="1">
        <f t="array" ref="AB65">Table13[[#This Row],[Unit Price Value]]*_xlfn.XLOOKUP(Table13[[#This Row],[Unit Price Currency]],{"EUR","USD","GBP","BRL","CAD","CNY","AUD","ZAR","MXN","JPY","INR"},{1,0.86,1.15,0.15,0.63,0.12,0.56,0.05,0.05,0.01,0.01},NA())</f>
        <v>132.25</v>
      </c>
      <c r="AC65" s="32">
        <v>22</v>
      </c>
      <c r="AD65" s="32"/>
      <c r="AE65" s="20">
        <f>IF(Table13[[#This Row],[Discount (%)]]="",CHOOSE(MATCH(MOD(Table13[[#This Row],[Sales Rep ID]],3)+1,{1,2,3},0),5,10,15),Table13[[#This Row],[Discount (%)]])</f>
        <v>10</v>
      </c>
      <c r="AF65" s="38">
        <f>Table13[[#This Row],[Unit Price (EUR)]]*Table13[[#This Row],[Units Sold]]</f>
        <v>2909.5</v>
      </c>
      <c r="AG65" s="38">
        <f>Table13[[#This Row],[Gross Price (Euro)]]*Table13[[#This Row],[Calc Discount (%)]]/100</f>
        <v>290.95</v>
      </c>
      <c r="AH65" s="39">
        <f>Table13[[#This Row],[Gross Price (Euro)]]-Table13[[#This Row],[Discount Value (Euro)]]</f>
        <v>2618.5500000000002</v>
      </c>
    </row>
    <row r="66" spans="1:34" x14ac:dyDescent="0.25">
      <c r="A66" s="43">
        <v>65</v>
      </c>
      <c r="B66" s="23" t="s">
        <v>59</v>
      </c>
      <c r="C66" s="23" t="s">
        <v>60</v>
      </c>
      <c r="D66" s="23" t="str">
        <f>_xlfn.TEXTJOIN(" ",,Table13[[#This Row],[Rep First Name]],Table13[[#This Row],[Rep Last Name]])</f>
        <v>Théo Bernard</v>
      </c>
      <c r="E66" s="23" t="s">
        <v>15</v>
      </c>
      <c r="F66" s="23" t="str">
        <f>IF(LEN(Table13[[#This Row],[Month]]) &gt; 0, LEFT(Table13[[#This Row],[Month]], 3), "")</f>
        <v>Jun</v>
      </c>
      <c r="G66" s="23" t="s">
        <v>43</v>
      </c>
      <c r="H66" s="23" t="s">
        <v>24</v>
      </c>
      <c r="I66" s="44">
        <f>IF(ISNUMBER(SEARCH("km/h",Table13[[#This Row],[Min Speed]])),VALUE(_xlfn.TEXTBEFORE(Table13[[#This Row],[Min Speed]]," ")),ROUND(VALUE(_xlfn.TEXTBEFORE(Table13[[#This Row],[Min Speed]]," "))*1.60934,0))</f>
        <v>80</v>
      </c>
      <c r="J66" s="44">
        <f>ROUND(IF(ISNUMBER(SEARCH("km/h",Table13[[#This Row],[Min Speed]])),Table13[[#This Row],[Min Speed (km/h)]]*0.621371,VALUE(_xlfn.TEXTBEFORE(Table13[[#This Row],[Min Speed]]," "))),0)</f>
        <v>50</v>
      </c>
      <c r="K66" s="23" t="s">
        <v>25</v>
      </c>
      <c r="L66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66" s="44">
        <f>IF(ISNUMBER(SEARCH("mph",Table13[[#This Row],[Max Speed]])),--_xlfn.TEXTBEFORE(Table13[[#This Row],[Max Speed]]," mph"),ROUND(--_xlfn.TEXTBEFORE(Table13[[#This Row],[Max Speed]]," km/h")*0.621371,0))</f>
        <v>150</v>
      </c>
      <c r="N66" s="23" t="s">
        <v>19</v>
      </c>
      <c r="O6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66" s="42" t="str">
        <f>TEXT(Table13[[#This Row],[Min Speed (km/h)]],"0")&amp;" - "&amp;TEXT(Table13[[#This Row],[Max Speed (km/h)]],"0")&amp;""</f>
        <v>80 - 241</v>
      </c>
      <c r="Q66" s="46">
        <f>IF(Table13[[#This Row],[Distance (km)]]="", AVERAGE(Table13[Distance (km)]), Table13[[#This Row],[Distance (km)]])</f>
        <v>500</v>
      </c>
      <c r="R66" s="23" t="s">
        <v>61</v>
      </c>
      <c r="S66" s="42" t="str" cm="1">
        <f t="array" ref="S66">TRIM(INDEX(_xlfn.TEXTSPLIT(Table13[[#This Row],[Shipping Address]],","),1))</f>
        <v>789 Calle Juárez</v>
      </c>
      <c r="T66" s="42" t="str" cm="1">
        <f t="array" ref="T66">TRIM(INDEX(_xlfn.TEXTSPLIT(Table13[[#This Row],[Shipping Address]],","),2))</f>
        <v>Guadalajara</v>
      </c>
      <c r="U66" s="42" t="str" cm="1">
        <f t="array" ref="U66">TRIM(INDEX(_xlfn.TEXTSPLIT(Table13[[#This Row],[Shipping Address]],","),3))</f>
        <v>66000</v>
      </c>
      <c r="V66" s="23" t="s">
        <v>57</v>
      </c>
      <c r="W66" s="42" t="str" cm="1">
        <f t="array" ref="W66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66" s="42" t="str" cm="1">
        <f t="array" ref="X66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6" s="23" t="s">
        <v>62</v>
      </c>
      <c r="Z66" s="33">
        <f>_xlfn.NUMBERVALUE(_xlfn.TEXTBEFORE(Table13[[#This Row],[Unit Price]]," "))</f>
        <v>3527</v>
      </c>
      <c r="AA66" s="23" t="str">
        <f>RIGHT(Table13[[#This Row],[Unit Price]],LEN(Table13[[#This Row],[Unit Price]])-FIND(" ",Table13[[#This Row],[Unit Price]]))</f>
        <v>MXN</v>
      </c>
      <c r="AB66" s="33" cm="1">
        <f t="array" ref="AB66">Table13[[#This Row],[Unit Price Value]]*_xlfn.XLOOKUP(Table13[[#This Row],[Unit Price Currency]],{"EUR","USD","GBP","BRL","CAD","CNY","AUD","ZAR","MXN","JPY","INR"},{1,0.86,1.15,0.15,0.63,0.12,0.56,0.05,0.05,0.01,0.01},NA())</f>
        <v>176.35000000000002</v>
      </c>
      <c r="AC66" s="32">
        <v>16</v>
      </c>
      <c r="AD66" s="32">
        <v>10</v>
      </c>
      <c r="AE66" s="20">
        <f>IF(Table13[[#This Row],[Discount (%)]]="",CHOOSE(MATCH(MOD(Table13[[#This Row],[Sales Rep ID]],3)+1,{1,2,3},0),5,10,15),Table13[[#This Row],[Discount (%)]])</f>
        <v>10</v>
      </c>
      <c r="AF66" s="38">
        <f>Table13[[#This Row],[Unit Price (EUR)]]*Table13[[#This Row],[Units Sold]]</f>
        <v>2821.6000000000004</v>
      </c>
      <c r="AG66" s="38">
        <f>Table13[[#This Row],[Gross Price (Euro)]]*Table13[[#This Row],[Calc Discount (%)]]/100</f>
        <v>282.16000000000003</v>
      </c>
      <c r="AH66" s="39">
        <f>Table13[[#This Row],[Gross Price (Euro)]]-Table13[[#This Row],[Discount Value (Euro)]]</f>
        <v>2539.4400000000005</v>
      </c>
    </row>
    <row r="67" spans="1:34" x14ac:dyDescent="0.25">
      <c r="A67" s="43">
        <v>66</v>
      </c>
      <c r="B67" s="23" t="s">
        <v>59</v>
      </c>
      <c r="C67" s="23" t="s">
        <v>60</v>
      </c>
      <c r="D67" s="23" t="str">
        <f>_xlfn.TEXTJOIN(" ",,Table13[[#This Row],[Rep First Name]],Table13[[#This Row],[Rep Last Name]])</f>
        <v>Théo Bernard</v>
      </c>
      <c r="E67" s="23" t="s">
        <v>37</v>
      </c>
      <c r="F67" s="23" t="str">
        <f>IF(LEN(Table13[[#This Row],[Month]]) &gt; 0, LEFT(Table13[[#This Row],[Month]], 3), "")</f>
        <v>Feb</v>
      </c>
      <c r="G67" s="23" t="s">
        <v>67</v>
      </c>
      <c r="H67" s="23" t="s">
        <v>32</v>
      </c>
      <c r="I67" s="44">
        <f>IF(ISNUMBER(SEARCH("km/h",Table13[[#This Row],[Min Speed]])),VALUE(_xlfn.TEXTBEFORE(Table13[[#This Row],[Min Speed]]," ")),ROUND(VALUE(_xlfn.TEXTBEFORE(Table13[[#This Row],[Min Speed]]," "))*1.60934,0))</f>
        <v>30</v>
      </c>
      <c r="J67" s="44">
        <f>ROUND(IF(ISNUMBER(SEARCH("km/h",Table13[[#This Row],[Min Speed]])),Table13[[#This Row],[Min Speed (km/h)]]*0.621371,VALUE(_xlfn.TEXTBEFORE(Table13[[#This Row],[Min Speed]]," "))),0)</f>
        <v>19</v>
      </c>
      <c r="K67" s="23" t="s">
        <v>18</v>
      </c>
      <c r="L67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67" s="44">
        <f>IF(ISNUMBER(SEARCH("mph",Table13[[#This Row],[Max Speed]])),--_xlfn.TEXTBEFORE(Table13[[#This Row],[Max Speed]]," mph"),ROUND(--_xlfn.TEXTBEFORE(Table13[[#This Row],[Max Speed]]," km/h")*0.621371,0))</f>
        <v>75</v>
      </c>
      <c r="N67" s="23" t="s">
        <v>26</v>
      </c>
      <c r="O6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67" s="42" t="str">
        <f>TEXT(Table13[[#This Row],[Min Speed (km/h)]],"0")&amp;" - "&amp;TEXT(Table13[[#This Row],[Max Speed (km/h)]],"0")&amp;""</f>
        <v>30 - 120</v>
      </c>
      <c r="Q67" s="46">
        <f>IF(Table13[[#This Row],[Distance (km)]]="", AVERAGE(Table13[Distance (km)]), Table13[[#This Row],[Distance (km)]])</f>
        <v>482.80200000000002</v>
      </c>
      <c r="R67" s="23" t="s">
        <v>63</v>
      </c>
      <c r="S67" s="42" t="str" cm="1">
        <f t="array" ref="S67">TRIM(INDEX(_xlfn.TEXTSPLIT(Table13[[#This Row],[Shipping Address]],","),1))</f>
        <v>234 Paseo de la Reforma</v>
      </c>
      <c r="T67" s="42" t="str" cm="1">
        <f t="array" ref="T67">TRIM(INDEX(_xlfn.TEXTSPLIT(Table13[[#This Row],[Shipping Address]],","),2))</f>
        <v>Monterrey</v>
      </c>
      <c r="U67" s="42" t="str" cm="1">
        <f t="array" ref="U67">TRIM(INDEX(_xlfn.TEXTSPLIT(Table13[[#This Row],[Shipping Address]],","),3))</f>
        <v>06500</v>
      </c>
      <c r="V67" s="23" t="s">
        <v>57</v>
      </c>
      <c r="W67" s="42" t="str" cm="1">
        <f t="array" ref="W67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67" s="42" t="str" cm="1">
        <f t="array" ref="X67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7" s="23" t="s">
        <v>64</v>
      </c>
      <c r="Z67" s="33">
        <f>_xlfn.NUMBERVALUE(_xlfn.TEXTBEFORE(Table13[[#This Row],[Unit Price]]," "))</f>
        <v>4404</v>
      </c>
      <c r="AA67" s="23" t="str">
        <f>RIGHT(Table13[[#This Row],[Unit Price]],LEN(Table13[[#This Row],[Unit Price]])-FIND(" ",Table13[[#This Row],[Unit Price]]))</f>
        <v>MXN</v>
      </c>
      <c r="AB67" s="33" cm="1">
        <f t="array" ref="AB67">Table13[[#This Row],[Unit Price Value]]*_xlfn.XLOOKUP(Table13[[#This Row],[Unit Price Currency]],{"EUR","USD","GBP","BRL","CAD","CNY","AUD","ZAR","MXN","JPY","INR"},{1,0.86,1.15,0.15,0.63,0.12,0.56,0.05,0.05,0.01,0.01},NA())</f>
        <v>220.20000000000002</v>
      </c>
      <c r="AC67" s="32">
        <v>14</v>
      </c>
      <c r="AD67" s="32"/>
      <c r="AE67" s="20">
        <f>IF(Table13[[#This Row],[Discount (%)]]="",CHOOSE(MATCH(MOD(Table13[[#This Row],[Sales Rep ID]],3)+1,{1,2,3},0),5,10,15),Table13[[#This Row],[Discount (%)]])</f>
        <v>5</v>
      </c>
      <c r="AF67" s="38">
        <f>Table13[[#This Row],[Unit Price (EUR)]]*Table13[[#This Row],[Units Sold]]</f>
        <v>3082.8</v>
      </c>
      <c r="AG67" s="38">
        <f>Table13[[#This Row],[Gross Price (Euro)]]*Table13[[#This Row],[Calc Discount (%)]]/100</f>
        <v>154.13999999999999</v>
      </c>
      <c r="AH67" s="39">
        <f>Table13[[#This Row],[Gross Price (Euro)]]-Table13[[#This Row],[Discount Value (Euro)]]</f>
        <v>2928.6600000000003</v>
      </c>
    </row>
    <row r="68" spans="1:34" x14ac:dyDescent="0.25">
      <c r="A68" s="43">
        <v>67</v>
      </c>
      <c r="B68" s="23" t="s">
        <v>59</v>
      </c>
      <c r="C68" s="23" t="s">
        <v>60</v>
      </c>
      <c r="D68" s="23" t="str">
        <f>_xlfn.TEXTJOIN(" ",,Table13[[#This Row],[Rep First Name]],Table13[[#This Row],[Rep Last Name]])</f>
        <v>Théo Bernard</v>
      </c>
      <c r="E68" s="23" t="s">
        <v>76</v>
      </c>
      <c r="F68" s="23" t="str">
        <f>IF(LEN(Table13[[#This Row],[Month]]) &gt; 0, LEFT(Table13[[#This Row],[Month]], 3), "")</f>
        <v>May</v>
      </c>
      <c r="G68" s="23" t="s">
        <v>67</v>
      </c>
      <c r="H68" s="23" t="s">
        <v>17</v>
      </c>
      <c r="I68" s="44">
        <f>IF(ISNUMBER(SEARCH("km/h",Table13[[#This Row],[Min Speed]])),VALUE(_xlfn.TEXTBEFORE(Table13[[#This Row],[Min Speed]]," ")),ROUND(VALUE(_xlfn.TEXTBEFORE(Table13[[#This Row],[Min Speed]]," "))*1.60934,0))</f>
        <v>64</v>
      </c>
      <c r="J68" s="44">
        <f>ROUND(IF(ISNUMBER(SEARCH("km/h",Table13[[#This Row],[Min Speed]])),Table13[[#This Row],[Min Speed (km/h)]]*0.621371,VALUE(_xlfn.TEXTBEFORE(Table13[[#This Row],[Min Speed]]," "))),0)</f>
        <v>40</v>
      </c>
      <c r="K68" s="23" t="s">
        <v>25</v>
      </c>
      <c r="L68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68" s="44">
        <f>IF(ISNUMBER(SEARCH("mph",Table13[[#This Row],[Max Speed]])),--_xlfn.TEXTBEFORE(Table13[[#This Row],[Max Speed]]," mph"),ROUND(--_xlfn.TEXTBEFORE(Table13[[#This Row],[Max Speed]]," km/h")*0.621371,0))</f>
        <v>150</v>
      </c>
      <c r="N68" s="23" t="s">
        <v>68</v>
      </c>
      <c r="O6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68" s="42" t="str">
        <f>TEXT(Table13[[#This Row],[Min Speed (km/h)]],"0")&amp;" - "&amp;TEXT(Table13[[#This Row],[Max Speed (km/h)]],"0")&amp;""</f>
        <v>64 - 241</v>
      </c>
      <c r="Q68" s="46">
        <f>IF(Table13[[#This Row],[Distance (km)]]="", AVERAGE(Table13[Distance (km)]), Table13[[#This Row],[Distance (km)]])</f>
        <v>600</v>
      </c>
      <c r="R68" s="23" t="s">
        <v>65</v>
      </c>
      <c r="S68" s="42" t="str" cm="1">
        <f t="array" ref="S68">TRIM(INDEX(_xlfn.TEXTSPLIT(Table13[[#This Row],[Shipping Address]],","),1))</f>
        <v>678 Calle 5 de Febrero</v>
      </c>
      <c r="T68" s="42" t="str" cm="1">
        <f t="array" ref="T68">TRIM(INDEX(_xlfn.TEXTSPLIT(Table13[[#This Row],[Shipping Address]],","),2))</f>
        <v>Puebla</v>
      </c>
      <c r="U68" s="42" t="str" cm="1">
        <f t="array" ref="U68">TRIM(INDEX(_xlfn.TEXTSPLIT(Table13[[#This Row],[Shipping Address]],","),3))</f>
        <v>03230</v>
      </c>
      <c r="V68" s="23" t="s">
        <v>57</v>
      </c>
      <c r="W68" s="42" t="str" cm="1">
        <f t="array" ref="W68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68" s="42" t="str" cm="1">
        <f t="array" ref="X68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68" s="23" t="s">
        <v>66</v>
      </c>
      <c r="Z68" s="33">
        <f>_xlfn.NUMBERVALUE(_xlfn.TEXTBEFORE(Table13[[#This Row],[Unit Price]]," "))</f>
        <v>5289</v>
      </c>
      <c r="AA68" s="23" t="str">
        <f>RIGHT(Table13[[#This Row],[Unit Price]],LEN(Table13[[#This Row],[Unit Price]])-FIND(" ",Table13[[#This Row],[Unit Price]]))</f>
        <v>MXN</v>
      </c>
      <c r="AB68" s="33" cm="1">
        <f t="array" ref="AB68">Table13[[#This Row],[Unit Price Value]]*_xlfn.XLOOKUP(Table13[[#This Row],[Unit Price Currency]],{"EUR","USD","GBP","BRL","CAD","CNY","AUD","ZAR","MXN","JPY","INR"},{1,0.86,1.15,0.15,0.63,0.12,0.56,0.05,0.05,0.01,0.01},NA())</f>
        <v>264.45</v>
      </c>
      <c r="AC68" s="32">
        <v>8</v>
      </c>
      <c r="AD68" s="32">
        <v>15</v>
      </c>
      <c r="AE68" s="20">
        <f>IF(Table13[[#This Row],[Discount (%)]]="",CHOOSE(MATCH(MOD(Table13[[#This Row],[Sales Rep ID]],3)+1,{1,2,3},0),5,10,15),Table13[[#This Row],[Discount (%)]])</f>
        <v>15</v>
      </c>
      <c r="AF68" s="38">
        <f>Table13[[#This Row],[Unit Price (EUR)]]*Table13[[#This Row],[Units Sold]]</f>
        <v>2115.6</v>
      </c>
      <c r="AG68" s="38">
        <f>Table13[[#This Row],[Gross Price (Euro)]]*Table13[[#This Row],[Calc Discount (%)]]/100</f>
        <v>317.33999999999997</v>
      </c>
      <c r="AH68" s="39">
        <f>Table13[[#This Row],[Gross Price (Euro)]]-Table13[[#This Row],[Discount Value (Euro)]]</f>
        <v>1798.26</v>
      </c>
    </row>
    <row r="69" spans="1:34" x14ac:dyDescent="0.25">
      <c r="A69" s="43">
        <v>68</v>
      </c>
      <c r="B69" s="23" t="s">
        <v>13</v>
      </c>
      <c r="C69" s="23" t="s">
        <v>14</v>
      </c>
      <c r="D69" s="23" t="str">
        <f>_xlfn.TEXTJOIN(" ",,Table13[[#This Row],[Rep First Name]],Table13[[#This Row],[Rep Last Name]])</f>
        <v>Sanya Joshi</v>
      </c>
      <c r="E69" s="23" t="s">
        <v>76</v>
      </c>
      <c r="F69" s="23" t="str">
        <f>IF(LEN(Table13[[#This Row],[Month]]) &gt; 0, LEFT(Table13[[#This Row],[Month]], 3), "")</f>
        <v>May</v>
      </c>
      <c r="G69" s="23" t="s">
        <v>67</v>
      </c>
      <c r="H69" s="23" t="s">
        <v>48</v>
      </c>
      <c r="I69" s="44">
        <f>IF(ISNUMBER(SEARCH("km/h",Table13[[#This Row],[Min Speed]])),VALUE(_xlfn.TEXTBEFORE(Table13[[#This Row],[Min Speed]]," ")),ROUND(VALUE(_xlfn.TEXTBEFORE(Table13[[#This Row],[Min Speed]]," "))*1.60934,0))</f>
        <v>20</v>
      </c>
      <c r="J69" s="44">
        <f>ROUND(IF(ISNUMBER(SEARCH("km/h",Table13[[#This Row],[Min Speed]])),Table13[[#This Row],[Min Speed (km/h)]]*0.621371,VALUE(_xlfn.TEXTBEFORE(Table13[[#This Row],[Min Speed]]," "))),0)</f>
        <v>12</v>
      </c>
      <c r="K69" s="23" t="s">
        <v>55</v>
      </c>
      <c r="L69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69" s="44">
        <f>IF(ISNUMBER(SEARCH("mph",Table13[[#This Row],[Max Speed]])),--_xlfn.TEXTBEFORE(Table13[[#This Row],[Max Speed]]," mph"),ROUND(--_xlfn.TEXTBEFORE(Table13[[#This Row],[Max Speed]]," km/h")*0.621371,0))</f>
        <v>100</v>
      </c>
      <c r="N69" s="23" t="s">
        <v>26</v>
      </c>
      <c r="O6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69" s="42" t="str">
        <f>TEXT(Table13[[#This Row],[Min Speed (km/h)]],"0")&amp;" - "&amp;TEXT(Table13[[#This Row],[Max Speed (km/h)]],"0")&amp;""</f>
        <v>20 - 161</v>
      </c>
      <c r="Q69" s="46">
        <f>IF(Table13[[#This Row],[Distance (km)]]="", AVERAGE(Table13[Distance (km)]), Table13[[#This Row],[Distance (km)]])</f>
        <v>482.80200000000002</v>
      </c>
      <c r="R69" s="23" t="s">
        <v>69</v>
      </c>
      <c r="S69" s="42" t="str" cm="1">
        <f t="array" ref="S69">TRIM(INDEX(_xlfn.TEXTSPLIT(Table13[[#This Row],[Shipping Address]],","),1))</f>
        <v>123 Rua da Liberdade</v>
      </c>
      <c r="T69" s="42" t="str" cm="1">
        <f t="array" ref="T69">TRIM(INDEX(_xlfn.TEXTSPLIT(Table13[[#This Row],[Shipping Address]],","),2))</f>
        <v>São Paulo</v>
      </c>
      <c r="U69" s="42" t="str" cm="1">
        <f t="array" ref="U69">TRIM(INDEX(_xlfn.TEXTSPLIT(Table13[[#This Row],[Shipping Address]],","),3))</f>
        <v>01234-000</v>
      </c>
      <c r="V69" s="23" t="s">
        <v>70</v>
      </c>
      <c r="W69" s="42" t="str" cm="1">
        <f t="array" ref="W69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69" s="42" t="str" cm="1">
        <f t="array" ref="X69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69" s="23" t="s">
        <v>71</v>
      </c>
      <c r="Z69" s="33">
        <f>_xlfn.NUMBERVALUE(_xlfn.TEXTBEFORE(Table13[[#This Row],[Unit Price]]," "))</f>
        <v>758</v>
      </c>
      <c r="AA69" s="23" t="str">
        <f>RIGHT(Table13[[#This Row],[Unit Price]],LEN(Table13[[#This Row],[Unit Price]])-FIND(" ",Table13[[#This Row],[Unit Price]]))</f>
        <v>BRL</v>
      </c>
      <c r="AB69" s="33" cm="1">
        <f t="array" ref="AB69">Table13[[#This Row],[Unit Price Value]]*_xlfn.XLOOKUP(Table13[[#This Row],[Unit Price Currency]],{"EUR","USD","GBP","BRL","CAD","CNY","AUD","ZAR","MXN","JPY","INR"},{1,0.86,1.15,0.15,0.63,0.12,0.56,0.05,0.05,0.01,0.01},NA())</f>
        <v>113.7</v>
      </c>
      <c r="AC69" s="32">
        <v>20</v>
      </c>
      <c r="AD69" s="32"/>
      <c r="AE69" s="20">
        <f>IF(Table13[[#This Row],[Discount (%)]]="",CHOOSE(MATCH(MOD(Table13[[#This Row],[Sales Rep ID]],3)+1,{1,2,3},0),5,10,15),Table13[[#This Row],[Discount (%)]])</f>
        <v>15</v>
      </c>
      <c r="AF69" s="38">
        <f>Table13[[#This Row],[Unit Price (EUR)]]*Table13[[#This Row],[Units Sold]]</f>
        <v>2274</v>
      </c>
      <c r="AG69" s="38">
        <f>Table13[[#This Row],[Gross Price (Euro)]]*Table13[[#This Row],[Calc Discount (%)]]/100</f>
        <v>341.1</v>
      </c>
      <c r="AH69" s="39">
        <f>Table13[[#This Row],[Gross Price (Euro)]]-Table13[[#This Row],[Discount Value (Euro)]]</f>
        <v>1932.9</v>
      </c>
    </row>
    <row r="70" spans="1:34" x14ac:dyDescent="0.25">
      <c r="A70" s="43">
        <v>69</v>
      </c>
      <c r="B70" s="23" t="s">
        <v>13</v>
      </c>
      <c r="C70" s="23" t="s">
        <v>14</v>
      </c>
      <c r="D70" s="23" t="str">
        <f>_xlfn.TEXTJOIN(" ",,Table13[[#This Row],[Rep First Name]],Table13[[#This Row],[Rep Last Name]])</f>
        <v>Sanya Joshi</v>
      </c>
      <c r="E70" s="23" t="s">
        <v>31</v>
      </c>
      <c r="F70" s="23" t="str">
        <f>IF(LEN(Table13[[#This Row],[Month]]) &gt; 0, LEFT(Table13[[#This Row],[Month]], 3), "")</f>
        <v>Jan</v>
      </c>
      <c r="G70" s="23" t="s">
        <v>43</v>
      </c>
      <c r="H70" s="23" t="s">
        <v>24</v>
      </c>
      <c r="I70" s="44">
        <f>IF(ISNUMBER(SEARCH("km/h",Table13[[#This Row],[Min Speed]])),VALUE(_xlfn.TEXTBEFORE(Table13[[#This Row],[Min Speed]]," ")),ROUND(VALUE(_xlfn.TEXTBEFORE(Table13[[#This Row],[Min Speed]]," "))*1.60934,0))</f>
        <v>80</v>
      </c>
      <c r="J70" s="44">
        <f>ROUND(IF(ISNUMBER(SEARCH("km/h",Table13[[#This Row],[Min Speed]])),Table13[[#This Row],[Min Speed (km/h)]]*0.621371,VALUE(_xlfn.TEXTBEFORE(Table13[[#This Row],[Min Speed]]," "))),0)</f>
        <v>50</v>
      </c>
      <c r="K70" s="23" t="s">
        <v>44</v>
      </c>
      <c r="L70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70" s="44">
        <f>IF(ISNUMBER(SEARCH("mph",Table13[[#This Row],[Max Speed]])),--_xlfn.TEXTBEFORE(Table13[[#This Row],[Max Speed]]," mph"),ROUND(--_xlfn.TEXTBEFORE(Table13[[#This Row],[Max Speed]]," km/h")*0.621371,0))</f>
        <v>50</v>
      </c>
      <c r="N70" s="23" t="s">
        <v>26</v>
      </c>
      <c r="O7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70" s="42" t="str">
        <f>TEXT(Table13[[#This Row],[Min Speed (km/h)]],"0")&amp;" - "&amp;TEXT(Table13[[#This Row],[Max Speed (km/h)]],"0")&amp;""</f>
        <v>80 - 80</v>
      </c>
      <c r="Q70" s="46">
        <f>IF(Table13[[#This Row],[Distance (km)]]="", AVERAGE(Table13[Distance (km)]), Table13[[#This Row],[Distance (km)]])</f>
        <v>482.80200000000002</v>
      </c>
      <c r="R70" s="23" t="s">
        <v>72</v>
      </c>
      <c r="S70" s="42" t="str" cm="1">
        <f t="array" ref="S70">TRIM(INDEX(_xlfn.TEXTSPLIT(Table13[[#This Row],[Shipping Address]],","),1))</f>
        <v>456 Avenida Paulista</v>
      </c>
      <c r="T70" s="42" t="str" cm="1">
        <f t="array" ref="T70">TRIM(INDEX(_xlfn.TEXTSPLIT(Table13[[#This Row],[Shipping Address]],","),2))</f>
        <v>Rio de Janeiro</v>
      </c>
      <c r="U70" s="42" t="str" cm="1">
        <f t="array" ref="U70">TRIM(INDEX(_xlfn.TEXTSPLIT(Table13[[#This Row],[Shipping Address]],","),3))</f>
        <v>01311-000</v>
      </c>
      <c r="V70" s="23" t="s">
        <v>70</v>
      </c>
      <c r="W70" s="42" t="str" cm="1">
        <f t="array" ref="W70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70" s="42" t="str" cm="1">
        <f t="array" ref="X70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70" s="23" t="s">
        <v>73</v>
      </c>
      <c r="Z70" s="33">
        <f>_xlfn.NUMBERVALUE(_xlfn.TEXTBEFORE(Table13[[#This Row],[Unit Price]]," "))</f>
        <v>1012</v>
      </c>
      <c r="AA70" s="23" t="str">
        <f>RIGHT(Table13[[#This Row],[Unit Price]],LEN(Table13[[#This Row],[Unit Price]])-FIND(" ",Table13[[#This Row],[Unit Price]]))</f>
        <v>BRL</v>
      </c>
      <c r="AB70" s="33" cm="1">
        <f t="array" ref="AB70">Table13[[#This Row],[Unit Price Value]]*_xlfn.XLOOKUP(Table13[[#This Row],[Unit Price Currency]],{"EUR","USD","GBP","BRL","CAD","CNY","AUD","ZAR","MXN","JPY","INR"},{1,0.86,1.15,0.15,0.63,0.12,0.56,0.05,0.05,0.01,0.01},NA())</f>
        <v>151.79999999999998</v>
      </c>
      <c r="AC70" s="32">
        <v>13</v>
      </c>
      <c r="AD70" s="32">
        <v>5</v>
      </c>
      <c r="AE70" s="20">
        <f>IF(Table13[[#This Row],[Discount (%)]]="",CHOOSE(MATCH(MOD(Table13[[#This Row],[Sales Rep ID]],3)+1,{1,2,3},0),5,10,15),Table13[[#This Row],[Discount (%)]])</f>
        <v>5</v>
      </c>
      <c r="AF70" s="38">
        <f>Table13[[#This Row],[Unit Price (EUR)]]*Table13[[#This Row],[Units Sold]]</f>
        <v>1973.3999999999999</v>
      </c>
      <c r="AG70" s="38">
        <f>Table13[[#This Row],[Gross Price (Euro)]]*Table13[[#This Row],[Calc Discount (%)]]/100</f>
        <v>98.67</v>
      </c>
      <c r="AH70" s="39">
        <f>Table13[[#This Row],[Gross Price (Euro)]]-Table13[[#This Row],[Discount Value (Euro)]]</f>
        <v>1874.7299999999998</v>
      </c>
    </row>
    <row r="71" spans="1:34" x14ac:dyDescent="0.25">
      <c r="A71" s="43">
        <v>70</v>
      </c>
      <c r="B71" s="23" t="s">
        <v>13</v>
      </c>
      <c r="C71" s="23" t="s">
        <v>14</v>
      </c>
      <c r="D71" s="23" t="str">
        <f>_xlfn.TEXTJOIN(" ",,Table13[[#This Row],[Rep First Name]],Table13[[#This Row],[Rep Last Name]])</f>
        <v>Sanya Joshi</v>
      </c>
      <c r="E71" s="23" t="s">
        <v>15</v>
      </c>
      <c r="F71" s="23" t="str">
        <f>IF(LEN(Table13[[#This Row],[Month]]) &gt; 0, LEFT(Table13[[#This Row],[Month]], 3), "")</f>
        <v>Jun</v>
      </c>
      <c r="G71" s="23" t="s">
        <v>27</v>
      </c>
      <c r="H71" s="23" t="s">
        <v>24</v>
      </c>
      <c r="I71" s="44">
        <f>IF(ISNUMBER(SEARCH("km/h",Table13[[#This Row],[Min Speed]])),VALUE(_xlfn.TEXTBEFORE(Table13[[#This Row],[Min Speed]]," ")),ROUND(VALUE(_xlfn.TEXTBEFORE(Table13[[#This Row],[Min Speed]]," "))*1.60934,0))</f>
        <v>80</v>
      </c>
      <c r="J71" s="44">
        <f>ROUND(IF(ISNUMBER(SEARCH("km/h",Table13[[#This Row],[Min Speed]])),Table13[[#This Row],[Min Speed (km/h)]]*0.621371,VALUE(_xlfn.TEXTBEFORE(Table13[[#This Row],[Min Speed]]," "))),0)</f>
        <v>50</v>
      </c>
      <c r="K71" s="23" t="s">
        <v>44</v>
      </c>
      <c r="L71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71" s="44">
        <f>IF(ISNUMBER(SEARCH("mph",Table13[[#This Row],[Max Speed]])),--_xlfn.TEXTBEFORE(Table13[[#This Row],[Max Speed]]," mph"),ROUND(--_xlfn.TEXTBEFORE(Table13[[#This Row],[Max Speed]]," km/h")*0.621371,0))</f>
        <v>50</v>
      </c>
      <c r="N71" s="23"/>
      <c r="O71" s="45" t="str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/>
      </c>
      <c r="P71" s="42" t="str">
        <f>TEXT(Table13[[#This Row],[Min Speed (km/h)]],"0")&amp;" - "&amp;TEXT(Table13[[#This Row],[Max Speed (km/h)]],"0")&amp;""</f>
        <v>80 - 80</v>
      </c>
      <c r="Q71" s="46">
        <f>IF(Table13[[#This Row],[Distance (km)]]="", AVERAGE(Table13[Distance (km)]), Table13[[#This Row],[Distance (km)]])</f>
        <v>451.98137500000013</v>
      </c>
      <c r="R71" s="23" t="s">
        <v>74</v>
      </c>
      <c r="S71" s="42" t="str" cm="1">
        <f t="array" ref="S71">TRIM(INDEX(_xlfn.TEXTSPLIT(Table13[[#This Row],[Shipping Address]],","),1))</f>
        <v>789 Rua dos Três Irmãos</v>
      </c>
      <c r="T71" s="42" t="str" cm="1">
        <f t="array" ref="T71">TRIM(INDEX(_xlfn.TEXTSPLIT(Table13[[#This Row],[Shipping Address]],","),2))</f>
        <v>Brasília</v>
      </c>
      <c r="U71" s="42" t="str" cm="1">
        <f t="array" ref="U71">TRIM(INDEX(_xlfn.TEXTSPLIT(Table13[[#This Row],[Shipping Address]],","),3))</f>
        <v>05432-000</v>
      </c>
      <c r="V71" s="23" t="s">
        <v>70</v>
      </c>
      <c r="W71" s="42" t="str" cm="1">
        <f t="array" ref="W71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71" s="42" t="str" cm="1">
        <f t="array" ref="X71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71" s="23" t="s">
        <v>75</v>
      </c>
      <c r="Z71" s="33">
        <f>_xlfn.NUMBERVALUE(_xlfn.TEXTBEFORE(Table13[[#This Row],[Unit Price]]," "))</f>
        <v>1265</v>
      </c>
      <c r="AA71" s="23" t="str">
        <f>RIGHT(Table13[[#This Row],[Unit Price]],LEN(Table13[[#This Row],[Unit Price]])-FIND(" ",Table13[[#This Row],[Unit Price]]))</f>
        <v>BRL</v>
      </c>
      <c r="AB71" s="33" cm="1">
        <f t="array" ref="AB71">Table13[[#This Row],[Unit Price Value]]*_xlfn.XLOOKUP(Table13[[#This Row],[Unit Price Currency]],{"EUR","USD","GBP","BRL","CAD","CNY","AUD","ZAR","MXN","JPY","INR"},{1,0.86,1.15,0.15,0.63,0.12,0.56,0.05,0.05,0.01,0.01},NA())</f>
        <v>189.75</v>
      </c>
      <c r="AC71" s="32">
        <v>10</v>
      </c>
      <c r="AD71" s="32">
        <v>15</v>
      </c>
      <c r="AE71" s="20">
        <f>IF(Table13[[#This Row],[Discount (%)]]="",CHOOSE(MATCH(MOD(Table13[[#This Row],[Sales Rep ID]],3)+1,{1,2,3},0),5,10,15),Table13[[#This Row],[Discount (%)]])</f>
        <v>15</v>
      </c>
      <c r="AF71" s="38">
        <f>Table13[[#This Row],[Unit Price (EUR)]]*Table13[[#This Row],[Units Sold]]</f>
        <v>1897.5</v>
      </c>
      <c r="AG71" s="38">
        <f>Table13[[#This Row],[Gross Price (Euro)]]*Table13[[#This Row],[Calc Discount (%)]]/100</f>
        <v>284.625</v>
      </c>
      <c r="AH71" s="39">
        <f>Table13[[#This Row],[Gross Price (Euro)]]-Table13[[#This Row],[Discount Value (Euro)]]</f>
        <v>1612.875</v>
      </c>
    </row>
    <row r="72" spans="1:34" x14ac:dyDescent="0.25">
      <c r="A72" s="43">
        <v>71</v>
      </c>
      <c r="B72" s="23" t="s">
        <v>35</v>
      </c>
      <c r="C72" s="23" t="s">
        <v>36</v>
      </c>
      <c r="D72" s="23" t="str">
        <f>_xlfn.TEXTJOIN(" ",,Table13[[#This Row],[Rep First Name]],Table13[[#This Row],[Rep Last Name]])</f>
        <v>Fang Liu</v>
      </c>
      <c r="E72" s="23" t="s">
        <v>15</v>
      </c>
      <c r="F72" s="23" t="str">
        <f>IF(LEN(Table13[[#This Row],[Month]]) &gt; 0, LEFT(Table13[[#This Row],[Month]], 3), "")</f>
        <v>Jun</v>
      </c>
      <c r="G72" s="23" t="s">
        <v>27</v>
      </c>
      <c r="H72" s="23" t="s">
        <v>48</v>
      </c>
      <c r="I72" s="44">
        <f>IF(ISNUMBER(SEARCH("km/h",Table13[[#This Row],[Min Speed]])),VALUE(_xlfn.TEXTBEFORE(Table13[[#This Row],[Min Speed]]," ")),ROUND(VALUE(_xlfn.TEXTBEFORE(Table13[[#This Row],[Min Speed]]," "))*1.60934,0))</f>
        <v>20</v>
      </c>
      <c r="J72" s="44">
        <f>ROUND(IF(ISNUMBER(SEARCH("km/h",Table13[[#This Row],[Min Speed]])),Table13[[#This Row],[Min Speed (km/h)]]*0.621371,VALUE(_xlfn.TEXTBEFORE(Table13[[#This Row],[Min Speed]]," "))),0)</f>
        <v>12</v>
      </c>
      <c r="K72" s="23" t="s">
        <v>18</v>
      </c>
      <c r="L72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72" s="44">
        <f>IF(ISNUMBER(SEARCH("mph",Table13[[#This Row],[Max Speed]])),--_xlfn.TEXTBEFORE(Table13[[#This Row],[Max Speed]]," mph"),ROUND(--_xlfn.TEXTBEFORE(Table13[[#This Row],[Max Speed]]," km/h")*0.621371,0))</f>
        <v>75</v>
      </c>
      <c r="N72" s="23" t="s">
        <v>28</v>
      </c>
      <c r="O7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72" s="42" t="str">
        <f>TEXT(Table13[[#This Row],[Min Speed (km/h)]],"0")&amp;" - "&amp;TEXT(Table13[[#This Row],[Max Speed (km/h)]],"0")&amp;""</f>
        <v>20 - 120</v>
      </c>
      <c r="Q72" s="46">
        <f>IF(Table13[[#This Row],[Distance (km)]]="", AVERAGE(Table13[Distance (km)]), Table13[[#This Row],[Distance (km)]])</f>
        <v>241.40100000000001</v>
      </c>
      <c r="R72" s="23" t="s">
        <v>77</v>
      </c>
      <c r="S72" s="42" t="str" cm="1">
        <f t="array" ref="S72">TRIM(INDEX(_xlfn.TEXTSPLIT(Table13[[#This Row],[Shipping Address]],","),1))</f>
        <v>321 Rua das Flores</v>
      </c>
      <c r="T72" s="42" t="str" cm="1">
        <f t="array" ref="T72">TRIM(INDEX(_xlfn.TEXTSPLIT(Table13[[#This Row],[Shipping Address]],","),2))</f>
        <v>Belo Horizonte</v>
      </c>
      <c r="U72" s="42" t="str" cm="1">
        <f t="array" ref="U72">TRIM(INDEX(_xlfn.TEXTSPLIT(Table13[[#This Row],[Shipping Address]],","),3))</f>
        <v>01235-000</v>
      </c>
      <c r="V72" s="23" t="s">
        <v>70</v>
      </c>
      <c r="W72" s="42" t="str" cm="1">
        <f t="array" ref="W72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72" s="42" t="str" cm="1">
        <f t="array" ref="X72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72" s="23" t="s">
        <v>78</v>
      </c>
      <c r="Z72" s="33">
        <f>_xlfn.NUMBERVALUE(_xlfn.TEXTBEFORE(Table13[[#This Row],[Unit Price]]," "))</f>
        <v>1512</v>
      </c>
      <c r="AA72" s="23" t="str">
        <f>RIGHT(Table13[[#This Row],[Unit Price]],LEN(Table13[[#This Row],[Unit Price]])-FIND(" ",Table13[[#This Row],[Unit Price]]))</f>
        <v>BRL</v>
      </c>
      <c r="AB72" s="33" cm="1">
        <f t="array" ref="AB72">Table13[[#This Row],[Unit Price Value]]*_xlfn.XLOOKUP(Table13[[#This Row],[Unit Price Currency]],{"EUR","USD","GBP","BRL","CAD","CNY","AUD","ZAR","MXN","JPY","INR"},{1,0.86,1.15,0.15,0.63,0.12,0.56,0.05,0.05,0.01,0.01},NA())</f>
        <v>226.79999999999998</v>
      </c>
      <c r="AC72" s="32">
        <v>6</v>
      </c>
      <c r="AD72" s="32"/>
      <c r="AE72" s="20">
        <f>IF(Table13[[#This Row],[Discount (%)]]="",CHOOSE(MATCH(MOD(Table13[[#This Row],[Sales Rep ID]],3)+1,{1,2,3},0),5,10,15),Table13[[#This Row],[Discount (%)]])</f>
        <v>15</v>
      </c>
      <c r="AF72" s="38">
        <f>Table13[[#This Row],[Unit Price (EUR)]]*Table13[[#This Row],[Units Sold]]</f>
        <v>1360.8</v>
      </c>
      <c r="AG72" s="38">
        <f>Table13[[#This Row],[Gross Price (Euro)]]*Table13[[#This Row],[Calc Discount (%)]]/100</f>
        <v>204.12</v>
      </c>
      <c r="AH72" s="39">
        <f>Table13[[#This Row],[Gross Price (Euro)]]-Table13[[#This Row],[Discount Value (Euro)]]</f>
        <v>1156.6799999999998</v>
      </c>
    </row>
    <row r="73" spans="1:34" x14ac:dyDescent="0.25">
      <c r="A73" s="43">
        <v>72</v>
      </c>
      <c r="B73" s="23" t="s">
        <v>35</v>
      </c>
      <c r="C73" s="23" t="s">
        <v>36</v>
      </c>
      <c r="D73" s="23" t="str">
        <f>_xlfn.TEXTJOIN(" ",,Table13[[#This Row],[Rep First Name]],Table13[[#This Row],[Rep Last Name]])</f>
        <v>Fang Liu</v>
      </c>
      <c r="E73" s="23" t="s">
        <v>23</v>
      </c>
      <c r="F73" s="23" t="str">
        <f>IF(LEN(Table13[[#This Row],[Month]]) &gt; 0, LEFT(Table13[[#This Row],[Month]], 3), "")</f>
        <v>Mar</v>
      </c>
      <c r="G73" s="23" t="s">
        <v>16</v>
      </c>
      <c r="H73" s="23" t="s">
        <v>48</v>
      </c>
      <c r="I73" s="44">
        <f>IF(ISNUMBER(SEARCH("km/h",Table13[[#This Row],[Min Speed]])),VALUE(_xlfn.TEXTBEFORE(Table13[[#This Row],[Min Speed]]," ")),ROUND(VALUE(_xlfn.TEXTBEFORE(Table13[[#This Row],[Min Speed]]," "))*1.60934,0))</f>
        <v>20</v>
      </c>
      <c r="J73" s="44">
        <f>ROUND(IF(ISNUMBER(SEARCH("km/h",Table13[[#This Row],[Min Speed]])),Table13[[#This Row],[Min Speed (km/h)]]*0.621371,VALUE(_xlfn.TEXTBEFORE(Table13[[#This Row],[Min Speed]]," "))),0)</f>
        <v>12</v>
      </c>
      <c r="K73" s="23" t="s">
        <v>25</v>
      </c>
      <c r="L73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73" s="44">
        <f>IF(ISNUMBER(SEARCH("mph",Table13[[#This Row],[Max Speed]])),--_xlfn.TEXTBEFORE(Table13[[#This Row],[Max Speed]]," mph"),ROUND(--_xlfn.TEXTBEFORE(Table13[[#This Row],[Max Speed]]," km/h")*0.621371,0))</f>
        <v>150</v>
      </c>
      <c r="N73" s="23" t="s">
        <v>26</v>
      </c>
      <c r="O7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73" s="42" t="str">
        <f>TEXT(Table13[[#This Row],[Min Speed (km/h)]],"0")&amp;" - "&amp;TEXT(Table13[[#This Row],[Max Speed (km/h)]],"0")&amp;""</f>
        <v>20 - 241</v>
      </c>
      <c r="Q73" s="46">
        <f>IF(Table13[[#This Row],[Distance (km)]]="", AVERAGE(Table13[Distance (km)]), Table13[[#This Row],[Distance (km)]])</f>
        <v>482.80200000000002</v>
      </c>
      <c r="R73" s="23" t="s">
        <v>79</v>
      </c>
      <c r="S73" s="42" t="str" cm="1">
        <f t="array" ref="S73">TRIM(INDEX(_xlfn.TEXTSPLIT(Table13[[#This Row],[Shipping Address]],","),1))</f>
        <v>12 High Street</v>
      </c>
      <c r="T73" s="42" t="str" cm="1">
        <f t="array" ref="T73">TRIM(INDEX(_xlfn.TEXTSPLIT(Table13[[#This Row],[Shipping Address]],","),2))</f>
        <v>London</v>
      </c>
      <c r="U73" s="42" t="str" cm="1">
        <f t="array" ref="U73">TRIM(INDEX(_xlfn.TEXTSPLIT(Table13[[#This Row],[Shipping Address]],","),3))</f>
        <v>SW1A 1AA</v>
      </c>
      <c r="V73" s="23" t="s">
        <v>80</v>
      </c>
      <c r="W73" s="42" t="str" cm="1">
        <f t="array" ref="W73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73" s="42" t="str" cm="1">
        <f t="array" ref="X73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73" s="23" t="s">
        <v>81</v>
      </c>
      <c r="Z73" s="33">
        <f>_xlfn.NUMBERVALUE(_xlfn.TEXTBEFORE(Table13[[#This Row],[Unit Price]]," "))</f>
        <v>117</v>
      </c>
      <c r="AA73" s="23" t="str">
        <f>RIGHT(Table13[[#This Row],[Unit Price]],LEN(Table13[[#This Row],[Unit Price]])-FIND(" ",Table13[[#This Row],[Unit Price]]))</f>
        <v>GBP</v>
      </c>
      <c r="AB73" s="33" cm="1">
        <f t="array" ref="AB73">Table13[[#This Row],[Unit Price Value]]*_xlfn.XLOOKUP(Table13[[#This Row],[Unit Price Currency]],{"EUR","USD","GBP","BRL","CAD","CNY","AUD","ZAR","MXN","JPY","INR"},{1,0.86,1.15,0.15,0.63,0.12,0.56,0.05,0.05,0.01,0.01},NA())</f>
        <v>134.54999999999998</v>
      </c>
      <c r="AC73" s="32">
        <v>28</v>
      </c>
      <c r="AD73" s="32"/>
      <c r="AE73" s="20">
        <f>IF(Table13[[#This Row],[Discount (%)]]="",CHOOSE(MATCH(MOD(Table13[[#This Row],[Sales Rep ID]],3)+1,{1,2,3},0),5,10,15),Table13[[#This Row],[Discount (%)]])</f>
        <v>5</v>
      </c>
      <c r="AF73" s="38">
        <f>Table13[[#This Row],[Unit Price (EUR)]]*Table13[[#This Row],[Units Sold]]</f>
        <v>3767.3999999999996</v>
      </c>
      <c r="AG73" s="38">
        <f>Table13[[#This Row],[Gross Price (Euro)]]*Table13[[#This Row],[Calc Discount (%)]]/100</f>
        <v>188.37</v>
      </c>
      <c r="AH73" s="39">
        <f>Table13[[#This Row],[Gross Price (Euro)]]-Table13[[#This Row],[Discount Value (Euro)]]</f>
        <v>3579.0299999999997</v>
      </c>
    </row>
    <row r="74" spans="1:34" x14ac:dyDescent="0.25">
      <c r="A74" s="43">
        <v>73</v>
      </c>
      <c r="B74" s="23" t="s">
        <v>35</v>
      </c>
      <c r="C74" s="23" t="s">
        <v>36</v>
      </c>
      <c r="D74" s="23" t="str">
        <f>_xlfn.TEXTJOIN(" ",,Table13[[#This Row],[Rep First Name]],Table13[[#This Row],[Rep Last Name]])</f>
        <v>Fang Liu</v>
      </c>
      <c r="E74" s="23" t="s">
        <v>37</v>
      </c>
      <c r="F74" s="23" t="str">
        <f>IF(LEN(Table13[[#This Row],[Month]]) &gt; 0, LEFT(Table13[[#This Row],[Month]], 3), "")</f>
        <v>Feb</v>
      </c>
      <c r="G74" s="23" t="s">
        <v>67</v>
      </c>
      <c r="H74" s="23" t="s">
        <v>48</v>
      </c>
      <c r="I74" s="44">
        <f>IF(ISNUMBER(SEARCH("km/h",Table13[[#This Row],[Min Speed]])),VALUE(_xlfn.TEXTBEFORE(Table13[[#This Row],[Min Speed]]," ")),ROUND(VALUE(_xlfn.TEXTBEFORE(Table13[[#This Row],[Min Speed]]," "))*1.60934,0))</f>
        <v>20</v>
      </c>
      <c r="J74" s="44">
        <f>ROUND(IF(ISNUMBER(SEARCH("km/h",Table13[[#This Row],[Min Speed]])),Table13[[#This Row],[Min Speed (km/h)]]*0.621371,VALUE(_xlfn.TEXTBEFORE(Table13[[#This Row],[Min Speed]]," "))),0)</f>
        <v>12</v>
      </c>
      <c r="K74" s="23" t="s">
        <v>44</v>
      </c>
      <c r="L74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74" s="44">
        <f>IF(ISNUMBER(SEARCH("mph",Table13[[#This Row],[Max Speed]])),--_xlfn.TEXTBEFORE(Table13[[#This Row],[Max Speed]]," mph"),ROUND(--_xlfn.TEXTBEFORE(Table13[[#This Row],[Max Speed]]," km/h")*0.621371,0))</f>
        <v>50</v>
      </c>
      <c r="N74" s="23" t="s">
        <v>68</v>
      </c>
      <c r="O7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74" s="42" t="str">
        <f>TEXT(Table13[[#This Row],[Min Speed (km/h)]],"0")&amp;" - "&amp;TEXT(Table13[[#This Row],[Max Speed (km/h)]],"0")&amp;""</f>
        <v>20 - 80</v>
      </c>
      <c r="Q74" s="46">
        <f>IF(Table13[[#This Row],[Distance (km)]]="", AVERAGE(Table13[Distance (km)]), Table13[[#This Row],[Distance (km)]])</f>
        <v>600</v>
      </c>
      <c r="R74" s="23" t="s">
        <v>82</v>
      </c>
      <c r="S74" s="42" t="str" cm="1">
        <f t="array" ref="S74">TRIM(INDEX(_xlfn.TEXTSPLIT(Table13[[#This Row],[Shipping Address]],","),1))</f>
        <v>34 King’s Road</v>
      </c>
      <c r="T74" s="42" t="str" cm="1">
        <f t="array" ref="T74">TRIM(INDEX(_xlfn.TEXTSPLIT(Table13[[#This Row],[Shipping Address]],","),2))</f>
        <v>Liverpool</v>
      </c>
      <c r="U74" s="42" t="str" cm="1">
        <f t="array" ref="U74">TRIM(INDEX(_xlfn.TEXTSPLIT(Table13[[#This Row],[Shipping Address]],","),3))</f>
        <v>W8 4PX</v>
      </c>
      <c r="V74" s="23" t="s">
        <v>80</v>
      </c>
      <c r="W74" s="42" t="str" cm="1">
        <f t="array" ref="W74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74" s="42" t="str" cm="1">
        <f t="array" ref="X74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74" s="23" t="s">
        <v>83</v>
      </c>
      <c r="Z74" s="33">
        <f>_xlfn.NUMBERVALUE(_xlfn.TEXTBEFORE(Table13[[#This Row],[Unit Price]]," "))</f>
        <v>156</v>
      </c>
      <c r="AA74" s="23" t="str">
        <f>RIGHT(Table13[[#This Row],[Unit Price]],LEN(Table13[[#This Row],[Unit Price]])-FIND(" ",Table13[[#This Row],[Unit Price]]))</f>
        <v>GBP</v>
      </c>
      <c r="AB74" s="33" cm="1">
        <f t="array" ref="AB74">Table13[[#This Row],[Unit Price Value]]*_xlfn.XLOOKUP(Table13[[#This Row],[Unit Price Currency]],{"EUR","USD","GBP","BRL","CAD","CNY","AUD","ZAR","MXN","JPY","INR"},{1,0.86,1.15,0.15,0.63,0.12,0.56,0.05,0.05,0.01,0.01},NA())</f>
        <v>179.39999999999998</v>
      </c>
      <c r="AC74" s="32">
        <v>21</v>
      </c>
      <c r="AD74" s="32">
        <v>10</v>
      </c>
      <c r="AE74" s="20">
        <f>IF(Table13[[#This Row],[Discount (%)]]="",CHOOSE(MATCH(MOD(Table13[[#This Row],[Sales Rep ID]],3)+1,{1,2,3},0),5,10,15),Table13[[#This Row],[Discount (%)]])</f>
        <v>10</v>
      </c>
      <c r="AF74" s="38">
        <f>Table13[[#This Row],[Unit Price (EUR)]]*Table13[[#This Row],[Units Sold]]</f>
        <v>3767.3999999999996</v>
      </c>
      <c r="AG74" s="38">
        <f>Table13[[#This Row],[Gross Price (Euro)]]*Table13[[#This Row],[Calc Discount (%)]]/100</f>
        <v>376.74</v>
      </c>
      <c r="AH74" s="39">
        <f>Table13[[#This Row],[Gross Price (Euro)]]-Table13[[#This Row],[Discount Value (Euro)]]</f>
        <v>3390.66</v>
      </c>
    </row>
    <row r="75" spans="1:34" x14ac:dyDescent="0.25">
      <c r="A75" s="43">
        <v>74</v>
      </c>
      <c r="B75" s="23" t="s">
        <v>45</v>
      </c>
      <c r="C75" s="23" t="s">
        <v>46</v>
      </c>
      <c r="D75" s="23" t="str">
        <f>_xlfn.TEXTJOIN(" ",,Table13[[#This Row],[Rep First Name]],Table13[[#This Row],[Rep Last Name]])</f>
        <v>Jonas Fischer</v>
      </c>
      <c r="E75" s="23" t="s">
        <v>15</v>
      </c>
      <c r="F75" s="23" t="str">
        <f>IF(LEN(Table13[[#This Row],[Month]]) &gt; 0, LEFT(Table13[[#This Row],[Month]], 3), "")</f>
        <v>Jun</v>
      </c>
      <c r="G75" s="23" t="s">
        <v>16</v>
      </c>
      <c r="H75" s="23" t="s">
        <v>17</v>
      </c>
      <c r="I75" s="44">
        <f>IF(ISNUMBER(SEARCH("km/h",Table13[[#This Row],[Min Speed]])),VALUE(_xlfn.TEXTBEFORE(Table13[[#This Row],[Min Speed]]," ")),ROUND(VALUE(_xlfn.TEXTBEFORE(Table13[[#This Row],[Min Speed]]," "))*1.60934,0))</f>
        <v>64</v>
      </c>
      <c r="J75" s="44">
        <f>ROUND(IF(ISNUMBER(SEARCH("km/h",Table13[[#This Row],[Min Speed]])),Table13[[#This Row],[Min Speed (km/h)]]*0.621371,VALUE(_xlfn.TEXTBEFORE(Table13[[#This Row],[Min Speed]]," "))),0)</f>
        <v>40</v>
      </c>
      <c r="K75" s="23" t="s">
        <v>18</v>
      </c>
      <c r="L75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75" s="44">
        <f>IF(ISNUMBER(SEARCH("mph",Table13[[#This Row],[Max Speed]])),--_xlfn.TEXTBEFORE(Table13[[#This Row],[Max Speed]]," mph"),ROUND(--_xlfn.TEXTBEFORE(Table13[[#This Row],[Max Speed]]," km/h")*0.621371,0))</f>
        <v>75</v>
      </c>
      <c r="N75" s="23" t="s">
        <v>26</v>
      </c>
      <c r="O7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75" s="42" t="str">
        <f>TEXT(Table13[[#This Row],[Min Speed (km/h)]],"0")&amp;" - "&amp;TEXT(Table13[[#This Row],[Max Speed (km/h)]],"0")&amp;""</f>
        <v>64 - 120</v>
      </c>
      <c r="Q75" s="46">
        <f>IF(Table13[[#This Row],[Distance (km)]]="", AVERAGE(Table13[Distance (km)]), Table13[[#This Row],[Distance (km)]])</f>
        <v>482.80200000000002</v>
      </c>
      <c r="R75" s="23" t="s">
        <v>84</v>
      </c>
      <c r="S75" s="42" t="str" cm="1">
        <f t="array" ref="S75">TRIM(INDEX(_xlfn.TEXTSPLIT(Table13[[#This Row],[Shipping Address]],","),1))</f>
        <v>56 Queen Street</v>
      </c>
      <c r="T75" s="42" t="str" cm="1">
        <f t="array" ref="T75">TRIM(INDEX(_xlfn.TEXTSPLIT(Table13[[#This Row],[Shipping Address]],","),2))</f>
        <v>Edinburgh</v>
      </c>
      <c r="U75" s="42" t="str" cm="1">
        <f t="array" ref="U75">TRIM(INDEX(_xlfn.TEXTSPLIT(Table13[[#This Row],[Shipping Address]],","),3))</f>
        <v>EH2 4GQ</v>
      </c>
      <c r="V75" s="23" t="s">
        <v>80</v>
      </c>
      <c r="W75" s="42" t="str" cm="1">
        <f t="array" ref="W75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75" s="42" t="str" cm="1">
        <f t="array" ref="X75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75" s="23" t="s">
        <v>85</v>
      </c>
      <c r="Z75" s="33">
        <f>_xlfn.NUMBERVALUE(_xlfn.TEXTBEFORE(Table13[[#This Row],[Unit Price]]," "))</f>
        <v>195</v>
      </c>
      <c r="AA75" s="23" t="str">
        <f>RIGHT(Table13[[#This Row],[Unit Price]],LEN(Table13[[#This Row],[Unit Price]])-FIND(" ",Table13[[#This Row],[Unit Price]]))</f>
        <v>GBP</v>
      </c>
      <c r="AB75" s="33" cm="1">
        <f t="array" ref="AB75">Table13[[#This Row],[Unit Price Value]]*_xlfn.XLOOKUP(Table13[[#This Row],[Unit Price Currency]],{"EUR","USD","GBP","BRL","CAD","CNY","AUD","ZAR","MXN","JPY","INR"},{1,0.86,1.15,0.15,0.63,0.12,0.56,0.05,0.05,0.01,0.01},NA())</f>
        <v>224.24999999999997</v>
      </c>
      <c r="AC75" s="32">
        <v>15</v>
      </c>
      <c r="AD75" s="32"/>
      <c r="AE75" s="20">
        <f>IF(Table13[[#This Row],[Discount (%)]]="",CHOOSE(MATCH(MOD(Table13[[#This Row],[Sales Rep ID]],3)+1,{1,2,3},0),5,10,15),Table13[[#This Row],[Discount (%)]])</f>
        <v>15</v>
      </c>
      <c r="AF75" s="38">
        <f>Table13[[#This Row],[Unit Price (EUR)]]*Table13[[#This Row],[Units Sold]]</f>
        <v>3363.7499999999995</v>
      </c>
      <c r="AG75" s="38">
        <f>Table13[[#This Row],[Gross Price (Euro)]]*Table13[[#This Row],[Calc Discount (%)]]/100</f>
        <v>504.56249999999994</v>
      </c>
      <c r="AH75" s="39">
        <f>Table13[[#This Row],[Gross Price (Euro)]]-Table13[[#This Row],[Discount Value (Euro)]]</f>
        <v>2859.1874999999995</v>
      </c>
    </row>
    <row r="76" spans="1:34" x14ac:dyDescent="0.25">
      <c r="A76" s="43">
        <v>75</v>
      </c>
      <c r="B76" s="23" t="s">
        <v>45</v>
      </c>
      <c r="C76" s="23" t="s">
        <v>46</v>
      </c>
      <c r="D76" s="23" t="str">
        <f>_xlfn.TEXTJOIN(" ",,Table13[[#This Row],[Rep First Name]],Table13[[#This Row],[Rep Last Name]])</f>
        <v>Jonas Fischer</v>
      </c>
      <c r="E76" s="23" t="s">
        <v>47</v>
      </c>
      <c r="F76" s="23" t="str">
        <f>IF(LEN(Table13[[#This Row],[Month]]) &gt; 0, LEFT(Table13[[#This Row],[Month]], 3), "")</f>
        <v>Apr</v>
      </c>
      <c r="G76" s="23" t="s">
        <v>27</v>
      </c>
      <c r="H76" s="23" t="s">
        <v>17</v>
      </c>
      <c r="I76" s="44">
        <f>IF(ISNUMBER(SEARCH("km/h",Table13[[#This Row],[Min Speed]])),VALUE(_xlfn.TEXTBEFORE(Table13[[#This Row],[Min Speed]]," ")),ROUND(VALUE(_xlfn.TEXTBEFORE(Table13[[#This Row],[Min Speed]]," "))*1.60934,0))</f>
        <v>64</v>
      </c>
      <c r="J76" s="44">
        <f>ROUND(IF(ISNUMBER(SEARCH("km/h",Table13[[#This Row],[Min Speed]])),Table13[[#This Row],[Min Speed (km/h)]]*0.621371,VALUE(_xlfn.TEXTBEFORE(Table13[[#This Row],[Min Speed]]," "))),0)</f>
        <v>40</v>
      </c>
      <c r="K76" s="23" t="s">
        <v>25</v>
      </c>
      <c r="L76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76" s="44">
        <f>IF(ISNUMBER(SEARCH("mph",Table13[[#This Row],[Max Speed]])),--_xlfn.TEXTBEFORE(Table13[[#This Row],[Max Speed]]," mph"),ROUND(--_xlfn.TEXTBEFORE(Table13[[#This Row],[Max Speed]]," km/h")*0.621371,0))</f>
        <v>150</v>
      </c>
      <c r="N76" s="23" t="s">
        <v>26</v>
      </c>
      <c r="O7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76" s="42" t="str">
        <f>TEXT(Table13[[#This Row],[Min Speed (km/h)]],"0")&amp;" - "&amp;TEXT(Table13[[#This Row],[Max Speed (km/h)]],"0")&amp;""</f>
        <v>64 - 241</v>
      </c>
      <c r="Q76" s="46">
        <f>IF(Table13[[#This Row],[Distance (km)]]="", AVERAGE(Table13[Distance (km)]), Table13[[#This Row],[Distance (km)]])</f>
        <v>482.80200000000002</v>
      </c>
      <c r="R76" s="23" t="s">
        <v>86</v>
      </c>
      <c r="S76" s="42" t="str" cm="1">
        <f t="array" ref="S76">TRIM(INDEX(_xlfn.TEXTSPLIT(Table13[[#This Row],[Shipping Address]],","),1))</f>
        <v>78 Church Lane</v>
      </c>
      <c r="T76" s="42" t="str" cm="1">
        <f t="array" ref="T76">TRIM(INDEX(_xlfn.TEXTSPLIT(Table13[[#This Row],[Shipping Address]],","),2))</f>
        <v>Birmingham</v>
      </c>
      <c r="U76" s="42" t="str" cm="1">
        <f t="array" ref="U76">TRIM(INDEX(_xlfn.TEXTSPLIT(Table13[[#This Row],[Shipping Address]],","),3))</f>
        <v>B1 1AA</v>
      </c>
      <c r="V76" s="23" t="s">
        <v>80</v>
      </c>
      <c r="W76" s="42" t="str" cm="1">
        <f t="array" ref="W76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76" s="42" t="str" cm="1">
        <f t="array" ref="X76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76" s="23" t="s">
        <v>87</v>
      </c>
      <c r="Z76" s="33">
        <f>_xlfn.NUMBERVALUE(_xlfn.TEXTBEFORE(Table13[[#This Row],[Unit Price]]," "))</f>
        <v>234</v>
      </c>
      <c r="AA76" s="23" t="str">
        <f>RIGHT(Table13[[#This Row],[Unit Price]],LEN(Table13[[#This Row],[Unit Price]])-FIND(" ",Table13[[#This Row],[Unit Price]]))</f>
        <v>GBP</v>
      </c>
      <c r="AB76" s="33" cm="1">
        <f t="array" ref="AB76">Table13[[#This Row],[Unit Price Value]]*_xlfn.XLOOKUP(Table13[[#This Row],[Unit Price Currency]],{"EUR","USD","GBP","BRL","CAD","CNY","AUD","ZAR","MXN","JPY","INR"},{1,0.86,1.15,0.15,0.63,0.12,0.56,0.05,0.05,0.01,0.01},NA())</f>
        <v>269.09999999999997</v>
      </c>
      <c r="AC76" s="32">
        <v>9</v>
      </c>
      <c r="AD76" s="32">
        <v>15</v>
      </c>
      <c r="AE76" s="20">
        <f>IF(Table13[[#This Row],[Discount (%)]]="",CHOOSE(MATCH(MOD(Table13[[#This Row],[Sales Rep ID]],3)+1,{1,2,3},0),5,10,15),Table13[[#This Row],[Discount (%)]])</f>
        <v>15</v>
      </c>
      <c r="AF76" s="38">
        <f>Table13[[#This Row],[Unit Price (EUR)]]*Table13[[#This Row],[Units Sold]]</f>
        <v>2421.8999999999996</v>
      </c>
      <c r="AG76" s="38">
        <f>Table13[[#This Row],[Gross Price (Euro)]]*Table13[[#This Row],[Calc Discount (%)]]/100</f>
        <v>363.28499999999991</v>
      </c>
      <c r="AH76" s="39">
        <f>Table13[[#This Row],[Gross Price (Euro)]]-Table13[[#This Row],[Discount Value (Euro)]]</f>
        <v>2058.6149999999998</v>
      </c>
    </row>
    <row r="77" spans="1:34" x14ac:dyDescent="0.25">
      <c r="A77" s="43">
        <v>76</v>
      </c>
      <c r="B77" s="23" t="s">
        <v>45</v>
      </c>
      <c r="C77" s="23" t="s">
        <v>46</v>
      </c>
      <c r="D77" s="23" t="str">
        <f>_xlfn.TEXTJOIN(" ",,Table13[[#This Row],[Rep First Name]],Table13[[#This Row],[Rep Last Name]])</f>
        <v>Jonas Fischer</v>
      </c>
      <c r="E77" s="23" t="s">
        <v>47</v>
      </c>
      <c r="F77" s="23" t="str">
        <f>IF(LEN(Table13[[#This Row],[Month]]) &gt; 0, LEFT(Table13[[#This Row],[Month]], 3), "")</f>
        <v>Apr</v>
      </c>
      <c r="G77" s="23" t="s">
        <v>67</v>
      </c>
      <c r="H77" s="23" t="s">
        <v>32</v>
      </c>
      <c r="I77" s="44">
        <f>IF(ISNUMBER(SEARCH("km/h",Table13[[#This Row],[Min Speed]])),VALUE(_xlfn.TEXTBEFORE(Table13[[#This Row],[Min Speed]]," ")),ROUND(VALUE(_xlfn.TEXTBEFORE(Table13[[#This Row],[Min Speed]]," "))*1.60934,0))</f>
        <v>30</v>
      </c>
      <c r="J77" s="44">
        <f>ROUND(IF(ISNUMBER(SEARCH("km/h",Table13[[#This Row],[Min Speed]])),Table13[[#This Row],[Min Speed (km/h)]]*0.621371,VALUE(_xlfn.TEXTBEFORE(Table13[[#This Row],[Min Speed]]," "))),0)</f>
        <v>19</v>
      </c>
      <c r="K77" s="23" t="s">
        <v>55</v>
      </c>
      <c r="L77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77" s="44">
        <f>IF(ISNUMBER(SEARCH("mph",Table13[[#This Row],[Max Speed]])),--_xlfn.TEXTBEFORE(Table13[[#This Row],[Max Speed]]," mph"),ROUND(--_xlfn.TEXTBEFORE(Table13[[#This Row],[Max Speed]]," km/h")*0.621371,0))</f>
        <v>100</v>
      </c>
      <c r="N77" s="23" t="s">
        <v>68</v>
      </c>
      <c r="O7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77" s="42" t="str">
        <f>TEXT(Table13[[#This Row],[Min Speed (km/h)]],"0")&amp;" - "&amp;TEXT(Table13[[#This Row],[Max Speed (km/h)]],"0")&amp;""</f>
        <v>30 - 161</v>
      </c>
      <c r="Q77" s="46">
        <f>IF(Table13[[#This Row],[Distance (km)]]="", AVERAGE(Table13[Distance (km)]), Table13[[#This Row],[Distance (km)]])</f>
        <v>600</v>
      </c>
      <c r="R77" s="23" t="s">
        <v>88</v>
      </c>
      <c r="S77" s="42" t="str" cm="1">
        <f t="array" ref="S77">TRIM(INDEX(_xlfn.TEXTSPLIT(Table13[[#This Row],[Shipping Address]],","),1))</f>
        <v>123 Hauptstraße</v>
      </c>
      <c r="T77" s="42" t="str" cm="1">
        <f t="array" ref="T77">TRIM(INDEX(_xlfn.TEXTSPLIT(Table13[[#This Row],[Shipping Address]],","),2))</f>
        <v>Berlin</v>
      </c>
      <c r="U77" s="42" t="str" cm="1">
        <f t="array" ref="U77">TRIM(INDEX(_xlfn.TEXTSPLIT(Table13[[#This Row],[Shipping Address]],","),3))</f>
        <v>10115</v>
      </c>
      <c r="V77" s="23" t="s">
        <v>89</v>
      </c>
      <c r="W77" s="42" t="str" cm="1">
        <f t="array" ref="W77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77" s="42" t="str" cm="1">
        <f t="array" ref="X77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77" s="23" t="s">
        <v>90</v>
      </c>
      <c r="Z77" s="33">
        <f>_xlfn.NUMBERVALUE(_xlfn.TEXTBEFORE(Table13[[#This Row],[Unit Price]]," "))</f>
        <v>139</v>
      </c>
      <c r="AA77" s="23" t="str">
        <f>RIGHT(Table13[[#This Row],[Unit Price]],LEN(Table13[[#This Row],[Unit Price]])-FIND(" ",Table13[[#This Row],[Unit Price]]))</f>
        <v>EUR</v>
      </c>
      <c r="AB77" s="33" cm="1">
        <f t="array" ref="AB77">Table13[[#This Row],[Unit Price Value]]*_xlfn.XLOOKUP(Table13[[#This Row],[Unit Price Currency]],{"EUR","USD","GBP","BRL","CAD","CNY","AUD","ZAR","MXN","JPY","INR"},{1,0.86,1.15,0.15,0.63,0.12,0.56,0.05,0.05,0.01,0.01},NA())</f>
        <v>139</v>
      </c>
      <c r="AC77" s="32">
        <v>25</v>
      </c>
      <c r="AD77" s="32"/>
      <c r="AE77" s="20">
        <f>IF(Table13[[#This Row],[Discount (%)]]="",CHOOSE(MATCH(MOD(Table13[[#This Row],[Sales Rep ID]],3)+1,{1,2,3},0),5,10,15),Table13[[#This Row],[Discount (%)]])</f>
        <v>10</v>
      </c>
      <c r="AF77" s="38">
        <f>Table13[[#This Row],[Unit Price (EUR)]]*Table13[[#This Row],[Units Sold]]</f>
        <v>3475</v>
      </c>
      <c r="AG77" s="38">
        <f>Table13[[#This Row],[Gross Price (Euro)]]*Table13[[#This Row],[Calc Discount (%)]]/100</f>
        <v>347.5</v>
      </c>
      <c r="AH77" s="39">
        <f>Table13[[#This Row],[Gross Price (Euro)]]-Table13[[#This Row],[Discount Value (Euro)]]</f>
        <v>3127.5</v>
      </c>
    </row>
    <row r="78" spans="1:34" x14ac:dyDescent="0.25">
      <c r="A78" s="43">
        <v>77</v>
      </c>
      <c r="B78" s="23" t="s">
        <v>59</v>
      </c>
      <c r="C78" s="23" t="s">
        <v>60</v>
      </c>
      <c r="D78" s="23" t="str">
        <f>_xlfn.TEXTJOIN(" ",,Table13[[#This Row],[Rep First Name]],Table13[[#This Row],[Rep Last Name]])</f>
        <v>Théo Bernard</v>
      </c>
      <c r="E78" s="23" t="s">
        <v>23</v>
      </c>
      <c r="F78" s="23" t="str">
        <f>IF(LEN(Table13[[#This Row],[Month]]) &gt; 0, LEFT(Table13[[#This Row],[Month]], 3), "")</f>
        <v>Mar</v>
      </c>
      <c r="G78" s="23" t="s">
        <v>16</v>
      </c>
      <c r="H78" s="23" t="s">
        <v>48</v>
      </c>
      <c r="I78" s="44">
        <f>IF(ISNUMBER(SEARCH("km/h",Table13[[#This Row],[Min Speed]])),VALUE(_xlfn.TEXTBEFORE(Table13[[#This Row],[Min Speed]]," ")),ROUND(VALUE(_xlfn.TEXTBEFORE(Table13[[#This Row],[Min Speed]]," "))*1.60934,0))</f>
        <v>20</v>
      </c>
      <c r="J78" s="44">
        <f>ROUND(IF(ISNUMBER(SEARCH("km/h",Table13[[#This Row],[Min Speed]])),Table13[[#This Row],[Min Speed (km/h)]]*0.621371,VALUE(_xlfn.TEXTBEFORE(Table13[[#This Row],[Min Speed]]," "))),0)</f>
        <v>12</v>
      </c>
      <c r="K78" s="23" t="s">
        <v>25</v>
      </c>
      <c r="L78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78" s="44">
        <f>IF(ISNUMBER(SEARCH("mph",Table13[[#This Row],[Max Speed]])),--_xlfn.TEXTBEFORE(Table13[[#This Row],[Max Speed]]," mph"),ROUND(--_xlfn.TEXTBEFORE(Table13[[#This Row],[Max Speed]]," km/h")*0.621371,0))</f>
        <v>150</v>
      </c>
      <c r="N78" s="23" t="s">
        <v>28</v>
      </c>
      <c r="O7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78" s="42" t="str">
        <f>TEXT(Table13[[#This Row],[Min Speed (km/h)]],"0")&amp;" - "&amp;TEXT(Table13[[#This Row],[Max Speed (km/h)]],"0")&amp;""</f>
        <v>20 - 241</v>
      </c>
      <c r="Q78" s="46">
        <f>IF(Table13[[#This Row],[Distance (km)]]="", AVERAGE(Table13[Distance (km)]), Table13[[#This Row],[Distance (km)]])</f>
        <v>241.40100000000001</v>
      </c>
      <c r="R78" s="23" t="s">
        <v>91</v>
      </c>
      <c r="S78" s="42" t="str" cm="1">
        <f t="array" ref="S78">TRIM(INDEX(_xlfn.TEXTSPLIT(Table13[[#This Row],[Shipping Address]],","),1))</f>
        <v>456 Bahnhofstraße</v>
      </c>
      <c r="T78" s="42" t="str" cm="1">
        <f t="array" ref="T78">TRIM(INDEX(_xlfn.TEXTSPLIT(Table13[[#This Row],[Shipping Address]],","),2))</f>
        <v>Frankfurt</v>
      </c>
      <c r="U78" s="42" t="str" cm="1">
        <f t="array" ref="U78">TRIM(INDEX(_xlfn.TEXTSPLIT(Table13[[#This Row],[Shipping Address]],","),3))</f>
        <v>60329</v>
      </c>
      <c r="V78" s="23" t="s">
        <v>89</v>
      </c>
      <c r="W78" s="42" t="str" cm="1">
        <f t="array" ref="W78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78" s="42" t="str" cm="1">
        <f t="array" ref="X78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78" s="23" t="s">
        <v>92</v>
      </c>
      <c r="Z78" s="33">
        <f>_xlfn.NUMBERVALUE(_xlfn.TEXTBEFORE(Table13[[#This Row],[Unit Price]]," "))</f>
        <v>186</v>
      </c>
      <c r="AA78" s="23" t="str">
        <f>RIGHT(Table13[[#This Row],[Unit Price]],LEN(Table13[[#This Row],[Unit Price]])-FIND(" ",Table13[[#This Row],[Unit Price]]))</f>
        <v>EUR</v>
      </c>
      <c r="AB78" s="33" cm="1">
        <f t="array" ref="AB78">Table13[[#This Row],[Unit Price Value]]*_xlfn.XLOOKUP(Table13[[#This Row],[Unit Price Currency]],{"EUR","USD","GBP","BRL","CAD","CNY","AUD","ZAR","MXN","JPY","INR"},{1,0.86,1.15,0.15,0.63,0.12,0.56,0.05,0.05,0.01,0.01},NA())</f>
        <v>186</v>
      </c>
      <c r="AC78" s="32">
        <v>19</v>
      </c>
      <c r="AD78" s="32"/>
      <c r="AE78" s="20">
        <f>IF(Table13[[#This Row],[Discount (%)]]="",CHOOSE(MATCH(MOD(Table13[[#This Row],[Sales Rep ID]],3)+1,{1,2,3},0),5,10,15),Table13[[#This Row],[Discount (%)]])</f>
        <v>15</v>
      </c>
      <c r="AF78" s="38">
        <f>Table13[[#This Row],[Unit Price (EUR)]]*Table13[[#This Row],[Units Sold]]</f>
        <v>3534</v>
      </c>
      <c r="AG78" s="38">
        <f>Table13[[#This Row],[Gross Price (Euro)]]*Table13[[#This Row],[Calc Discount (%)]]/100</f>
        <v>530.1</v>
      </c>
      <c r="AH78" s="39">
        <f>Table13[[#This Row],[Gross Price (Euro)]]-Table13[[#This Row],[Discount Value (Euro)]]</f>
        <v>3003.9</v>
      </c>
    </row>
    <row r="79" spans="1:34" x14ac:dyDescent="0.25">
      <c r="A79" s="43">
        <v>78</v>
      </c>
      <c r="B79" s="23" t="s">
        <v>59</v>
      </c>
      <c r="C79" s="23" t="s">
        <v>60</v>
      </c>
      <c r="D79" s="23" t="str">
        <f>_xlfn.TEXTJOIN(" ",,Table13[[#This Row],[Rep First Name]],Table13[[#This Row],[Rep Last Name]])</f>
        <v>Théo Bernard</v>
      </c>
      <c r="E79" s="23" t="s">
        <v>37</v>
      </c>
      <c r="F79" s="23" t="str">
        <f>IF(LEN(Table13[[#This Row],[Month]]) &gt; 0, LEFT(Table13[[#This Row],[Month]], 3), "")</f>
        <v>Feb</v>
      </c>
      <c r="G79" s="23" t="s">
        <v>67</v>
      </c>
      <c r="H79" s="23" t="s">
        <v>32</v>
      </c>
      <c r="I79" s="44">
        <f>IF(ISNUMBER(SEARCH("km/h",Table13[[#This Row],[Min Speed]])),VALUE(_xlfn.TEXTBEFORE(Table13[[#This Row],[Min Speed]]," ")),ROUND(VALUE(_xlfn.TEXTBEFORE(Table13[[#This Row],[Min Speed]]," "))*1.60934,0))</f>
        <v>30</v>
      </c>
      <c r="J79" s="44">
        <f>ROUND(IF(ISNUMBER(SEARCH("km/h",Table13[[#This Row],[Min Speed]])),Table13[[#This Row],[Min Speed (km/h)]]*0.621371,VALUE(_xlfn.TEXTBEFORE(Table13[[#This Row],[Min Speed]]," "))),0)</f>
        <v>19</v>
      </c>
      <c r="K79" s="23" t="s">
        <v>18</v>
      </c>
      <c r="L79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79" s="44">
        <f>IF(ISNUMBER(SEARCH("mph",Table13[[#This Row],[Max Speed]])),--_xlfn.TEXTBEFORE(Table13[[#This Row],[Max Speed]]," mph"),ROUND(--_xlfn.TEXTBEFORE(Table13[[#This Row],[Max Speed]]," km/h")*0.621371,0))</f>
        <v>75</v>
      </c>
      <c r="N79" s="23" t="s">
        <v>26</v>
      </c>
      <c r="O7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79" s="42" t="str">
        <f>TEXT(Table13[[#This Row],[Min Speed (km/h)]],"0")&amp;" - "&amp;TEXT(Table13[[#This Row],[Max Speed (km/h)]],"0")&amp;""</f>
        <v>30 - 120</v>
      </c>
      <c r="Q79" s="46">
        <f>IF(Table13[[#This Row],[Distance (km)]]="", AVERAGE(Table13[Distance (km)]), Table13[[#This Row],[Distance (km)]])</f>
        <v>482.80200000000002</v>
      </c>
      <c r="R79" s="23" t="s">
        <v>93</v>
      </c>
      <c r="S79" s="42" t="str" cm="1">
        <f t="array" ref="S79">TRIM(INDEX(_xlfn.TEXTSPLIT(Table13[[#This Row],[Shipping Address]],","),1))</f>
        <v>789 Lindenweg</v>
      </c>
      <c r="T79" s="42" t="str" cm="1">
        <f t="array" ref="T79">TRIM(INDEX(_xlfn.TEXTSPLIT(Table13[[#This Row],[Shipping Address]],","),2))</f>
        <v>Munich</v>
      </c>
      <c r="U79" s="42" t="str" cm="1">
        <f t="array" ref="U79">TRIM(INDEX(_xlfn.TEXTSPLIT(Table13[[#This Row],[Shipping Address]],","),3))</f>
        <v>10179</v>
      </c>
      <c r="V79" s="23" t="s">
        <v>89</v>
      </c>
      <c r="W79" s="42" t="str" cm="1">
        <f t="array" ref="W79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79" s="42" t="str" cm="1">
        <f t="array" ref="X79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79" s="23" t="s">
        <v>94</v>
      </c>
      <c r="Z79" s="33">
        <f>_xlfn.NUMBERVALUE(_xlfn.TEXTBEFORE(Table13[[#This Row],[Unit Price]]," "))</f>
        <v>232</v>
      </c>
      <c r="AA79" s="23" t="str">
        <f>RIGHT(Table13[[#This Row],[Unit Price]],LEN(Table13[[#This Row],[Unit Price]])-FIND(" ",Table13[[#This Row],[Unit Price]]))</f>
        <v>EUR</v>
      </c>
      <c r="AB79" s="33" cm="1">
        <f t="array" ref="AB79">Table13[[#This Row],[Unit Price Value]]*_xlfn.XLOOKUP(Table13[[#This Row],[Unit Price Currency]],{"EUR","USD","GBP","BRL","CAD","CNY","AUD","ZAR","MXN","JPY","INR"},{1,0.86,1.15,0.15,0.63,0.12,0.56,0.05,0.05,0.01,0.01},NA())</f>
        <v>232</v>
      </c>
      <c r="AC79" s="32">
        <v>17</v>
      </c>
      <c r="AD79" s="32">
        <v>15</v>
      </c>
      <c r="AE79" s="20">
        <f>IF(Table13[[#This Row],[Discount (%)]]="",CHOOSE(MATCH(MOD(Table13[[#This Row],[Sales Rep ID]],3)+1,{1,2,3},0),5,10,15),Table13[[#This Row],[Discount (%)]])</f>
        <v>15</v>
      </c>
      <c r="AF79" s="38">
        <f>Table13[[#This Row],[Unit Price (EUR)]]*Table13[[#This Row],[Units Sold]]</f>
        <v>3944</v>
      </c>
      <c r="AG79" s="38">
        <f>Table13[[#This Row],[Gross Price (Euro)]]*Table13[[#This Row],[Calc Discount (%)]]/100</f>
        <v>591.6</v>
      </c>
      <c r="AH79" s="39">
        <f>Table13[[#This Row],[Gross Price (Euro)]]-Table13[[#This Row],[Discount Value (Euro)]]</f>
        <v>3352.4</v>
      </c>
    </row>
    <row r="80" spans="1:34" x14ac:dyDescent="0.25">
      <c r="A80" s="43">
        <v>79</v>
      </c>
      <c r="B80" s="23" t="s">
        <v>59</v>
      </c>
      <c r="C80" s="23" t="s">
        <v>60</v>
      </c>
      <c r="D80" s="23" t="str">
        <f>_xlfn.TEXTJOIN(" ",,Table13[[#This Row],[Rep First Name]],Table13[[#This Row],[Rep Last Name]])</f>
        <v>Théo Bernard</v>
      </c>
      <c r="E80" s="23" t="s">
        <v>76</v>
      </c>
      <c r="F80" s="23" t="str">
        <f>IF(LEN(Table13[[#This Row],[Month]]) &gt; 0, LEFT(Table13[[#This Row],[Month]], 3), "")</f>
        <v>May</v>
      </c>
      <c r="G80" s="23" t="s">
        <v>67</v>
      </c>
      <c r="H80" s="23" t="s">
        <v>17</v>
      </c>
      <c r="I80" s="44">
        <f>IF(ISNUMBER(SEARCH("km/h",Table13[[#This Row],[Min Speed]])),VALUE(_xlfn.TEXTBEFORE(Table13[[#This Row],[Min Speed]]," ")),ROUND(VALUE(_xlfn.TEXTBEFORE(Table13[[#This Row],[Min Speed]]," "))*1.60934,0))</f>
        <v>64</v>
      </c>
      <c r="J80" s="44">
        <f>ROUND(IF(ISNUMBER(SEARCH("km/h",Table13[[#This Row],[Min Speed]])),Table13[[#This Row],[Min Speed (km/h)]]*0.621371,VALUE(_xlfn.TEXTBEFORE(Table13[[#This Row],[Min Speed]]," "))),0)</f>
        <v>40</v>
      </c>
      <c r="K80" s="23" t="s">
        <v>44</v>
      </c>
      <c r="L80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80" s="44">
        <f>IF(ISNUMBER(SEARCH("mph",Table13[[#This Row],[Max Speed]])),--_xlfn.TEXTBEFORE(Table13[[#This Row],[Max Speed]]," mph"),ROUND(--_xlfn.TEXTBEFORE(Table13[[#This Row],[Max Speed]]," km/h")*0.621371,0))</f>
        <v>50</v>
      </c>
      <c r="N80" s="23" t="s">
        <v>68</v>
      </c>
      <c r="O8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80" s="42" t="str">
        <f>TEXT(Table13[[#This Row],[Min Speed (km/h)]],"0")&amp;" - "&amp;TEXT(Table13[[#This Row],[Max Speed (km/h)]],"0")&amp;""</f>
        <v>64 - 80</v>
      </c>
      <c r="Q80" s="46">
        <f>IF(Table13[[#This Row],[Distance (km)]]="", AVERAGE(Table13[Distance (km)]), Table13[[#This Row],[Distance (km)]])</f>
        <v>600</v>
      </c>
      <c r="R80" s="23" t="s">
        <v>95</v>
      </c>
      <c r="S80" s="42" t="str" cm="1">
        <f t="array" ref="S80">TRIM(INDEX(_xlfn.TEXTSPLIT(Table13[[#This Row],[Shipping Address]],","),1))</f>
        <v>321 Gartenstraße</v>
      </c>
      <c r="T80" s="42" t="str" cm="1">
        <f t="array" ref="T80">TRIM(INDEX(_xlfn.TEXTSPLIT(Table13[[#This Row],[Shipping Address]],","),2))</f>
        <v>Dresden</v>
      </c>
      <c r="U80" s="42" t="str" cm="1">
        <f t="array" ref="U80">TRIM(INDEX(_xlfn.TEXTSPLIT(Table13[[#This Row],[Shipping Address]],","),3))</f>
        <v>01067</v>
      </c>
      <c r="V80" s="23" t="s">
        <v>89</v>
      </c>
      <c r="W80" s="42" t="str" cm="1">
        <f t="array" ref="W80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80" s="42" t="str" cm="1">
        <f t="array" ref="X80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80" s="23" t="s">
        <v>96</v>
      </c>
      <c r="Z80" s="33">
        <f>_xlfn.NUMBERVALUE(_xlfn.TEXTBEFORE(Table13[[#This Row],[Unit Price]]," "))</f>
        <v>279</v>
      </c>
      <c r="AA80" s="23" t="str">
        <f>RIGHT(Table13[[#This Row],[Unit Price]],LEN(Table13[[#This Row],[Unit Price]])-FIND(" ",Table13[[#This Row],[Unit Price]]))</f>
        <v>EUR</v>
      </c>
      <c r="AB80" s="33" cm="1">
        <f t="array" ref="AB80">Table13[[#This Row],[Unit Price Value]]*_xlfn.XLOOKUP(Table13[[#This Row],[Unit Price Currency]],{"EUR","USD","GBP","BRL","CAD","CNY","AUD","ZAR","MXN","JPY","INR"},{1,0.86,1.15,0.15,0.63,0.12,0.56,0.05,0.05,0.01,0.01},NA())</f>
        <v>279</v>
      </c>
      <c r="AC80" s="32">
        <v>12</v>
      </c>
      <c r="AD80" s="32">
        <v>15</v>
      </c>
      <c r="AE80" s="20">
        <f>IF(Table13[[#This Row],[Discount (%)]]="",CHOOSE(MATCH(MOD(Table13[[#This Row],[Sales Rep ID]],3)+1,{1,2,3},0),5,10,15),Table13[[#This Row],[Discount (%)]])</f>
        <v>15</v>
      </c>
      <c r="AF80" s="38">
        <f>Table13[[#This Row],[Unit Price (EUR)]]*Table13[[#This Row],[Units Sold]]</f>
        <v>3348</v>
      </c>
      <c r="AG80" s="38">
        <f>Table13[[#This Row],[Gross Price (Euro)]]*Table13[[#This Row],[Calc Discount (%)]]/100</f>
        <v>502.2</v>
      </c>
      <c r="AH80" s="39">
        <f>Table13[[#This Row],[Gross Price (Euro)]]-Table13[[#This Row],[Discount Value (Euro)]]</f>
        <v>2845.8</v>
      </c>
    </row>
    <row r="81" spans="1:34" x14ac:dyDescent="0.25">
      <c r="A81" s="43">
        <v>80</v>
      </c>
      <c r="B81" s="23" t="s">
        <v>59</v>
      </c>
      <c r="C81" s="23" t="s">
        <v>60</v>
      </c>
      <c r="D81" s="23" t="str">
        <f>_xlfn.TEXTJOIN(" ",,Table13[[#This Row],[Rep First Name]],Table13[[#This Row],[Rep Last Name]])</f>
        <v>Théo Bernard</v>
      </c>
      <c r="E81" s="23" t="s">
        <v>37</v>
      </c>
      <c r="F81" s="23" t="str">
        <f>IF(LEN(Table13[[#This Row],[Month]]) &gt; 0, LEFT(Table13[[#This Row],[Month]], 3), "")</f>
        <v>Feb</v>
      </c>
      <c r="G81" s="23" t="s">
        <v>43</v>
      </c>
      <c r="H81" s="23" t="s">
        <v>32</v>
      </c>
      <c r="I81" s="44">
        <f>IF(ISNUMBER(SEARCH("km/h",Table13[[#This Row],[Min Speed]])),VALUE(_xlfn.TEXTBEFORE(Table13[[#This Row],[Min Speed]]," ")),ROUND(VALUE(_xlfn.TEXTBEFORE(Table13[[#This Row],[Min Speed]]," "))*1.60934,0))</f>
        <v>30</v>
      </c>
      <c r="J81" s="44">
        <f>ROUND(IF(ISNUMBER(SEARCH("km/h",Table13[[#This Row],[Min Speed]])),Table13[[#This Row],[Min Speed (km/h)]]*0.621371,VALUE(_xlfn.TEXTBEFORE(Table13[[#This Row],[Min Speed]]," "))),0)</f>
        <v>19</v>
      </c>
      <c r="K81" s="23" t="s">
        <v>44</v>
      </c>
      <c r="L81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81" s="44">
        <f>IF(ISNUMBER(SEARCH("mph",Table13[[#This Row],[Max Speed]])),--_xlfn.TEXTBEFORE(Table13[[#This Row],[Max Speed]]," mph"),ROUND(--_xlfn.TEXTBEFORE(Table13[[#This Row],[Max Speed]]," km/h")*0.621371,0))</f>
        <v>50</v>
      </c>
      <c r="N81" s="23" t="s">
        <v>68</v>
      </c>
      <c r="O8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81" s="42" t="str">
        <f>TEXT(Table13[[#This Row],[Min Speed (km/h)]],"0")&amp;" - "&amp;TEXT(Table13[[#This Row],[Max Speed (km/h)]],"0")&amp;""</f>
        <v>30 - 80</v>
      </c>
      <c r="Q81" s="46">
        <f>IF(Table13[[#This Row],[Distance (km)]]="", AVERAGE(Table13[Distance (km)]), Table13[[#This Row],[Distance (km)]])</f>
        <v>600</v>
      </c>
      <c r="R81" s="23" t="s">
        <v>97</v>
      </c>
      <c r="S81" s="42" t="str" cm="1">
        <f t="array" ref="S81">TRIM(INDEX(_xlfn.TEXTSPLIT(Table13[[#This Row],[Shipping Address]],","),1))</f>
        <v>123 Rue de la Paix</v>
      </c>
      <c r="T81" s="42" t="str" cm="1">
        <f t="array" ref="T81">TRIM(INDEX(_xlfn.TEXTSPLIT(Table13[[#This Row],[Shipping Address]],","),2))</f>
        <v>Paris</v>
      </c>
      <c r="U81" s="42" t="str" cm="1">
        <f t="array" ref="U81">TRIM(INDEX(_xlfn.TEXTSPLIT(Table13[[#This Row],[Shipping Address]],","),3))</f>
        <v>75002</v>
      </c>
      <c r="V81" s="23" t="s">
        <v>98</v>
      </c>
      <c r="W81" s="42" t="str" cm="1">
        <f t="array" ref="W81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81" s="42" t="str" cm="1">
        <f t="array" ref="X81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81" s="23" t="s">
        <v>90</v>
      </c>
      <c r="Z81" s="33">
        <f>_xlfn.NUMBERVALUE(_xlfn.TEXTBEFORE(Table13[[#This Row],[Unit Price]]," "))</f>
        <v>139</v>
      </c>
      <c r="AA81" s="23" t="str">
        <f>RIGHT(Table13[[#This Row],[Unit Price]],LEN(Table13[[#This Row],[Unit Price]])-FIND(" ",Table13[[#This Row],[Unit Price]]))</f>
        <v>EUR</v>
      </c>
      <c r="AB81" s="33" cm="1">
        <f t="array" ref="AB81">Table13[[#This Row],[Unit Price Value]]*_xlfn.XLOOKUP(Table13[[#This Row],[Unit Price Currency]],{"EUR","USD","GBP","BRL","CAD","CNY","AUD","ZAR","MXN","JPY","INR"},{1,0.86,1.15,0.15,0.63,0.12,0.56,0.05,0.05,0.01,0.01},NA())</f>
        <v>139</v>
      </c>
      <c r="AC81" s="32">
        <v>20</v>
      </c>
      <c r="AD81" s="32">
        <v>5</v>
      </c>
      <c r="AE81" s="20">
        <f>IF(Table13[[#This Row],[Discount (%)]]="",CHOOSE(MATCH(MOD(Table13[[#This Row],[Sales Rep ID]],3)+1,{1,2,3},0),5,10,15),Table13[[#This Row],[Discount (%)]])</f>
        <v>5</v>
      </c>
      <c r="AF81" s="38">
        <f>Table13[[#This Row],[Unit Price (EUR)]]*Table13[[#This Row],[Units Sold]]</f>
        <v>2780</v>
      </c>
      <c r="AG81" s="38">
        <f>Table13[[#This Row],[Gross Price (Euro)]]*Table13[[#This Row],[Calc Discount (%)]]/100</f>
        <v>139</v>
      </c>
      <c r="AH81" s="39">
        <f>Table13[[#This Row],[Gross Price (Euro)]]-Table13[[#This Row],[Discount Value (Euro)]]</f>
        <v>2641</v>
      </c>
    </row>
    <row r="82" spans="1:34" x14ac:dyDescent="0.25">
      <c r="A82" s="43">
        <v>81</v>
      </c>
      <c r="B82" s="23" t="s">
        <v>59</v>
      </c>
      <c r="C82" s="23" t="s">
        <v>60</v>
      </c>
      <c r="D82" s="23" t="str">
        <f>_xlfn.TEXTJOIN(" ",,Table13[[#This Row],[Rep First Name]],Table13[[#This Row],[Rep Last Name]])</f>
        <v>Théo Bernard</v>
      </c>
      <c r="E82" s="23" t="s">
        <v>31</v>
      </c>
      <c r="F82" s="23" t="str">
        <f>IF(LEN(Table13[[#This Row],[Month]]) &gt; 0, LEFT(Table13[[#This Row],[Month]], 3), "")</f>
        <v>Jan</v>
      </c>
      <c r="G82" s="23" t="s">
        <v>16</v>
      </c>
      <c r="H82" s="23" t="s">
        <v>48</v>
      </c>
      <c r="I82" s="44">
        <f>IF(ISNUMBER(SEARCH("km/h",Table13[[#This Row],[Min Speed]])),VALUE(_xlfn.TEXTBEFORE(Table13[[#This Row],[Min Speed]]," ")),ROUND(VALUE(_xlfn.TEXTBEFORE(Table13[[#This Row],[Min Speed]]," "))*1.60934,0))</f>
        <v>20</v>
      </c>
      <c r="J82" s="44">
        <f>ROUND(IF(ISNUMBER(SEARCH("km/h",Table13[[#This Row],[Min Speed]])),Table13[[#This Row],[Min Speed (km/h)]]*0.621371,VALUE(_xlfn.TEXTBEFORE(Table13[[#This Row],[Min Speed]]," "))),0)</f>
        <v>12</v>
      </c>
      <c r="K82" s="23" t="s">
        <v>18</v>
      </c>
      <c r="L82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82" s="44">
        <f>IF(ISNUMBER(SEARCH("mph",Table13[[#This Row],[Max Speed]])),--_xlfn.TEXTBEFORE(Table13[[#This Row],[Max Speed]]," mph"),ROUND(--_xlfn.TEXTBEFORE(Table13[[#This Row],[Max Speed]]," km/h")*0.621371,0))</f>
        <v>75</v>
      </c>
      <c r="N82" s="23" t="s">
        <v>28</v>
      </c>
      <c r="O8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82" s="42" t="str">
        <f>TEXT(Table13[[#This Row],[Min Speed (km/h)]],"0")&amp;" - "&amp;TEXT(Table13[[#This Row],[Max Speed (km/h)]],"0")&amp;""</f>
        <v>20 - 120</v>
      </c>
      <c r="Q82" s="46">
        <f>IF(Table13[[#This Row],[Distance (km)]]="", AVERAGE(Table13[Distance (km)]), Table13[[#This Row],[Distance (km)]])</f>
        <v>241.40100000000001</v>
      </c>
      <c r="R82" s="23" t="s">
        <v>97</v>
      </c>
      <c r="S82" s="42" t="str" cm="1">
        <f t="array" ref="S82">TRIM(INDEX(_xlfn.TEXTSPLIT(Table13[[#This Row],[Shipping Address]],","),1))</f>
        <v>123 Rue de la Paix</v>
      </c>
      <c r="T82" s="42" t="str" cm="1">
        <f t="array" ref="T82">TRIM(INDEX(_xlfn.TEXTSPLIT(Table13[[#This Row],[Shipping Address]],","),2))</f>
        <v>Paris</v>
      </c>
      <c r="U82" s="42" t="str" cm="1">
        <f t="array" ref="U82">TRIM(INDEX(_xlfn.TEXTSPLIT(Table13[[#This Row],[Shipping Address]],","),3))</f>
        <v>75002</v>
      </c>
      <c r="V82" s="23" t="s">
        <v>98</v>
      </c>
      <c r="W82" s="42" t="str" cm="1">
        <f t="array" ref="W82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82" s="42" t="str" cm="1">
        <f t="array" ref="X82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82" s="23" t="s">
        <v>90</v>
      </c>
      <c r="Z82" s="33">
        <f>_xlfn.NUMBERVALUE(_xlfn.TEXTBEFORE(Table13[[#This Row],[Unit Price]]," "))</f>
        <v>139</v>
      </c>
      <c r="AA82" s="23" t="str">
        <f>RIGHT(Table13[[#This Row],[Unit Price]],LEN(Table13[[#This Row],[Unit Price]])-FIND(" ",Table13[[#This Row],[Unit Price]]))</f>
        <v>EUR</v>
      </c>
      <c r="AB82" s="33" cm="1">
        <f t="array" ref="AB82">Table13[[#This Row],[Unit Price Value]]*_xlfn.XLOOKUP(Table13[[#This Row],[Unit Price Currency]],{"EUR","USD","GBP","BRL","CAD","CNY","AUD","ZAR","MXN","JPY","INR"},{1,0.86,1.15,0.15,0.63,0.12,0.56,0.05,0.05,0.01,0.01},NA())</f>
        <v>139</v>
      </c>
      <c r="AC82" s="32">
        <v>20</v>
      </c>
      <c r="AD82" s="32">
        <v>5</v>
      </c>
      <c r="AE82" s="20">
        <f>IF(Table13[[#This Row],[Discount (%)]]="",CHOOSE(MATCH(MOD(Table13[[#This Row],[Sales Rep ID]],3)+1,{1,2,3},0),5,10,15),Table13[[#This Row],[Discount (%)]])</f>
        <v>5</v>
      </c>
      <c r="AF82" s="38">
        <f>Table13[[#This Row],[Unit Price (EUR)]]*Table13[[#This Row],[Units Sold]]</f>
        <v>2780</v>
      </c>
      <c r="AG82" s="38">
        <f>Table13[[#This Row],[Gross Price (Euro)]]*Table13[[#This Row],[Calc Discount (%)]]/100</f>
        <v>139</v>
      </c>
      <c r="AH82" s="39">
        <f>Table13[[#This Row],[Gross Price (Euro)]]-Table13[[#This Row],[Discount Value (Euro)]]</f>
        <v>2641</v>
      </c>
    </row>
    <row r="83" spans="1:34" x14ac:dyDescent="0.25">
      <c r="A83" s="43">
        <v>82</v>
      </c>
      <c r="B83" s="23" t="s">
        <v>13</v>
      </c>
      <c r="C83" s="23" t="s">
        <v>14</v>
      </c>
      <c r="D83" s="23" t="str">
        <f>_xlfn.TEXTJOIN(" ",,Table13[[#This Row],[Rep First Name]],Table13[[#This Row],[Rep Last Name]])</f>
        <v>Sanya Joshi</v>
      </c>
      <c r="E83" s="23" t="s">
        <v>76</v>
      </c>
      <c r="F83" s="23" t="str">
        <f>IF(LEN(Table13[[#This Row],[Month]]) &gt; 0, LEFT(Table13[[#This Row],[Month]], 3), "")</f>
        <v>May</v>
      </c>
      <c r="G83" s="23" t="s">
        <v>67</v>
      </c>
      <c r="H83" s="23" t="s">
        <v>17</v>
      </c>
      <c r="I83" s="44">
        <f>IF(ISNUMBER(SEARCH("km/h",Table13[[#This Row],[Min Speed]])),VALUE(_xlfn.TEXTBEFORE(Table13[[#This Row],[Min Speed]]," ")),ROUND(VALUE(_xlfn.TEXTBEFORE(Table13[[#This Row],[Min Speed]]," "))*1.60934,0))</f>
        <v>64</v>
      </c>
      <c r="J83" s="44">
        <f>ROUND(IF(ISNUMBER(SEARCH("km/h",Table13[[#This Row],[Min Speed]])),Table13[[#This Row],[Min Speed (km/h)]]*0.621371,VALUE(_xlfn.TEXTBEFORE(Table13[[#This Row],[Min Speed]]," "))),0)</f>
        <v>40</v>
      </c>
      <c r="K83" s="23" t="s">
        <v>44</v>
      </c>
      <c r="L83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83" s="44">
        <f>IF(ISNUMBER(SEARCH("mph",Table13[[#This Row],[Max Speed]])),--_xlfn.TEXTBEFORE(Table13[[#This Row],[Max Speed]]," mph"),ROUND(--_xlfn.TEXTBEFORE(Table13[[#This Row],[Max Speed]]," km/h")*0.621371,0))</f>
        <v>50</v>
      </c>
      <c r="N83" s="23" t="s">
        <v>19</v>
      </c>
      <c r="O8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83" s="42" t="str">
        <f>TEXT(Table13[[#This Row],[Min Speed (km/h)]],"0")&amp;" - "&amp;TEXT(Table13[[#This Row],[Max Speed (km/h)]],"0")&amp;""</f>
        <v>64 - 80</v>
      </c>
      <c r="Q83" s="46">
        <f>IF(Table13[[#This Row],[Distance (km)]]="", AVERAGE(Table13[Distance (km)]), Table13[[#This Row],[Distance (km)]])</f>
        <v>500</v>
      </c>
      <c r="R83" s="23" t="s">
        <v>99</v>
      </c>
      <c r="S83" s="42" t="str" cm="1">
        <f t="array" ref="S83">TRIM(INDEX(_xlfn.TEXTSPLIT(Table13[[#This Row],[Shipping Address]],","),1))</f>
        <v>456 Boulevard Saint-Germain</v>
      </c>
      <c r="T83" s="42" t="str" cm="1">
        <f t="array" ref="T83">TRIM(INDEX(_xlfn.TEXTSPLIT(Table13[[#This Row],[Shipping Address]],","),2))</f>
        <v>Lyon</v>
      </c>
      <c r="U83" s="42" t="str" cm="1">
        <f t="array" ref="U83">TRIM(INDEX(_xlfn.TEXTSPLIT(Table13[[#This Row],[Shipping Address]],","),3))</f>
        <v>75006</v>
      </c>
      <c r="V83" s="23" t="s">
        <v>98</v>
      </c>
      <c r="W83" s="42" t="str" cm="1">
        <f t="array" ref="W83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83" s="42" t="str" cm="1">
        <f t="array" ref="X83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83" s="23" t="s">
        <v>92</v>
      </c>
      <c r="Z83" s="33">
        <f>_xlfn.NUMBERVALUE(_xlfn.TEXTBEFORE(Table13[[#This Row],[Unit Price]]," "))</f>
        <v>186</v>
      </c>
      <c r="AA83" s="23" t="str">
        <f>RIGHT(Table13[[#This Row],[Unit Price]],LEN(Table13[[#This Row],[Unit Price]])-FIND(" ",Table13[[#This Row],[Unit Price]]))</f>
        <v>EUR</v>
      </c>
      <c r="AB83" s="33" cm="1">
        <f t="array" ref="AB83">Table13[[#This Row],[Unit Price Value]]*_xlfn.XLOOKUP(Table13[[#This Row],[Unit Price Currency]],{"EUR","USD","GBP","BRL","CAD","CNY","AUD","ZAR","MXN","JPY","INR"},{1,0.86,1.15,0.15,0.63,0.12,0.56,0.05,0.05,0.01,0.01},NA())</f>
        <v>186</v>
      </c>
      <c r="AC83" s="32">
        <v>14</v>
      </c>
      <c r="AD83" s="32">
        <v>5</v>
      </c>
      <c r="AE83" s="20">
        <f>IF(Table13[[#This Row],[Discount (%)]]="",CHOOSE(MATCH(MOD(Table13[[#This Row],[Sales Rep ID]],3)+1,{1,2,3},0),5,10,15),Table13[[#This Row],[Discount (%)]])</f>
        <v>5</v>
      </c>
      <c r="AF83" s="38">
        <f>Table13[[#This Row],[Unit Price (EUR)]]*Table13[[#This Row],[Units Sold]]</f>
        <v>2604</v>
      </c>
      <c r="AG83" s="38">
        <f>Table13[[#This Row],[Gross Price (Euro)]]*Table13[[#This Row],[Calc Discount (%)]]/100</f>
        <v>130.19999999999999</v>
      </c>
      <c r="AH83" s="39">
        <f>Table13[[#This Row],[Gross Price (Euro)]]-Table13[[#This Row],[Discount Value (Euro)]]</f>
        <v>2473.8000000000002</v>
      </c>
    </row>
    <row r="84" spans="1:34" x14ac:dyDescent="0.25">
      <c r="A84" s="43">
        <v>83</v>
      </c>
      <c r="B84" s="23" t="s">
        <v>13</v>
      </c>
      <c r="C84" s="23" t="s">
        <v>14</v>
      </c>
      <c r="D84" s="23" t="str">
        <f>_xlfn.TEXTJOIN(" ",,Table13[[#This Row],[Rep First Name]],Table13[[#This Row],[Rep Last Name]])</f>
        <v>Sanya Joshi</v>
      </c>
      <c r="E84" s="23" t="s">
        <v>23</v>
      </c>
      <c r="F84" s="23" t="str">
        <f>IF(LEN(Table13[[#This Row],[Month]]) &gt; 0, LEFT(Table13[[#This Row],[Month]], 3), "")</f>
        <v>Mar</v>
      </c>
      <c r="G84" s="23" t="s">
        <v>16</v>
      </c>
      <c r="H84" s="23" t="s">
        <v>48</v>
      </c>
      <c r="I84" s="44">
        <f>IF(ISNUMBER(SEARCH("km/h",Table13[[#This Row],[Min Speed]])),VALUE(_xlfn.TEXTBEFORE(Table13[[#This Row],[Min Speed]]," ")),ROUND(VALUE(_xlfn.TEXTBEFORE(Table13[[#This Row],[Min Speed]]," "))*1.60934,0))</f>
        <v>20</v>
      </c>
      <c r="J84" s="44">
        <f>ROUND(IF(ISNUMBER(SEARCH("km/h",Table13[[#This Row],[Min Speed]])),Table13[[#This Row],[Min Speed (km/h)]]*0.621371,VALUE(_xlfn.TEXTBEFORE(Table13[[#This Row],[Min Speed]]," "))),0)</f>
        <v>12</v>
      </c>
      <c r="K84" s="23" t="s">
        <v>18</v>
      </c>
      <c r="L84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84" s="44">
        <f>IF(ISNUMBER(SEARCH("mph",Table13[[#This Row],[Max Speed]])),--_xlfn.TEXTBEFORE(Table13[[#This Row],[Max Speed]]," mph"),ROUND(--_xlfn.TEXTBEFORE(Table13[[#This Row],[Max Speed]]," km/h")*0.621371,0))</f>
        <v>75</v>
      </c>
      <c r="N84" s="23" t="s">
        <v>19</v>
      </c>
      <c r="O8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84" s="42" t="str">
        <f>TEXT(Table13[[#This Row],[Min Speed (km/h)]],"0")&amp;" - "&amp;TEXT(Table13[[#This Row],[Max Speed (km/h)]],"0")&amp;""</f>
        <v>20 - 120</v>
      </c>
      <c r="Q84" s="46">
        <f>IF(Table13[[#This Row],[Distance (km)]]="", AVERAGE(Table13[Distance (km)]), Table13[[#This Row],[Distance (km)]])</f>
        <v>500</v>
      </c>
      <c r="R84" s="23" t="s">
        <v>100</v>
      </c>
      <c r="S84" s="42" t="str" cm="1">
        <f t="array" ref="S84">TRIM(INDEX(_xlfn.TEXTSPLIT(Table13[[#This Row],[Shipping Address]],","),1))</f>
        <v>789 Avenue des Champs-Élysées</v>
      </c>
      <c r="T84" s="42" t="str" cm="1">
        <f t="array" ref="T84">TRIM(INDEX(_xlfn.TEXTSPLIT(Table13[[#This Row],[Shipping Address]],","),2))</f>
        <v>Marseille</v>
      </c>
      <c r="U84" s="42" t="str" cm="1">
        <f t="array" ref="U84">TRIM(INDEX(_xlfn.TEXTSPLIT(Table13[[#This Row],[Shipping Address]],","),3))</f>
        <v>75008</v>
      </c>
      <c r="V84" s="23" t="s">
        <v>98</v>
      </c>
      <c r="W84" s="42" t="str" cm="1">
        <f t="array" ref="W84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84" s="42" t="str" cm="1">
        <f t="array" ref="X84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84" s="23" t="s">
        <v>94</v>
      </c>
      <c r="Z84" s="33">
        <f>_xlfn.NUMBERVALUE(_xlfn.TEXTBEFORE(Table13[[#This Row],[Unit Price]]," "))</f>
        <v>232</v>
      </c>
      <c r="AA84" s="23" t="str">
        <f>RIGHT(Table13[[#This Row],[Unit Price]],LEN(Table13[[#This Row],[Unit Price]])-FIND(" ",Table13[[#This Row],[Unit Price]]))</f>
        <v>EUR</v>
      </c>
      <c r="AB84" s="33" cm="1">
        <f t="array" ref="AB84">Table13[[#This Row],[Unit Price Value]]*_xlfn.XLOOKUP(Table13[[#This Row],[Unit Price Currency]],{"EUR","USD","GBP","BRL","CAD","CNY","AUD","ZAR","MXN","JPY","INR"},{1,0.86,1.15,0.15,0.63,0.12,0.56,0.05,0.05,0.01,0.01},NA())</f>
        <v>232</v>
      </c>
      <c r="AC84" s="32">
        <v>10</v>
      </c>
      <c r="AD84" s="32">
        <v>15</v>
      </c>
      <c r="AE84" s="20">
        <f>IF(Table13[[#This Row],[Discount (%)]]="",CHOOSE(MATCH(MOD(Table13[[#This Row],[Sales Rep ID]],3)+1,{1,2,3},0),5,10,15),Table13[[#This Row],[Discount (%)]])</f>
        <v>15</v>
      </c>
      <c r="AF84" s="38">
        <f>Table13[[#This Row],[Unit Price (EUR)]]*Table13[[#This Row],[Units Sold]]</f>
        <v>2320</v>
      </c>
      <c r="AG84" s="38">
        <f>Table13[[#This Row],[Gross Price (Euro)]]*Table13[[#This Row],[Calc Discount (%)]]/100</f>
        <v>348</v>
      </c>
      <c r="AH84" s="39">
        <f>Table13[[#This Row],[Gross Price (Euro)]]-Table13[[#This Row],[Discount Value (Euro)]]</f>
        <v>1972</v>
      </c>
    </row>
    <row r="85" spans="1:34" x14ac:dyDescent="0.25">
      <c r="A85" s="43">
        <v>84</v>
      </c>
      <c r="B85" s="23" t="s">
        <v>13</v>
      </c>
      <c r="C85" s="23" t="s">
        <v>14</v>
      </c>
      <c r="D85" s="23" t="str">
        <f>_xlfn.TEXTJOIN(" ",,Table13[[#This Row],[Rep First Name]],Table13[[#This Row],[Rep Last Name]])</f>
        <v>Sanya Joshi</v>
      </c>
      <c r="E85" s="23" t="s">
        <v>37</v>
      </c>
      <c r="F85" s="23" t="str">
        <f>IF(LEN(Table13[[#This Row],[Month]]) &gt; 0, LEFT(Table13[[#This Row],[Month]], 3), "")</f>
        <v>Feb</v>
      </c>
      <c r="G85" s="23" t="s">
        <v>16</v>
      </c>
      <c r="H85" s="23" t="s">
        <v>48</v>
      </c>
      <c r="I85" s="44">
        <f>IF(ISNUMBER(SEARCH("km/h",Table13[[#This Row],[Min Speed]])),VALUE(_xlfn.TEXTBEFORE(Table13[[#This Row],[Min Speed]]," ")),ROUND(VALUE(_xlfn.TEXTBEFORE(Table13[[#This Row],[Min Speed]]," "))*1.60934,0))</f>
        <v>20</v>
      </c>
      <c r="J85" s="44">
        <f>ROUND(IF(ISNUMBER(SEARCH("km/h",Table13[[#This Row],[Min Speed]])),Table13[[#This Row],[Min Speed (km/h)]]*0.621371,VALUE(_xlfn.TEXTBEFORE(Table13[[#This Row],[Min Speed]]," "))),0)</f>
        <v>12</v>
      </c>
      <c r="K85" s="23" t="s">
        <v>25</v>
      </c>
      <c r="L85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85" s="44">
        <f>IF(ISNUMBER(SEARCH("mph",Table13[[#This Row],[Max Speed]])),--_xlfn.TEXTBEFORE(Table13[[#This Row],[Max Speed]]," mph"),ROUND(--_xlfn.TEXTBEFORE(Table13[[#This Row],[Max Speed]]," km/h")*0.621371,0))</f>
        <v>150</v>
      </c>
      <c r="N85" s="23" t="s">
        <v>19</v>
      </c>
      <c r="O8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85" s="42" t="str">
        <f>TEXT(Table13[[#This Row],[Min Speed (km/h)]],"0")&amp;" - "&amp;TEXT(Table13[[#This Row],[Max Speed (km/h)]],"0")&amp;""</f>
        <v>20 - 241</v>
      </c>
      <c r="Q85" s="46">
        <f>IF(Table13[[#This Row],[Distance (km)]]="", AVERAGE(Table13[Distance (km)]), Table13[[#This Row],[Distance (km)]])</f>
        <v>500</v>
      </c>
      <c r="R85" s="23" t="s">
        <v>101</v>
      </c>
      <c r="S85" s="42" t="str" cm="1">
        <f t="array" ref="S85">TRIM(INDEX(_xlfn.TEXTSPLIT(Table13[[#This Row],[Shipping Address]],","),1))</f>
        <v>321 Rue du Faubourg</v>
      </c>
      <c r="T85" s="42" t="str" cm="1">
        <f t="array" ref="T85">TRIM(INDEX(_xlfn.TEXTSPLIT(Table13[[#This Row],[Shipping Address]],","),2))</f>
        <v>Toulouse</v>
      </c>
      <c r="U85" s="42" t="str" cm="1">
        <f t="array" ref="U85">TRIM(INDEX(_xlfn.TEXTSPLIT(Table13[[#This Row],[Shipping Address]],","),3))</f>
        <v>75010</v>
      </c>
      <c r="V85" s="23" t="s">
        <v>98</v>
      </c>
      <c r="W85" s="42" t="str" cm="1">
        <f t="array" ref="W85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85" s="42" t="str" cm="1">
        <f t="array" ref="X85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85" s="23" t="s">
        <v>96</v>
      </c>
      <c r="Z85" s="33">
        <f>_xlfn.NUMBERVALUE(_xlfn.TEXTBEFORE(Table13[[#This Row],[Unit Price]]," "))</f>
        <v>279</v>
      </c>
      <c r="AA85" s="23" t="str">
        <f>RIGHT(Table13[[#This Row],[Unit Price]],LEN(Table13[[#This Row],[Unit Price]])-FIND(" ",Table13[[#This Row],[Unit Price]]))</f>
        <v>EUR</v>
      </c>
      <c r="AB85" s="33" cm="1">
        <f t="array" ref="AB85">Table13[[#This Row],[Unit Price Value]]*_xlfn.XLOOKUP(Table13[[#This Row],[Unit Price Currency]],{"EUR","USD","GBP","BRL","CAD","CNY","AUD","ZAR","MXN","JPY","INR"},{1,0.86,1.15,0.15,0.63,0.12,0.56,0.05,0.05,0.01,0.01},NA())</f>
        <v>279</v>
      </c>
      <c r="AC85" s="32">
        <v>8</v>
      </c>
      <c r="AD85" s="32"/>
      <c r="AE85" s="20">
        <f>IF(Table13[[#This Row],[Discount (%)]]="",CHOOSE(MATCH(MOD(Table13[[#This Row],[Sales Rep ID]],3)+1,{1,2,3},0),5,10,15),Table13[[#This Row],[Discount (%)]])</f>
        <v>5</v>
      </c>
      <c r="AF85" s="38">
        <f>Table13[[#This Row],[Unit Price (EUR)]]*Table13[[#This Row],[Units Sold]]</f>
        <v>2232</v>
      </c>
      <c r="AG85" s="38">
        <f>Table13[[#This Row],[Gross Price (Euro)]]*Table13[[#This Row],[Calc Discount (%)]]/100</f>
        <v>111.6</v>
      </c>
      <c r="AH85" s="39">
        <f>Table13[[#This Row],[Gross Price (Euro)]]-Table13[[#This Row],[Discount Value (Euro)]]</f>
        <v>2120.4</v>
      </c>
    </row>
    <row r="86" spans="1:34" x14ac:dyDescent="0.25">
      <c r="A86" s="43">
        <v>85</v>
      </c>
      <c r="B86" s="23" t="s">
        <v>35</v>
      </c>
      <c r="C86" s="23" t="s">
        <v>36</v>
      </c>
      <c r="D86" s="23" t="str">
        <f>_xlfn.TEXTJOIN(" ",,Table13[[#This Row],[Rep First Name]],Table13[[#This Row],[Rep Last Name]])</f>
        <v>Fang Liu</v>
      </c>
      <c r="E86" s="23" t="s">
        <v>37</v>
      </c>
      <c r="F86" s="23" t="str">
        <f>IF(LEN(Table13[[#This Row],[Month]]) &gt; 0, LEFT(Table13[[#This Row],[Month]], 3), "")</f>
        <v>Feb</v>
      </c>
      <c r="G86" s="23" t="s">
        <v>27</v>
      </c>
      <c r="H86" s="23" t="s">
        <v>24</v>
      </c>
      <c r="I86" s="44">
        <f>IF(ISNUMBER(SEARCH("km/h",Table13[[#This Row],[Min Speed]])),VALUE(_xlfn.TEXTBEFORE(Table13[[#This Row],[Min Speed]]," ")),ROUND(VALUE(_xlfn.TEXTBEFORE(Table13[[#This Row],[Min Speed]]," "))*1.60934,0))</f>
        <v>80</v>
      </c>
      <c r="J86" s="44">
        <f>ROUND(IF(ISNUMBER(SEARCH("km/h",Table13[[#This Row],[Min Speed]])),Table13[[#This Row],[Min Speed (km/h)]]*0.621371,VALUE(_xlfn.TEXTBEFORE(Table13[[#This Row],[Min Speed]]," "))),0)</f>
        <v>50</v>
      </c>
      <c r="K86" s="23" t="s">
        <v>44</v>
      </c>
      <c r="L86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86" s="44">
        <f>IF(ISNUMBER(SEARCH("mph",Table13[[#This Row],[Max Speed]])),--_xlfn.TEXTBEFORE(Table13[[#This Row],[Max Speed]]," mph"),ROUND(--_xlfn.TEXTBEFORE(Table13[[#This Row],[Max Speed]]," km/h")*0.621371,0))</f>
        <v>50</v>
      </c>
      <c r="N86" s="23" t="s">
        <v>19</v>
      </c>
      <c r="O8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86" s="42" t="str">
        <f>TEXT(Table13[[#This Row],[Min Speed (km/h)]],"0")&amp;" - "&amp;TEXT(Table13[[#This Row],[Max Speed (km/h)]],"0")&amp;""</f>
        <v>80 - 80</v>
      </c>
      <c r="Q86" s="46">
        <f>IF(Table13[[#This Row],[Distance (km)]]="", AVERAGE(Table13[Distance (km)]), Table13[[#This Row],[Distance (km)]])</f>
        <v>500</v>
      </c>
      <c r="R86" s="23" t="s">
        <v>102</v>
      </c>
      <c r="S86" s="42" t="str" cm="1">
        <f t="array" ref="S86">TRIM(INDEX(_xlfn.TEXTSPLIT(Table13[[#This Row],[Shipping Address]],","),1))</f>
        <v>123 Chang'an Avenue</v>
      </c>
      <c r="T86" s="42" t="str" cm="1">
        <f t="array" ref="T86">TRIM(INDEX(_xlfn.TEXTSPLIT(Table13[[#This Row],[Shipping Address]],","),2))</f>
        <v>Beijing</v>
      </c>
      <c r="U86" s="42" t="str" cm="1">
        <f t="array" ref="U86">TRIM(INDEX(_xlfn.TEXTSPLIT(Table13[[#This Row],[Shipping Address]],","),3))</f>
        <v>100001</v>
      </c>
      <c r="V86" s="23" t="s">
        <v>103</v>
      </c>
      <c r="W86" s="42" t="str" cm="1">
        <f t="array" ref="W86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86" s="42" t="str" cm="1">
        <f t="array" ref="X86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86" s="23" t="s">
        <v>104</v>
      </c>
      <c r="Z86" s="33">
        <f>_xlfn.NUMBERVALUE(_xlfn.TEXTBEFORE(Table13[[#This Row],[Unit Price]]," "))</f>
        <v>1083</v>
      </c>
      <c r="AA86" s="23" t="str">
        <f>RIGHT(Table13[[#This Row],[Unit Price]],LEN(Table13[[#This Row],[Unit Price]])-FIND(" ",Table13[[#This Row],[Unit Price]]))</f>
        <v>CNY</v>
      </c>
      <c r="AB86" s="33" cm="1">
        <f t="array" ref="AB86">Table13[[#This Row],[Unit Price Value]]*_xlfn.XLOOKUP(Table13[[#This Row],[Unit Price Currency]],{"EUR","USD","GBP","BRL","CAD","CNY","AUD","ZAR","MXN","JPY","INR"},{1,0.86,1.15,0.15,0.63,0.12,0.56,0.05,0.05,0.01,0.01},NA())</f>
        <v>129.96</v>
      </c>
      <c r="AC86" s="32">
        <v>12</v>
      </c>
      <c r="AD86" s="32"/>
      <c r="AE86" s="20">
        <f>IF(Table13[[#This Row],[Discount (%)]]="",CHOOSE(MATCH(MOD(Table13[[#This Row],[Sales Rep ID]],3)+1,{1,2,3},0),5,10,15),Table13[[#This Row],[Discount (%)]])</f>
        <v>10</v>
      </c>
      <c r="AF86" s="38">
        <f>Table13[[#This Row],[Unit Price (EUR)]]*Table13[[#This Row],[Units Sold]]</f>
        <v>1559.52</v>
      </c>
      <c r="AG86" s="38">
        <f>Table13[[#This Row],[Gross Price (Euro)]]*Table13[[#This Row],[Calc Discount (%)]]/100</f>
        <v>155.952</v>
      </c>
      <c r="AH86" s="39">
        <f>Table13[[#This Row],[Gross Price (Euro)]]-Table13[[#This Row],[Discount Value (Euro)]]</f>
        <v>1403.568</v>
      </c>
    </row>
    <row r="87" spans="1:34" x14ac:dyDescent="0.25">
      <c r="A87" s="43">
        <v>86</v>
      </c>
      <c r="B87" s="23" t="s">
        <v>35</v>
      </c>
      <c r="C87" s="23" t="s">
        <v>36</v>
      </c>
      <c r="D87" s="23" t="str">
        <f>_xlfn.TEXTJOIN(" ",,Table13[[#This Row],[Rep First Name]],Table13[[#This Row],[Rep Last Name]])</f>
        <v>Fang Liu</v>
      </c>
      <c r="E87" s="23" t="s">
        <v>37</v>
      </c>
      <c r="F87" s="23" t="str">
        <f>IF(LEN(Table13[[#This Row],[Month]]) &gt; 0, LEFT(Table13[[#This Row],[Month]], 3), "")</f>
        <v>Feb</v>
      </c>
      <c r="G87" s="23" t="s">
        <v>16</v>
      </c>
      <c r="H87" s="23" t="s">
        <v>24</v>
      </c>
      <c r="I87" s="44">
        <f>IF(ISNUMBER(SEARCH("km/h",Table13[[#This Row],[Min Speed]])),VALUE(_xlfn.TEXTBEFORE(Table13[[#This Row],[Min Speed]]," ")),ROUND(VALUE(_xlfn.TEXTBEFORE(Table13[[#This Row],[Min Speed]]," "))*1.60934,0))</f>
        <v>80</v>
      </c>
      <c r="J87" s="44">
        <f>ROUND(IF(ISNUMBER(SEARCH("km/h",Table13[[#This Row],[Min Speed]])),Table13[[#This Row],[Min Speed (km/h)]]*0.621371,VALUE(_xlfn.TEXTBEFORE(Table13[[#This Row],[Min Speed]]," "))),0)</f>
        <v>50</v>
      </c>
      <c r="K87" s="23" t="s">
        <v>25</v>
      </c>
      <c r="L8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87" s="44">
        <f>IF(ISNUMBER(SEARCH("mph",Table13[[#This Row],[Max Speed]])),--_xlfn.TEXTBEFORE(Table13[[#This Row],[Max Speed]]," mph"),ROUND(--_xlfn.TEXTBEFORE(Table13[[#This Row],[Max Speed]]," km/h")*0.621371,0))</f>
        <v>150</v>
      </c>
      <c r="N87" s="23" t="s">
        <v>26</v>
      </c>
      <c r="O8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87" s="42" t="str">
        <f>TEXT(Table13[[#This Row],[Min Speed (km/h)]],"0")&amp;" - "&amp;TEXT(Table13[[#This Row],[Max Speed (km/h)]],"0")&amp;""</f>
        <v>80 - 241</v>
      </c>
      <c r="Q87" s="46">
        <f>IF(Table13[[#This Row],[Distance (km)]]="", AVERAGE(Table13[Distance (km)]), Table13[[#This Row],[Distance (km)]])</f>
        <v>482.80200000000002</v>
      </c>
      <c r="R87" s="23" t="s">
        <v>105</v>
      </c>
      <c r="S87" s="42" t="str" cm="1">
        <f t="array" ref="S87">TRIM(INDEX(_xlfn.TEXTSPLIT(Table13[[#This Row],[Shipping Address]],","),1))</f>
        <v>456 Wangfujing Street</v>
      </c>
      <c r="T87" s="42" t="str" cm="1">
        <f t="array" ref="T87">TRIM(INDEX(_xlfn.TEXTSPLIT(Table13[[#This Row],[Shipping Address]],","),2))</f>
        <v>Shanghai</v>
      </c>
      <c r="U87" s="42" t="str" cm="1">
        <f t="array" ref="U87">TRIM(INDEX(_xlfn.TEXTSPLIT(Table13[[#This Row],[Shipping Address]],","),3))</f>
        <v>100006</v>
      </c>
      <c r="V87" s="23" t="s">
        <v>103</v>
      </c>
      <c r="W87" s="42" t="str" cm="1">
        <f t="array" ref="W87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87" s="42" t="str" cm="1">
        <f t="array" ref="X87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87" s="23" t="s">
        <v>106</v>
      </c>
      <c r="Z87" s="33">
        <f>_xlfn.NUMBERVALUE(_xlfn.TEXTBEFORE(Table13[[#This Row],[Unit Price]]," "))</f>
        <v>1445</v>
      </c>
      <c r="AA87" s="23" t="str">
        <f>RIGHT(Table13[[#This Row],[Unit Price]],LEN(Table13[[#This Row],[Unit Price]])-FIND(" ",Table13[[#This Row],[Unit Price]]))</f>
        <v>CNY</v>
      </c>
      <c r="AB87" s="33" cm="1">
        <f t="array" ref="AB87">Table13[[#This Row],[Unit Price Value]]*_xlfn.XLOOKUP(Table13[[#This Row],[Unit Price Currency]],{"EUR","USD","GBP","BRL","CAD","CNY","AUD","ZAR","MXN","JPY","INR"},{1,0.86,1.15,0.15,0.63,0.12,0.56,0.05,0.05,0.01,0.01},NA())</f>
        <v>173.4</v>
      </c>
      <c r="AC87" s="32">
        <v>9</v>
      </c>
      <c r="AD87" s="32"/>
      <c r="AE87" s="20">
        <f>IF(Table13[[#This Row],[Discount (%)]]="",CHOOSE(MATCH(MOD(Table13[[#This Row],[Sales Rep ID]],3)+1,{1,2,3},0),5,10,15),Table13[[#This Row],[Discount (%)]])</f>
        <v>15</v>
      </c>
      <c r="AF87" s="38">
        <f>Table13[[#This Row],[Unit Price (EUR)]]*Table13[[#This Row],[Units Sold]]</f>
        <v>1560.6000000000001</v>
      </c>
      <c r="AG87" s="38">
        <f>Table13[[#This Row],[Gross Price (Euro)]]*Table13[[#This Row],[Calc Discount (%)]]/100</f>
        <v>234.09000000000003</v>
      </c>
      <c r="AH87" s="39">
        <f>Table13[[#This Row],[Gross Price (Euro)]]-Table13[[#This Row],[Discount Value (Euro)]]</f>
        <v>1326.5100000000002</v>
      </c>
    </row>
    <row r="88" spans="1:34" x14ac:dyDescent="0.25">
      <c r="A88" s="43">
        <v>87</v>
      </c>
      <c r="B88" s="23" t="s">
        <v>35</v>
      </c>
      <c r="C88" s="23" t="s">
        <v>36</v>
      </c>
      <c r="D88" s="23" t="str">
        <f>_xlfn.TEXTJOIN(" ",,Table13[[#This Row],[Rep First Name]],Table13[[#This Row],[Rep Last Name]])</f>
        <v>Fang Liu</v>
      </c>
      <c r="E88" s="23" t="s">
        <v>76</v>
      </c>
      <c r="F88" s="23" t="str">
        <f>IF(LEN(Table13[[#This Row],[Month]]) &gt; 0, LEFT(Table13[[#This Row],[Month]], 3), "")</f>
        <v>May</v>
      </c>
      <c r="G88" s="23" t="s">
        <v>67</v>
      </c>
      <c r="H88" s="23" t="s">
        <v>32</v>
      </c>
      <c r="I88" s="44">
        <f>IF(ISNUMBER(SEARCH("km/h",Table13[[#This Row],[Min Speed]])),VALUE(_xlfn.TEXTBEFORE(Table13[[#This Row],[Min Speed]]," ")),ROUND(VALUE(_xlfn.TEXTBEFORE(Table13[[#This Row],[Min Speed]]," "))*1.60934,0))</f>
        <v>30</v>
      </c>
      <c r="J88" s="44">
        <f>ROUND(IF(ISNUMBER(SEARCH("km/h",Table13[[#This Row],[Min Speed]])),Table13[[#This Row],[Min Speed (km/h)]]*0.621371,VALUE(_xlfn.TEXTBEFORE(Table13[[#This Row],[Min Speed]]," "))),0)</f>
        <v>19</v>
      </c>
      <c r="K88" s="23" t="s">
        <v>44</v>
      </c>
      <c r="L88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88" s="44">
        <f>IF(ISNUMBER(SEARCH("mph",Table13[[#This Row],[Max Speed]])),--_xlfn.TEXTBEFORE(Table13[[#This Row],[Max Speed]]," mph"),ROUND(--_xlfn.TEXTBEFORE(Table13[[#This Row],[Max Speed]]," km/h")*0.621371,0))</f>
        <v>50</v>
      </c>
      <c r="N88" s="23" t="s">
        <v>26</v>
      </c>
      <c r="O8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88" s="42" t="str">
        <f>TEXT(Table13[[#This Row],[Min Speed (km/h)]],"0")&amp;" - "&amp;TEXT(Table13[[#This Row],[Max Speed (km/h)]],"0")&amp;""</f>
        <v>30 - 80</v>
      </c>
      <c r="Q88" s="46">
        <f>IF(Table13[[#This Row],[Distance (km)]]="", AVERAGE(Table13[Distance (km)]), Table13[[#This Row],[Distance (km)]])</f>
        <v>482.80200000000002</v>
      </c>
      <c r="R88" s="23" t="s">
        <v>107</v>
      </c>
      <c r="S88" s="42" t="str" cm="1">
        <f t="array" ref="S88">TRIM(INDEX(_xlfn.TEXTSPLIT(Table13[[#This Row],[Shipping Address]],","),1))</f>
        <v>789 Nanjing Road</v>
      </c>
      <c r="T88" s="42" t="str" cm="1">
        <f t="array" ref="T88">TRIM(INDEX(_xlfn.TEXTSPLIT(Table13[[#This Row],[Shipping Address]],","),2))</f>
        <v>Shenzhen</v>
      </c>
      <c r="U88" s="42" t="str" cm="1">
        <f t="array" ref="U88">TRIM(INDEX(_xlfn.TEXTSPLIT(Table13[[#This Row],[Shipping Address]],","),3))</f>
        <v>200001</v>
      </c>
      <c r="V88" s="23" t="s">
        <v>103</v>
      </c>
      <c r="W88" s="42" t="str" cm="1">
        <f t="array" ref="W88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88" s="42" t="str" cm="1">
        <f t="array" ref="X88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88" s="23" t="s">
        <v>108</v>
      </c>
      <c r="Z88" s="33">
        <f>_xlfn.NUMBERVALUE(_xlfn.TEXTBEFORE(Table13[[#This Row],[Unit Price]]," "))</f>
        <v>1807</v>
      </c>
      <c r="AA88" s="23" t="str">
        <f>RIGHT(Table13[[#This Row],[Unit Price]],LEN(Table13[[#This Row],[Unit Price]])-FIND(" ",Table13[[#This Row],[Unit Price]]))</f>
        <v>CNY</v>
      </c>
      <c r="AB88" s="33" cm="1">
        <f t="array" ref="AB88">Table13[[#This Row],[Unit Price Value]]*_xlfn.XLOOKUP(Table13[[#This Row],[Unit Price Currency]],{"EUR","USD","GBP","BRL","CAD","CNY","AUD","ZAR","MXN","JPY","INR"},{1,0.86,1.15,0.15,0.63,0.12,0.56,0.05,0.05,0.01,0.01},NA())</f>
        <v>216.84</v>
      </c>
      <c r="AC88" s="32">
        <v>7</v>
      </c>
      <c r="AD88" s="32">
        <v>15</v>
      </c>
      <c r="AE88" s="20">
        <f>IF(Table13[[#This Row],[Discount (%)]]="",CHOOSE(MATCH(MOD(Table13[[#This Row],[Sales Rep ID]],3)+1,{1,2,3},0),5,10,15),Table13[[#This Row],[Discount (%)]])</f>
        <v>15</v>
      </c>
      <c r="AF88" s="38">
        <f>Table13[[#This Row],[Unit Price (EUR)]]*Table13[[#This Row],[Units Sold]]</f>
        <v>1517.88</v>
      </c>
      <c r="AG88" s="38">
        <f>Table13[[#This Row],[Gross Price (Euro)]]*Table13[[#This Row],[Calc Discount (%)]]/100</f>
        <v>227.68200000000002</v>
      </c>
      <c r="AH88" s="39">
        <f>Table13[[#This Row],[Gross Price (Euro)]]-Table13[[#This Row],[Discount Value (Euro)]]</f>
        <v>1290.1980000000001</v>
      </c>
    </row>
    <row r="89" spans="1:34" x14ac:dyDescent="0.25">
      <c r="A89" s="43">
        <v>88</v>
      </c>
      <c r="B89" s="23" t="s">
        <v>45</v>
      </c>
      <c r="C89" s="23" t="s">
        <v>46</v>
      </c>
      <c r="D89" s="23" t="str">
        <f>_xlfn.TEXTJOIN(" ",,Table13[[#This Row],[Rep First Name]],Table13[[#This Row],[Rep Last Name]])</f>
        <v>Jonas Fischer</v>
      </c>
      <c r="E89" s="23" t="s">
        <v>37</v>
      </c>
      <c r="F89" s="23" t="str">
        <f>IF(LEN(Table13[[#This Row],[Month]]) &gt; 0, LEFT(Table13[[#This Row],[Month]], 3), "")</f>
        <v>Feb</v>
      </c>
      <c r="G89" s="23" t="s">
        <v>16</v>
      </c>
      <c r="H89" s="23" t="s">
        <v>32</v>
      </c>
      <c r="I89" s="44">
        <f>IF(ISNUMBER(SEARCH("km/h",Table13[[#This Row],[Min Speed]])),VALUE(_xlfn.TEXTBEFORE(Table13[[#This Row],[Min Speed]]," ")),ROUND(VALUE(_xlfn.TEXTBEFORE(Table13[[#This Row],[Min Speed]]," "))*1.60934,0))</f>
        <v>30</v>
      </c>
      <c r="J89" s="44">
        <f>ROUND(IF(ISNUMBER(SEARCH("km/h",Table13[[#This Row],[Min Speed]])),Table13[[#This Row],[Min Speed (km/h)]]*0.621371,VALUE(_xlfn.TEXTBEFORE(Table13[[#This Row],[Min Speed]]," "))),0)</f>
        <v>19</v>
      </c>
      <c r="K89" s="23" t="s">
        <v>25</v>
      </c>
      <c r="L89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89" s="44">
        <f>IF(ISNUMBER(SEARCH("mph",Table13[[#This Row],[Max Speed]])),--_xlfn.TEXTBEFORE(Table13[[#This Row],[Max Speed]]," mph"),ROUND(--_xlfn.TEXTBEFORE(Table13[[#This Row],[Max Speed]]," km/h")*0.621371,0))</f>
        <v>150</v>
      </c>
      <c r="N89" s="23" t="s">
        <v>19</v>
      </c>
      <c r="O8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89" s="42" t="str">
        <f>TEXT(Table13[[#This Row],[Min Speed (km/h)]],"0")&amp;" - "&amp;TEXT(Table13[[#This Row],[Max Speed (km/h)]],"0")&amp;""</f>
        <v>30 - 241</v>
      </c>
      <c r="Q89" s="46">
        <f>IF(Table13[[#This Row],[Distance (km)]]="", AVERAGE(Table13[Distance (km)]), Table13[[#This Row],[Distance (km)]])</f>
        <v>500</v>
      </c>
      <c r="R89" s="23" t="s">
        <v>109</v>
      </c>
      <c r="S89" s="42" t="str" cm="1">
        <f t="array" ref="S89">TRIM(INDEX(_xlfn.TEXTSPLIT(Table13[[#This Row],[Shipping Address]],","),1))</f>
        <v>321 Huaihai Road</v>
      </c>
      <c r="T89" s="42" t="str" cm="1">
        <f t="array" ref="T89">TRIM(INDEX(_xlfn.TEXTSPLIT(Table13[[#This Row],[Shipping Address]],","),2))</f>
        <v>Guangzhou</v>
      </c>
      <c r="U89" s="42" t="str" cm="1">
        <f t="array" ref="U89">TRIM(INDEX(_xlfn.TEXTSPLIT(Table13[[#This Row],[Shipping Address]],","),3))</f>
        <v>200020</v>
      </c>
      <c r="V89" s="23" t="s">
        <v>103</v>
      </c>
      <c r="W89" s="42" t="str" cm="1">
        <f t="array" ref="W89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89" s="42" t="str" cm="1">
        <f t="array" ref="X89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89" s="23" t="s">
        <v>110</v>
      </c>
      <c r="Z89" s="33">
        <f>_xlfn.NUMBERVALUE(_xlfn.TEXTBEFORE(Table13[[#This Row],[Unit Price]]," "))</f>
        <v>2069</v>
      </c>
      <c r="AA89" s="23" t="str">
        <f>RIGHT(Table13[[#This Row],[Unit Price]],LEN(Table13[[#This Row],[Unit Price]])-FIND(" ",Table13[[#This Row],[Unit Price]]))</f>
        <v>CNY</v>
      </c>
      <c r="AB89" s="33" cm="1">
        <f t="array" ref="AB89">Table13[[#This Row],[Unit Price Value]]*_xlfn.XLOOKUP(Table13[[#This Row],[Unit Price Currency]],{"EUR","USD","GBP","BRL","CAD","CNY","AUD","ZAR","MXN","JPY","INR"},{1,0.86,1.15,0.15,0.63,0.12,0.56,0.05,0.05,0.01,0.01},NA())</f>
        <v>248.28</v>
      </c>
      <c r="AC89" s="32">
        <v>5</v>
      </c>
      <c r="AD89" s="32">
        <v>15</v>
      </c>
      <c r="AE89" s="20">
        <f>IF(Table13[[#This Row],[Discount (%)]]="",CHOOSE(MATCH(MOD(Table13[[#This Row],[Sales Rep ID]],3)+1,{1,2,3},0),5,10,15),Table13[[#This Row],[Discount (%)]])</f>
        <v>15</v>
      </c>
      <c r="AF89" s="38">
        <f>Table13[[#This Row],[Unit Price (EUR)]]*Table13[[#This Row],[Units Sold]]</f>
        <v>1241.4000000000001</v>
      </c>
      <c r="AG89" s="38">
        <f>Table13[[#This Row],[Gross Price (Euro)]]*Table13[[#This Row],[Calc Discount (%)]]/100</f>
        <v>186.21</v>
      </c>
      <c r="AH89" s="39">
        <f>Table13[[#This Row],[Gross Price (Euro)]]-Table13[[#This Row],[Discount Value (Euro)]]</f>
        <v>1055.19</v>
      </c>
    </row>
    <row r="90" spans="1:34" x14ac:dyDescent="0.25">
      <c r="A90" s="43">
        <v>89</v>
      </c>
      <c r="B90" s="23" t="s">
        <v>45</v>
      </c>
      <c r="C90" s="23" t="s">
        <v>46</v>
      </c>
      <c r="D90" s="23" t="str">
        <f>_xlfn.TEXTJOIN(" ",,Table13[[#This Row],[Rep First Name]],Table13[[#This Row],[Rep Last Name]])</f>
        <v>Jonas Fischer</v>
      </c>
      <c r="E90" s="23" t="s">
        <v>37</v>
      </c>
      <c r="F90" s="23" t="str">
        <f>IF(LEN(Table13[[#This Row],[Month]]) &gt; 0, LEFT(Table13[[#This Row],[Month]], 3), "")</f>
        <v>Feb</v>
      </c>
      <c r="G90" s="23" t="s">
        <v>16</v>
      </c>
      <c r="H90" s="23" t="s">
        <v>32</v>
      </c>
      <c r="I90" s="44">
        <f>IF(ISNUMBER(SEARCH("km/h",Table13[[#This Row],[Min Speed]])),VALUE(_xlfn.TEXTBEFORE(Table13[[#This Row],[Min Speed]]," ")),ROUND(VALUE(_xlfn.TEXTBEFORE(Table13[[#This Row],[Min Speed]]," "))*1.60934,0))</f>
        <v>30</v>
      </c>
      <c r="J90" s="44">
        <f>ROUND(IF(ISNUMBER(SEARCH("km/h",Table13[[#This Row],[Min Speed]])),Table13[[#This Row],[Min Speed (km/h)]]*0.621371,VALUE(_xlfn.TEXTBEFORE(Table13[[#This Row],[Min Speed]]," "))),0)</f>
        <v>19</v>
      </c>
      <c r="K90" s="23" t="s">
        <v>44</v>
      </c>
      <c r="L90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90" s="44">
        <f>IF(ISNUMBER(SEARCH("mph",Table13[[#This Row],[Max Speed]])),--_xlfn.TEXTBEFORE(Table13[[#This Row],[Max Speed]]," mph"),ROUND(--_xlfn.TEXTBEFORE(Table13[[#This Row],[Max Speed]]," km/h")*0.621371,0))</f>
        <v>50</v>
      </c>
      <c r="N90" s="23" t="s">
        <v>28</v>
      </c>
      <c r="O9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90" s="42" t="str">
        <f>TEXT(Table13[[#This Row],[Min Speed (km/h)]],"0")&amp;" - "&amp;TEXT(Table13[[#This Row],[Max Speed (km/h)]],"0")&amp;""</f>
        <v>30 - 80</v>
      </c>
      <c r="Q90" s="46">
        <f>IF(Table13[[#This Row],[Distance (km)]]="", AVERAGE(Table13[Distance (km)]), Table13[[#This Row],[Distance (km)]])</f>
        <v>241.40100000000001</v>
      </c>
      <c r="R90" s="23" t="s">
        <v>111</v>
      </c>
      <c r="S90" s="42" t="str" cm="1">
        <f t="array" ref="S90">TRIM(INDEX(_xlfn.TEXTSPLIT(Table13[[#This Row],[Shipping Address]],","),1))</f>
        <v>123 MG Road</v>
      </c>
      <c r="T90" s="42" t="str" cm="1">
        <f t="array" ref="T90">TRIM(INDEX(_xlfn.TEXTSPLIT(Table13[[#This Row],[Shipping Address]],","),2))</f>
        <v>Bangalore</v>
      </c>
      <c r="U90" s="42" t="str" cm="1">
        <f t="array" ref="U90">TRIM(INDEX(_xlfn.TEXTSPLIT(Table13[[#This Row],[Shipping Address]],","),3))</f>
        <v>560001</v>
      </c>
      <c r="V90" s="23" t="s">
        <v>112</v>
      </c>
      <c r="W90" s="42" t="str" cm="1">
        <f t="array" ref="W90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90" s="42" t="str" cm="1">
        <f t="array" ref="X90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90" s="23" t="s">
        <v>113</v>
      </c>
      <c r="Z90" s="33">
        <f>_xlfn.NUMBERVALUE(_xlfn.TEXTBEFORE(Table13[[#This Row],[Unit Price]]," "))</f>
        <v>12348</v>
      </c>
      <c r="AA90" s="23" t="str">
        <f>RIGHT(Table13[[#This Row],[Unit Price]],LEN(Table13[[#This Row],[Unit Price]])-FIND(" ",Table13[[#This Row],[Unit Price]]))</f>
        <v>INR</v>
      </c>
      <c r="AB90" s="33" cm="1">
        <f t="array" ref="AB90">Table13[[#This Row],[Unit Price Value]]*_xlfn.XLOOKUP(Table13[[#This Row],[Unit Price Currency]],{"EUR","USD","GBP","BRL","CAD","CNY","AUD","ZAR","MXN","JPY","INR"},{1,0.86,1.15,0.15,0.63,0.12,0.56,0.05,0.05,0.01,0.01},NA())</f>
        <v>123.48</v>
      </c>
      <c r="AC90" s="32">
        <v>16</v>
      </c>
      <c r="AD90" s="32">
        <v>5</v>
      </c>
      <c r="AE90" s="20">
        <f>IF(Table13[[#This Row],[Discount (%)]]="",CHOOSE(MATCH(MOD(Table13[[#This Row],[Sales Rep ID]],3)+1,{1,2,3},0),5,10,15),Table13[[#This Row],[Discount (%)]])</f>
        <v>5</v>
      </c>
      <c r="AF90" s="38">
        <f>Table13[[#This Row],[Unit Price (EUR)]]*Table13[[#This Row],[Units Sold]]</f>
        <v>1975.68</v>
      </c>
      <c r="AG90" s="38">
        <f>Table13[[#This Row],[Gross Price (Euro)]]*Table13[[#This Row],[Calc Discount (%)]]/100</f>
        <v>98.783999999999992</v>
      </c>
      <c r="AH90" s="39">
        <f>Table13[[#This Row],[Gross Price (Euro)]]-Table13[[#This Row],[Discount Value (Euro)]]</f>
        <v>1876.8960000000002</v>
      </c>
    </row>
    <row r="91" spans="1:34" x14ac:dyDescent="0.25">
      <c r="A91" s="43">
        <v>90</v>
      </c>
      <c r="B91" s="23" t="s">
        <v>45</v>
      </c>
      <c r="C91" s="23" t="s">
        <v>46</v>
      </c>
      <c r="D91" s="23" t="str">
        <f>_xlfn.TEXTJOIN(" ",,Table13[[#This Row],[Rep First Name]],Table13[[#This Row],[Rep Last Name]])</f>
        <v>Jonas Fischer</v>
      </c>
      <c r="E91" s="23" t="s">
        <v>76</v>
      </c>
      <c r="F91" s="23" t="str">
        <f>IF(LEN(Table13[[#This Row],[Month]]) &gt; 0, LEFT(Table13[[#This Row],[Month]], 3), "")</f>
        <v>May</v>
      </c>
      <c r="G91" s="23" t="s">
        <v>67</v>
      </c>
      <c r="H91" s="23" t="s">
        <v>17</v>
      </c>
      <c r="I91" s="44">
        <f>IF(ISNUMBER(SEARCH("km/h",Table13[[#This Row],[Min Speed]])),VALUE(_xlfn.TEXTBEFORE(Table13[[#This Row],[Min Speed]]," ")),ROUND(VALUE(_xlfn.TEXTBEFORE(Table13[[#This Row],[Min Speed]]," "))*1.60934,0))</f>
        <v>64</v>
      </c>
      <c r="J91" s="44">
        <f>ROUND(IF(ISNUMBER(SEARCH("km/h",Table13[[#This Row],[Min Speed]])),Table13[[#This Row],[Min Speed (km/h)]]*0.621371,VALUE(_xlfn.TEXTBEFORE(Table13[[#This Row],[Min Speed]]," "))),0)</f>
        <v>40</v>
      </c>
      <c r="K91" s="23" t="s">
        <v>55</v>
      </c>
      <c r="L91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91" s="44">
        <f>IF(ISNUMBER(SEARCH("mph",Table13[[#This Row],[Max Speed]])),--_xlfn.TEXTBEFORE(Table13[[#This Row],[Max Speed]]," mph"),ROUND(--_xlfn.TEXTBEFORE(Table13[[#This Row],[Max Speed]]," km/h")*0.621371,0))</f>
        <v>100</v>
      </c>
      <c r="N91" s="23" t="s">
        <v>26</v>
      </c>
      <c r="O9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91" s="42" t="str">
        <f>TEXT(Table13[[#This Row],[Min Speed (km/h)]],"0")&amp;" - "&amp;TEXT(Table13[[#This Row],[Max Speed (km/h)]],"0")&amp;""</f>
        <v>64 - 161</v>
      </c>
      <c r="Q91" s="46">
        <f>IF(Table13[[#This Row],[Distance (km)]]="", AVERAGE(Table13[Distance (km)]), Table13[[#This Row],[Distance (km)]])</f>
        <v>482.80200000000002</v>
      </c>
      <c r="R91" s="23" t="s">
        <v>114</v>
      </c>
      <c r="S91" s="42" t="str" cm="1">
        <f t="array" ref="S91">TRIM(INDEX(_xlfn.TEXTSPLIT(Table13[[#This Row],[Shipping Address]],","),1))</f>
        <v>456 Connaught Place</v>
      </c>
      <c r="T91" s="42" t="str" cm="1">
        <f t="array" ref="T91">TRIM(INDEX(_xlfn.TEXTSPLIT(Table13[[#This Row],[Shipping Address]],","),2))</f>
        <v>New Delhi</v>
      </c>
      <c r="U91" s="42" t="str" cm="1">
        <f t="array" ref="U91">TRIM(INDEX(_xlfn.TEXTSPLIT(Table13[[#This Row],[Shipping Address]],","),3))</f>
        <v>110001</v>
      </c>
      <c r="V91" s="23" t="s">
        <v>112</v>
      </c>
      <c r="W91" s="42" t="str" cm="1">
        <f t="array" ref="W91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91" s="42" t="str" cm="1">
        <f t="array" ref="X91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91" s="23" t="s">
        <v>115</v>
      </c>
      <c r="Z91" s="33">
        <f>_xlfn.NUMBERVALUE(_xlfn.TEXTBEFORE(Table13[[#This Row],[Unit Price]]," "))</f>
        <v>16456</v>
      </c>
      <c r="AA91" s="23" t="str">
        <f>RIGHT(Table13[[#This Row],[Unit Price]],LEN(Table13[[#This Row],[Unit Price]])-FIND(" ",Table13[[#This Row],[Unit Price]]))</f>
        <v>INR</v>
      </c>
      <c r="AB91" s="33" cm="1">
        <f t="array" ref="AB91">Table13[[#This Row],[Unit Price Value]]*_xlfn.XLOOKUP(Table13[[#This Row],[Unit Price Currency]],{"EUR","USD","GBP","BRL","CAD","CNY","AUD","ZAR","MXN","JPY","INR"},{1,0.86,1.15,0.15,0.63,0.12,0.56,0.05,0.05,0.01,0.01},NA())</f>
        <v>164.56</v>
      </c>
      <c r="AC91" s="32">
        <v>13</v>
      </c>
      <c r="AD91" s="32">
        <v>5</v>
      </c>
      <c r="AE91" s="20">
        <f>IF(Table13[[#This Row],[Discount (%)]]="",CHOOSE(MATCH(MOD(Table13[[#This Row],[Sales Rep ID]],3)+1,{1,2,3},0),5,10,15),Table13[[#This Row],[Discount (%)]])</f>
        <v>5</v>
      </c>
      <c r="AF91" s="38">
        <f>Table13[[#This Row],[Unit Price (EUR)]]*Table13[[#This Row],[Units Sold]]</f>
        <v>2139.2800000000002</v>
      </c>
      <c r="AG91" s="38">
        <f>Table13[[#This Row],[Gross Price (Euro)]]*Table13[[#This Row],[Calc Discount (%)]]/100</f>
        <v>106.96400000000001</v>
      </c>
      <c r="AH91" s="39">
        <f>Table13[[#This Row],[Gross Price (Euro)]]-Table13[[#This Row],[Discount Value (Euro)]]</f>
        <v>2032.3160000000003</v>
      </c>
    </row>
    <row r="92" spans="1:34" x14ac:dyDescent="0.25">
      <c r="A92" s="43">
        <v>91</v>
      </c>
      <c r="B92" s="23" t="s">
        <v>59</v>
      </c>
      <c r="C92" s="23" t="s">
        <v>60</v>
      </c>
      <c r="D92" s="23" t="str">
        <f>_xlfn.TEXTJOIN(" ",,Table13[[#This Row],[Rep First Name]],Table13[[#This Row],[Rep Last Name]])</f>
        <v>Théo Bernard</v>
      </c>
      <c r="E92" s="23" t="s">
        <v>76</v>
      </c>
      <c r="F92" s="23" t="str">
        <f>IF(LEN(Table13[[#This Row],[Month]]) &gt; 0, LEFT(Table13[[#This Row],[Month]], 3), "")</f>
        <v>May</v>
      </c>
      <c r="G92" s="23" t="s">
        <v>27</v>
      </c>
      <c r="H92" s="23" t="s">
        <v>24</v>
      </c>
      <c r="I92" s="44">
        <f>IF(ISNUMBER(SEARCH("km/h",Table13[[#This Row],[Min Speed]])),VALUE(_xlfn.TEXTBEFORE(Table13[[#This Row],[Min Speed]]," ")),ROUND(VALUE(_xlfn.TEXTBEFORE(Table13[[#This Row],[Min Speed]]," "))*1.60934,0))</f>
        <v>80</v>
      </c>
      <c r="J92" s="44">
        <f>ROUND(IF(ISNUMBER(SEARCH("km/h",Table13[[#This Row],[Min Speed]])),Table13[[#This Row],[Min Speed (km/h)]]*0.621371,VALUE(_xlfn.TEXTBEFORE(Table13[[#This Row],[Min Speed]]," "))),0)</f>
        <v>50</v>
      </c>
      <c r="K92" s="23" t="s">
        <v>18</v>
      </c>
      <c r="L92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92" s="44">
        <f>IF(ISNUMBER(SEARCH("mph",Table13[[#This Row],[Max Speed]])),--_xlfn.TEXTBEFORE(Table13[[#This Row],[Max Speed]]," mph"),ROUND(--_xlfn.TEXTBEFORE(Table13[[#This Row],[Max Speed]]," km/h")*0.621371,0))</f>
        <v>75</v>
      </c>
      <c r="N92" s="23" t="s">
        <v>26</v>
      </c>
      <c r="O9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92" s="42" t="str">
        <f>TEXT(Table13[[#This Row],[Min Speed (km/h)]],"0")&amp;" - "&amp;TEXT(Table13[[#This Row],[Max Speed (km/h)]],"0")&amp;""</f>
        <v>80 - 120</v>
      </c>
      <c r="Q92" s="46">
        <f>IF(Table13[[#This Row],[Distance (km)]]="", AVERAGE(Table13[Distance (km)]), Table13[[#This Row],[Distance (km)]])</f>
        <v>482.80200000000002</v>
      </c>
      <c r="R92" s="23" t="s">
        <v>116</v>
      </c>
      <c r="S92" s="42" t="str" cm="1">
        <f t="array" ref="S92">TRIM(INDEX(_xlfn.TEXTSPLIT(Table13[[#This Row],[Shipping Address]],","),1))</f>
        <v>789 Brigade Road</v>
      </c>
      <c r="T92" s="42" t="str" cm="1">
        <f t="array" ref="T92">TRIM(INDEX(_xlfn.TEXTSPLIT(Table13[[#This Row],[Shipping Address]],","),2))</f>
        <v>Mumbai</v>
      </c>
      <c r="U92" s="42" t="str" cm="1">
        <f t="array" ref="U92">TRIM(INDEX(_xlfn.TEXTSPLIT(Table13[[#This Row],[Shipping Address]],","),3))</f>
        <v>560025</v>
      </c>
      <c r="V92" s="23" t="s">
        <v>112</v>
      </c>
      <c r="W92" s="42" t="str" cm="1">
        <f t="array" ref="W92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92" s="42" t="str" cm="1">
        <f t="array" ref="X92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92" s="23" t="s">
        <v>117</v>
      </c>
      <c r="Z92" s="33">
        <f>_xlfn.NUMBERVALUE(_xlfn.TEXTBEFORE(Table13[[#This Row],[Unit Price]]," "))</f>
        <v>20565</v>
      </c>
      <c r="AA92" s="23" t="str">
        <f>RIGHT(Table13[[#This Row],[Unit Price]],LEN(Table13[[#This Row],[Unit Price]])-FIND(" ",Table13[[#This Row],[Unit Price]]))</f>
        <v>INR</v>
      </c>
      <c r="AB92" s="33" cm="1">
        <f t="array" ref="AB92">Table13[[#This Row],[Unit Price Value]]*_xlfn.XLOOKUP(Table13[[#This Row],[Unit Price Currency]],{"EUR","USD","GBP","BRL","CAD","CNY","AUD","ZAR","MXN","JPY","INR"},{1,0.86,1.15,0.15,0.63,0.12,0.56,0.05,0.05,0.01,0.01},NA())</f>
        <v>205.65</v>
      </c>
      <c r="AC92" s="32">
        <v>11</v>
      </c>
      <c r="AD92" s="32"/>
      <c r="AE92" s="20">
        <f>IF(Table13[[#This Row],[Discount (%)]]="",CHOOSE(MATCH(MOD(Table13[[#This Row],[Sales Rep ID]],3)+1,{1,2,3},0),5,10,15),Table13[[#This Row],[Discount (%)]])</f>
        <v>10</v>
      </c>
      <c r="AF92" s="38">
        <f>Table13[[#This Row],[Unit Price (EUR)]]*Table13[[#This Row],[Units Sold]]</f>
        <v>2262.15</v>
      </c>
      <c r="AG92" s="38">
        <f>Table13[[#This Row],[Gross Price (Euro)]]*Table13[[#This Row],[Calc Discount (%)]]/100</f>
        <v>226.215</v>
      </c>
      <c r="AH92" s="39">
        <f>Table13[[#This Row],[Gross Price (Euro)]]-Table13[[#This Row],[Discount Value (Euro)]]</f>
        <v>2035.9350000000002</v>
      </c>
    </row>
    <row r="93" spans="1:34" x14ac:dyDescent="0.25">
      <c r="A93" s="43">
        <v>92</v>
      </c>
      <c r="B93" s="23" t="s">
        <v>59</v>
      </c>
      <c r="C93" s="23" t="s">
        <v>60</v>
      </c>
      <c r="D93" s="23" t="str">
        <f>_xlfn.TEXTJOIN(" ",,Table13[[#This Row],[Rep First Name]],Table13[[#This Row],[Rep Last Name]])</f>
        <v>Théo Bernard</v>
      </c>
      <c r="E93" s="23" t="s">
        <v>23</v>
      </c>
      <c r="F93" s="23" t="str">
        <f>IF(LEN(Table13[[#This Row],[Month]]) &gt; 0, LEFT(Table13[[#This Row],[Month]], 3), "")</f>
        <v>Mar</v>
      </c>
      <c r="G93" s="23" t="s">
        <v>43</v>
      </c>
      <c r="H93" s="23" t="s">
        <v>17</v>
      </c>
      <c r="I93" s="44">
        <f>IF(ISNUMBER(SEARCH("km/h",Table13[[#This Row],[Min Speed]])),VALUE(_xlfn.TEXTBEFORE(Table13[[#This Row],[Min Speed]]," ")),ROUND(VALUE(_xlfn.TEXTBEFORE(Table13[[#This Row],[Min Speed]]," "))*1.60934,0))</f>
        <v>64</v>
      </c>
      <c r="J93" s="44">
        <f>ROUND(IF(ISNUMBER(SEARCH("km/h",Table13[[#This Row],[Min Speed]])),Table13[[#This Row],[Min Speed (km/h)]]*0.621371,VALUE(_xlfn.TEXTBEFORE(Table13[[#This Row],[Min Speed]]," "))),0)</f>
        <v>40</v>
      </c>
      <c r="K93" s="23" t="s">
        <v>55</v>
      </c>
      <c r="L93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93" s="44">
        <f>IF(ISNUMBER(SEARCH("mph",Table13[[#This Row],[Max Speed]])),--_xlfn.TEXTBEFORE(Table13[[#This Row],[Max Speed]]," mph"),ROUND(--_xlfn.TEXTBEFORE(Table13[[#This Row],[Max Speed]]," km/h")*0.621371,0))</f>
        <v>100</v>
      </c>
      <c r="N93" s="23"/>
      <c r="O93" s="45" t="str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/>
      </c>
      <c r="P93" s="42" t="str">
        <f>TEXT(Table13[[#This Row],[Min Speed (km/h)]],"0")&amp;" - "&amp;TEXT(Table13[[#This Row],[Max Speed (km/h)]],"0")&amp;""</f>
        <v>64 - 161</v>
      </c>
      <c r="Q93" s="46">
        <f>IF(Table13[[#This Row],[Distance (km)]]="", AVERAGE(Table13[Distance (km)]), Table13[[#This Row],[Distance (km)]])</f>
        <v>451.98137500000013</v>
      </c>
      <c r="R93" s="23" t="s">
        <v>118</v>
      </c>
      <c r="S93" s="42" t="str" cm="1">
        <f t="array" ref="S93">TRIM(INDEX(_xlfn.TEXTSPLIT(Table13[[#This Row],[Shipping Address]],","),1))</f>
        <v>321 Jayanagar</v>
      </c>
      <c r="T93" s="42" t="str" cm="1">
        <f t="array" ref="T93">TRIM(INDEX(_xlfn.TEXTSPLIT(Table13[[#This Row],[Shipping Address]],","),2))</f>
        <v>Kolkata</v>
      </c>
      <c r="U93" s="42" t="str" cm="1">
        <f t="array" ref="U93">TRIM(INDEX(_xlfn.TEXTSPLIT(Table13[[#This Row],[Shipping Address]],","),3))</f>
        <v>560041</v>
      </c>
      <c r="V93" s="23" t="s">
        <v>112</v>
      </c>
      <c r="W93" s="42" t="str" cm="1">
        <f t="array" ref="W93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93" s="42" t="str" cm="1">
        <f t="array" ref="X93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93" s="23" t="s">
        <v>119</v>
      </c>
      <c r="Z93" s="33">
        <f>_xlfn.NUMBERVALUE(_xlfn.TEXTBEFORE(Table13[[#This Row],[Unit Price]]," "))</f>
        <v>24673</v>
      </c>
      <c r="AA93" s="23" t="str">
        <f>RIGHT(Table13[[#This Row],[Unit Price]],LEN(Table13[[#This Row],[Unit Price]])-FIND(" ",Table13[[#This Row],[Unit Price]]))</f>
        <v>INR</v>
      </c>
      <c r="AB93" s="33" cm="1">
        <f t="array" ref="AB93">Table13[[#This Row],[Unit Price Value]]*_xlfn.XLOOKUP(Table13[[#This Row],[Unit Price Currency]],{"EUR","USD","GBP","BRL","CAD","CNY","AUD","ZAR","MXN","JPY","INR"},{1,0.86,1.15,0.15,0.63,0.12,0.56,0.05,0.05,0.01,0.01},NA())</f>
        <v>246.73000000000002</v>
      </c>
      <c r="AC93" s="32">
        <v>6</v>
      </c>
      <c r="AD93" s="32">
        <v>5</v>
      </c>
      <c r="AE93" s="20">
        <f>IF(Table13[[#This Row],[Discount (%)]]="",CHOOSE(MATCH(MOD(Table13[[#This Row],[Sales Rep ID]],3)+1,{1,2,3},0),5,10,15),Table13[[#This Row],[Discount (%)]])</f>
        <v>5</v>
      </c>
      <c r="AF93" s="38">
        <f>Table13[[#This Row],[Unit Price (EUR)]]*Table13[[#This Row],[Units Sold]]</f>
        <v>1480.38</v>
      </c>
      <c r="AG93" s="38">
        <f>Table13[[#This Row],[Gross Price (Euro)]]*Table13[[#This Row],[Calc Discount (%)]]/100</f>
        <v>74.019000000000005</v>
      </c>
      <c r="AH93" s="39">
        <f>Table13[[#This Row],[Gross Price (Euro)]]-Table13[[#This Row],[Discount Value (Euro)]]</f>
        <v>1406.3610000000001</v>
      </c>
    </row>
    <row r="94" spans="1:34" x14ac:dyDescent="0.25">
      <c r="A94" s="43">
        <v>93</v>
      </c>
      <c r="B94" s="23" t="s">
        <v>59</v>
      </c>
      <c r="C94" s="23" t="s">
        <v>60</v>
      </c>
      <c r="D94" s="23" t="str">
        <f>_xlfn.TEXTJOIN(" ",,Table13[[#This Row],[Rep First Name]],Table13[[#This Row],[Rep Last Name]])</f>
        <v>Théo Bernard</v>
      </c>
      <c r="E94" s="23" t="s">
        <v>15</v>
      </c>
      <c r="F94" s="23" t="str">
        <f>IF(LEN(Table13[[#This Row],[Month]]) &gt; 0, LEFT(Table13[[#This Row],[Month]], 3), "")</f>
        <v>Jun</v>
      </c>
      <c r="G94" s="23" t="s">
        <v>67</v>
      </c>
      <c r="H94" s="23" t="s">
        <v>48</v>
      </c>
      <c r="I94" s="44">
        <f>IF(ISNUMBER(SEARCH("km/h",Table13[[#This Row],[Min Speed]])),VALUE(_xlfn.TEXTBEFORE(Table13[[#This Row],[Min Speed]]," ")),ROUND(VALUE(_xlfn.TEXTBEFORE(Table13[[#This Row],[Min Speed]]," "))*1.60934,0))</f>
        <v>20</v>
      </c>
      <c r="J94" s="44">
        <f>ROUND(IF(ISNUMBER(SEARCH("km/h",Table13[[#This Row],[Min Speed]])),Table13[[#This Row],[Min Speed (km/h)]]*0.621371,VALUE(_xlfn.TEXTBEFORE(Table13[[#This Row],[Min Speed]]," "))),0)</f>
        <v>12</v>
      </c>
      <c r="K94" s="23" t="s">
        <v>44</v>
      </c>
      <c r="L94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94" s="44">
        <f>IF(ISNUMBER(SEARCH("mph",Table13[[#This Row],[Max Speed]])),--_xlfn.TEXTBEFORE(Table13[[#This Row],[Max Speed]]," mph"),ROUND(--_xlfn.TEXTBEFORE(Table13[[#This Row],[Max Speed]]," km/h")*0.621371,0))</f>
        <v>50</v>
      </c>
      <c r="N94" s="23" t="s">
        <v>28</v>
      </c>
      <c r="O9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94" s="42" t="str">
        <f>TEXT(Table13[[#This Row],[Min Speed (km/h)]],"0")&amp;" - "&amp;TEXT(Table13[[#This Row],[Max Speed (km/h)]],"0")&amp;""</f>
        <v>20 - 80</v>
      </c>
      <c r="Q94" s="46">
        <f>IF(Table13[[#This Row],[Distance (km)]]="", AVERAGE(Table13[Distance (km)]), Table13[[#This Row],[Distance (km)]])</f>
        <v>241.40100000000001</v>
      </c>
      <c r="R94" s="23" t="s">
        <v>120</v>
      </c>
      <c r="S94" s="42" t="str" cm="1">
        <f t="array" ref="S94">TRIM(INDEX(_xlfn.TEXTSPLIT(Table13[[#This Row],[Shipping Address]],","),1))</f>
        <v>123 George Street</v>
      </c>
      <c r="T94" s="42" t="str" cm="1">
        <f t="array" ref="T94">TRIM(INDEX(_xlfn.TEXTSPLIT(Table13[[#This Row],[Shipping Address]],","),2))</f>
        <v>Sydney</v>
      </c>
      <c r="U94" s="42" t="str" cm="1">
        <f t="array" ref="U94">TRIM(INDEX(_xlfn.TEXTSPLIT(Table13[[#This Row],[Shipping Address]],","),3))</f>
        <v>2000</v>
      </c>
      <c r="V94" s="23" t="s">
        <v>121</v>
      </c>
      <c r="W94" s="42" t="str" cm="1">
        <f t="array" ref="W94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94" s="42" t="str" cm="1">
        <f t="array" ref="X94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94" s="23" t="s">
        <v>122</v>
      </c>
      <c r="Z94" s="33">
        <f>_xlfn.NUMBERVALUE(_xlfn.TEXTBEFORE(Table13[[#This Row],[Unit Price]]," "))</f>
        <v>222</v>
      </c>
      <c r="AA94" s="23" t="str">
        <f>RIGHT(Table13[[#This Row],[Unit Price]],LEN(Table13[[#This Row],[Unit Price]])-FIND(" ",Table13[[#This Row],[Unit Price]]))</f>
        <v>AUD</v>
      </c>
      <c r="AB94" s="33" cm="1">
        <f t="array" ref="AB94">Table13[[#This Row],[Unit Price Value]]*_xlfn.XLOOKUP(Table13[[#This Row],[Unit Price Currency]],{"EUR","USD","GBP","BRL","CAD","CNY","AUD","ZAR","MXN","JPY","INR"},{1,0.86,1.15,0.15,0.63,0.12,0.56,0.05,0.05,0.01,0.01},NA())</f>
        <v>124.32000000000001</v>
      </c>
      <c r="AC94" s="32">
        <v>14</v>
      </c>
      <c r="AD94" s="32">
        <v>10</v>
      </c>
      <c r="AE94" s="20">
        <f>IF(Table13[[#This Row],[Discount (%)]]="",CHOOSE(MATCH(MOD(Table13[[#This Row],[Sales Rep ID]],3)+1,{1,2,3},0),5,10,15),Table13[[#This Row],[Discount (%)]])</f>
        <v>10</v>
      </c>
      <c r="AF94" s="38">
        <f>Table13[[#This Row],[Unit Price (EUR)]]*Table13[[#This Row],[Units Sold]]</f>
        <v>1740.48</v>
      </c>
      <c r="AG94" s="38">
        <f>Table13[[#This Row],[Gross Price (Euro)]]*Table13[[#This Row],[Calc Discount (%)]]/100</f>
        <v>174.048</v>
      </c>
      <c r="AH94" s="39">
        <f>Table13[[#This Row],[Gross Price (Euro)]]-Table13[[#This Row],[Discount Value (Euro)]]</f>
        <v>1566.432</v>
      </c>
    </row>
    <row r="95" spans="1:34" x14ac:dyDescent="0.25">
      <c r="A95" s="43">
        <v>94</v>
      </c>
      <c r="B95" s="23" t="s">
        <v>13</v>
      </c>
      <c r="C95" s="23" t="s">
        <v>14</v>
      </c>
      <c r="D95" s="23" t="str">
        <f>_xlfn.TEXTJOIN(" ",,Table13[[#This Row],[Rep First Name]],Table13[[#This Row],[Rep Last Name]])</f>
        <v>Sanya Joshi</v>
      </c>
      <c r="E95" s="23" t="s">
        <v>37</v>
      </c>
      <c r="F95" s="23" t="str">
        <f>IF(LEN(Table13[[#This Row],[Month]]) &gt; 0, LEFT(Table13[[#This Row],[Month]], 3), "")</f>
        <v>Feb</v>
      </c>
      <c r="G95" s="23" t="s">
        <v>43</v>
      </c>
      <c r="H95" s="23" t="s">
        <v>17</v>
      </c>
      <c r="I95" s="44">
        <f>IF(ISNUMBER(SEARCH("km/h",Table13[[#This Row],[Min Speed]])),VALUE(_xlfn.TEXTBEFORE(Table13[[#This Row],[Min Speed]]," ")),ROUND(VALUE(_xlfn.TEXTBEFORE(Table13[[#This Row],[Min Speed]]," "))*1.60934,0))</f>
        <v>64</v>
      </c>
      <c r="J95" s="44">
        <f>ROUND(IF(ISNUMBER(SEARCH("km/h",Table13[[#This Row],[Min Speed]])),Table13[[#This Row],[Min Speed (km/h)]]*0.621371,VALUE(_xlfn.TEXTBEFORE(Table13[[#This Row],[Min Speed]]," "))),0)</f>
        <v>40</v>
      </c>
      <c r="K95" s="23" t="s">
        <v>25</v>
      </c>
      <c r="L95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95" s="44">
        <f>IF(ISNUMBER(SEARCH("mph",Table13[[#This Row],[Max Speed]])),--_xlfn.TEXTBEFORE(Table13[[#This Row],[Max Speed]]," mph"),ROUND(--_xlfn.TEXTBEFORE(Table13[[#This Row],[Max Speed]]," km/h")*0.621371,0))</f>
        <v>150</v>
      </c>
      <c r="N95" s="23" t="s">
        <v>28</v>
      </c>
      <c r="O9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95" s="42" t="str">
        <f>TEXT(Table13[[#This Row],[Min Speed (km/h)]],"0")&amp;" - "&amp;TEXT(Table13[[#This Row],[Max Speed (km/h)]],"0")&amp;""</f>
        <v>64 - 241</v>
      </c>
      <c r="Q95" s="46">
        <f>IF(Table13[[#This Row],[Distance (km)]]="", AVERAGE(Table13[Distance (km)]), Table13[[#This Row],[Distance (km)]])</f>
        <v>241.40100000000001</v>
      </c>
      <c r="R95" s="23" t="s">
        <v>123</v>
      </c>
      <c r="S95" s="42" t="str" cm="1">
        <f t="array" ref="S95">TRIM(INDEX(_xlfn.TEXTSPLIT(Table13[[#This Row],[Shipping Address]],","),1))</f>
        <v>456 King Street</v>
      </c>
      <c r="T95" s="42" t="str" cm="1">
        <f t="array" ref="T95">TRIM(INDEX(_xlfn.TEXTSPLIT(Table13[[#This Row],[Shipping Address]],","),2))</f>
        <v>Melbourne</v>
      </c>
      <c r="U95" s="42" t="str" cm="1">
        <f t="array" ref="U95">TRIM(INDEX(_xlfn.TEXTSPLIT(Table13[[#This Row],[Shipping Address]],","),3))</f>
        <v>3000</v>
      </c>
      <c r="V95" s="23" t="s">
        <v>121</v>
      </c>
      <c r="W95" s="42" t="str" cm="1">
        <f t="array" ref="W95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95" s="42" t="str" cm="1">
        <f t="array" ref="X95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95" s="23" t="s">
        <v>124</v>
      </c>
      <c r="Z95" s="33">
        <f>_xlfn.NUMBERVALUE(_xlfn.TEXTBEFORE(Table13[[#This Row],[Unit Price]]," "))</f>
        <v>296</v>
      </c>
      <c r="AA95" s="23" t="str">
        <f>RIGHT(Table13[[#This Row],[Unit Price]],LEN(Table13[[#This Row],[Unit Price]])-FIND(" ",Table13[[#This Row],[Unit Price]]))</f>
        <v>AUD</v>
      </c>
      <c r="AB95" s="33" cm="1">
        <f t="array" ref="AB95">Table13[[#This Row],[Unit Price Value]]*_xlfn.XLOOKUP(Table13[[#This Row],[Unit Price Currency]],{"EUR","USD","GBP","BRL","CAD","CNY","AUD","ZAR","MXN","JPY","INR"},{1,0.86,1.15,0.15,0.63,0.12,0.56,0.05,0.05,0.01,0.01},NA())</f>
        <v>165.76000000000002</v>
      </c>
      <c r="AC95" s="32">
        <v>10</v>
      </c>
      <c r="AD95" s="32">
        <v>15</v>
      </c>
      <c r="AE95" s="20">
        <f>IF(Table13[[#This Row],[Discount (%)]]="",CHOOSE(MATCH(MOD(Table13[[#This Row],[Sales Rep ID]],3)+1,{1,2,3},0),5,10,15),Table13[[#This Row],[Discount (%)]])</f>
        <v>15</v>
      </c>
      <c r="AF95" s="38">
        <f>Table13[[#This Row],[Unit Price (EUR)]]*Table13[[#This Row],[Units Sold]]</f>
        <v>1657.6000000000001</v>
      </c>
      <c r="AG95" s="38">
        <f>Table13[[#This Row],[Gross Price (Euro)]]*Table13[[#This Row],[Calc Discount (%)]]/100</f>
        <v>248.64000000000004</v>
      </c>
      <c r="AH95" s="39">
        <f>Table13[[#This Row],[Gross Price (Euro)]]-Table13[[#This Row],[Discount Value (Euro)]]</f>
        <v>1408.96</v>
      </c>
    </row>
    <row r="96" spans="1:34" x14ac:dyDescent="0.25">
      <c r="A96" s="43">
        <v>95</v>
      </c>
      <c r="B96" s="23" t="s">
        <v>13</v>
      </c>
      <c r="C96" s="23" t="s">
        <v>14</v>
      </c>
      <c r="D96" s="23" t="str">
        <f>_xlfn.TEXTJOIN(" ",,Table13[[#This Row],[Rep First Name]],Table13[[#This Row],[Rep Last Name]])</f>
        <v>Sanya Joshi</v>
      </c>
      <c r="E96" s="23" t="s">
        <v>47</v>
      </c>
      <c r="F96" s="23" t="str">
        <f>IF(LEN(Table13[[#This Row],[Month]]) &gt; 0, LEFT(Table13[[#This Row],[Month]], 3), "")</f>
        <v>Apr</v>
      </c>
      <c r="G96" s="23" t="s">
        <v>16</v>
      </c>
      <c r="H96" s="23" t="s">
        <v>17</v>
      </c>
      <c r="I96" s="44">
        <f>IF(ISNUMBER(SEARCH("km/h",Table13[[#This Row],[Min Speed]])),VALUE(_xlfn.TEXTBEFORE(Table13[[#This Row],[Min Speed]]," ")),ROUND(VALUE(_xlfn.TEXTBEFORE(Table13[[#This Row],[Min Speed]]," "))*1.60934,0))</f>
        <v>64</v>
      </c>
      <c r="J96" s="44">
        <f>ROUND(IF(ISNUMBER(SEARCH("km/h",Table13[[#This Row],[Min Speed]])),Table13[[#This Row],[Min Speed (km/h)]]*0.621371,VALUE(_xlfn.TEXTBEFORE(Table13[[#This Row],[Min Speed]]," "))),0)</f>
        <v>40</v>
      </c>
      <c r="K96" s="23" t="s">
        <v>55</v>
      </c>
      <c r="L96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96" s="44">
        <f>IF(ISNUMBER(SEARCH("mph",Table13[[#This Row],[Max Speed]])),--_xlfn.TEXTBEFORE(Table13[[#This Row],[Max Speed]]," mph"),ROUND(--_xlfn.TEXTBEFORE(Table13[[#This Row],[Max Speed]]," km/h")*0.621371,0))</f>
        <v>100</v>
      </c>
      <c r="N96" s="23" t="s">
        <v>26</v>
      </c>
      <c r="O9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96" s="42" t="str">
        <f>TEXT(Table13[[#This Row],[Min Speed (km/h)]],"0")&amp;" - "&amp;TEXT(Table13[[#This Row],[Max Speed (km/h)]],"0")&amp;""</f>
        <v>64 - 161</v>
      </c>
      <c r="Q96" s="46">
        <f>IF(Table13[[#This Row],[Distance (km)]]="", AVERAGE(Table13[Distance (km)]), Table13[[#This Row],[Distance (km)]])</f>
        <v>482.80200000000002</v>
      </c>
      <c r="R96" s="23" t="s">
        <v>125</v>
      </c>
      <c r="S96" s="42" t="str" cm="1">
        <f t="array" ref="S96">TRIM(INDEX(_xlfn.TEXTSPLIT(Table13[[#This Row],[Shipping Address]],","),1))</f>
        <v>789 Victoria Road</v>
      </c>
      <c r="T96" s="42" t="str" cm="1">
        <f t="array" ref="T96">TRIM(INDEX(_xlfn.TEXTSPLIT(Table13[[#This Row],[Shipping Address]],","),2))</f>
        <v>Brisbane</v>
      </c>
      <c r="U96" s="42" t="str" cm="1">
        <f t="array" ref="U96">TRIM(INDEX(_xlfn.TEXTSPLIT(Table13[[#This Row],[Shipping Address]],","),3))</f>
        <v>2048</v>
      </c>
      <c r="V96" s="23" t="s">
        <v>121</v>
      </c>
      <c r="W96" s="42" t="str" cm="1">
        <f t="array" ref="W96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96" s="42" t="str" cm="1">
        <f t="array" ref="X96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96" s="23" t="s">
        <v>126</v>
      </c>
      <c r="Z96" s="33">
        <f>_xlfn.NUMBERVALUE(_xlfn.TEXTBEFORE(Table13[[#This Row],[Unit Price]]," "))</f>
        <v>370</v>
      </c>
      <c r="AA96" s="23" t="str">
        <f>RIGHT(Table13[[#This Row],[Unit Price]],LEN(Table13[[#This Row],[Unit Price]])-FIND(" ",Table13[[#This Row],[Unit Price]]))</f>
        <v>AUD</v>
      </c>
      <c r="AB96" s="33" cm="1">
        <f t="array" ref="AB96">Table13[[#This Row],[Unit Price Value]]*_xlfn.XLOOKUP(Table13[[#This Row],[Unit Price Currency]],{"EUR","USD","GBP","BRL","CAD","CNY","AUD","ZAR","MXN","JPY","INR"},{1,0.86,1.15,0.15,0.63,0.12,0.56,0.05,0.05,0.01,0.01},NA())</f>
        <v>207.20000000000002</v>
      </c>
      <c r="AC96" s="32">
        <v>7</v>
      </c>
      <c r="AD96" s="32"/>
      <c r="AE96" s="20">
        <f>IF(Table13[[#This Row],[Discount (%)]]="",CHOOSE(MATCH(MOD(Table13[[#This Row],[Sales Rep ID]],3)+1,{1,2,3},0),5,10,15),Table13[[#This Row],[Discount (%)]])</f>
        <v>15</v>
      </c>
      <c r="AF96" s="38">
        <f>Table13[[#This Row],[Unit Price (EUR)]]*Table13[[#This Row],[Units Sold]]</f>
        <v>1450.4</v>
      </c>
      <c r="AG96" s="38">
        <f>Table13[[#This Row],[Gross Price (Euro)]]*Table13[[#This Row],[Calc Discount (%)]]/100</f>
        <v>217.56</v>
      </c>
      <c r="AH96" s="39">
        <f>Table13[[#This Row],[Gross Price (Euro)]]-Table13[[#This Row],[Discount Value (Euro)]]</f>
        <v>1232.8400000000001</v>
      </c>
    </row>
    <row r="97" spans="1:34" x14ac:dyDescent="0.25">
      <c r="A97" s="43">
        <v>96</v>
      </c>
      <c r="B97" s="23" t="s">
        <v>13</v>
      </c>
      <c r="C97" s="23" t="s">
        <v>14</v>
      </c>
      <c r="D97" s="23" t="str">
        <f>_xlfn.TEXTJOIN(" ",,Table13[[#This Row],[Rep First Name]],Table13[[#This Row],[Rep Last Name]])</f>
        <v>Sanya Joshi</v>
      </c>
      <c r="E97" s="23" t="s">
        <v>23</v>
      </c>
      <c r="F97" s="23" t="str">
        <f>IF(LEN(Table13[[#This Row],[Month]]) &gt; 0, LEFT(Table13[[#This Row],[Month]], 3), "")</f>
        <v>Mar</v>
      </c>
      <c r="G97" s="23" t="s">
        <v>16</v>
      </c>
      <c r="H97" s="23" t="s">
        <v>17</v>
      </c>
      <c r="I97" s="44">
        <f>IF(ISNUMBER(SEARCH("km/h",Table13[[#This Row],[Min Speed]])),VALUE(_xlfn.TEXTBEFORE(Table13[[#This Row],[Min Speed]]," ")),ROUND(VALUE(_xlfn.TEXTBEFORE(Table13[[#This Row],[Min Speed]]," "))*1.60934,0))</f>
        <v>64</v>
      </c>
      <c r="J97" s="44">
        <f>ROUND(IF(ISNUMBER(SEARCH("km/h",Table13[[#This Row],[Min Speed]])),Table13[[#This Row],[Min Speed (km/h)]]*0.621371,VALUE(_xlfn.TEXTBEFORE(Table13[[#This Row],[Min Speed]]," "))),0)</f>
        <v>40</v>
      </c>
      <c r="K97" s="23" t="s">
        <v>25</v>
      </c>
      <c r="L9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97" s="44">
        <f>IF(ISNUMBER(SEARCH("mph",Table13[[#This Row],[Max Speed]])),--_xlfn.TEXTBEFORE(Table13[[#This Row],[Max Speed]]," mph"),ROUND(--_xlfn.TEXTBEFORE(Table13[[#This Row],[Max Speed]]," km/h")*0.621371,0))</f>
        <v>150</v>
      </c>
      <c r="N97" s="23" t="s">
        <v>68</v>
      </c>
      <c r="O9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97" s="42" t="str">
        <f>TEXT(Table13[[#This Row],[Min Speed (km/h)]],"0")&amp;" - "&amp;TEXT(Table13[[#This Row],[Max Speed (km/h)]],"0")&amp;""</f>
        <v>64 - 241</v>
      </c>
      <c r="Q97" s="46">
        <f>IF(Table13[[#This Row],[Distance (km)]]="", AVERAGE(Table13[Distance (km)]), Table13[[#This Row],[Distance (km)]])</f>
        <v>600</v>
      </c>
      <c r="R97" s="23" t="s">
        <v>127</v>
      </c>
      <c r="S97" s="42" t="str" cm="1">
        <f t="array" ref="S97">TRIM(INDEX(_xlfn.TEXTSPLIT(Table13[[#This Row],[Shipping Address]],","),1))</f>
        <v>321 Oxford Street</v>
      </c>
      <c r="T97" s="42" t="str" cm="1">
        <f t="array" ref="T97">TRIM(INDEX(_xlfn.TEXTSPLIT(Table13[[#This Row],[Shipping Address]],","),2))</f>
        <v>Perth</v>
      </c>
      <c r="U97" s="42" t="str" cm="1">
        <f t="array" ref="U97">TRIM(INDEX(_xlfn.TEXTSPLIT(Table13[[#This Row],[Shipping Address]],","),3))</f>
        <v>2011</v>
      </c>
      <c r="V97" s="23" t="s">
        <v>121</v>
      </c>
      <c r="W97" s="42" t="str" cm="1">
        <f t="array" ref="W97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97" s="42" t="str" cm="1">
        <f t="array" ref="X97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97" s="23" t="s">
        <v>128</v>
      </c>
      <c r="Z97" s="33">
        <f>_xlfn.NUMBERVALUE(_xlfn.TEXTBEFORE(Table13[[#This Row],[Unit Price]]," "))</f>
        <v>444</v>
      </c>
      <c r="AA97" s="23" t="str">
        <f>RIGHT(Table13[[#This Row],[Unit Price]],LEN(Table13[[#This Row],[Unit Price]])-FIND(" ",Table13[[#This Row],[Unit Price]]))</f>
        <v>AUD</v>
      </c>
      <c r="AB97" s="33" cm="1">
        <f t="array" ref="AB97">Table13[[#This Row],[Unit Price Value]]*_xlfn.XLOOKUP(Table13[[#This Row],[Unit Price Currency]],{"EUR","USD","GBP","BRL","CAD","CNY","AUD","ZAR","MXN","JPY","INR"},{1,0.86,1.15,0.15,0.63,0.12,0.56,0.05,0.05,0.01,0.01},NA())</f>
        <v>248.64000000000001</v>
      </c>
      <c r="AC97" s="32">
        <v>5</v>
      </c>
      <c r="AD97" s="32">
        <v>10</v>
      </c>
      <c r="AE97" s="20">
        <f>IF(Table13[[#This Row],[Discount (%)]]="",CHOOSE(MATCH(MOD(Table13[[#This Row],[Sales Rep ID]],3)+1,{1,2,3},0),5,10,15),Table13[[#This Row],[Discount (%)]])</f>
        <v>10</v>
      </c>
      <c r="AF97" s="38">
        <f>Table13[[#This Row],[Unit Price (EUR)]]*Table13[[#This Row],[Units Sold]]</f>
        <v>1243.2</v>
      </c>
      <c r="AG97" s="38">
        <f>Table13[[#This Row],[Gross Price (Euro)]]*Table13[[#This Row],[Calc Discount (%)]]/100</f>
        <v>124.32</v>
      </c>
      <c r="AH97" s="39">
        <f>Table13[[#This Row],[Gross Price (Euro)]]-Table13[[#This Row],[Discount Value (Euro)]]</f>
        <v>1118.8800000000001</v>
      </c>
    </row>
    <row r="98" spans="1:34" x14ac:dyDescent="0.25">
      <c r="A98" s="43">
        <v>97</v>
      </c>
      <c r="B98" s="23" t="s">
        <v>13</v>
      </c>
      <c r="C98" s="23" t="s">
        <v>14</v>
      </c>
      <c r="D98" s="23" t="str">
        <f>_xlfn.TEXTJOIN(" ",,Table13[[#This Row],[Rep First Name]],Table13[[#This Row],[Rep Last Name]])</f>
        <v>Sanya Joshi</v>
      </c>
      <c r="E98" s="23" t="s">
        <v>31</v>
      </c>
      <c r="F98" s="23" t="str">
        <f>IF(LEN(Table13[[#This Row],[Month]]) &gt; 0, LEFT(Table13[[#This Row],[Month]], 3), "")</f>
        <v>Jan</v>
      </c>
      <c r="G98" s="23" t="s">
        <v>67</v>
      </c>
      <c r="H98" s="23" t="s">
        <v>17</v>
      </c>
      <c r="I98" s="44">
        <f>IF(ISNUMBER(SEARCH("km/h",Table13[[#This Row],[Min Speed]])),VALUE(_xlfn.TEXTBEFORE(Table13[[#This Row],[Min Speed]]," ")),ROUND(VALUE(_xlfn.TEXTBEFORE(Table13[[#This Row],[Min Speed]]," "))*1.60934,0))</f>
        <v>64</v>
      </c>
      <c r="J98" s="44">
        <f>ROUND(IF(ISNUMBER(SEARCH("km/h",Table13[[#This Row],[Min Speed]])),Table13[[#This Row],[Min Speed (km/h)]]*0.621371,VALUE(_xlfn.TEXTBEFORE(Table13[[#This Row],[Min Speed]]," "))),0)</f>
        <v>40</v>
      </c>
      <c r="K98" s="23" t="s">
        <v>44</v>
      </c>
      <c r="L98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98" s="44">
        <f>IF(ISNUMBER(SEARCH("mph",Table13[[#This Row],[Max Speed]])),--_xlfn.TEXTBEFORE(Table13[[#This Row],[Max Speed]]," mph"),ROUND(--_xlfn.TEXTBEFORE(Table13[[#This Row],[Max Speed]]," km/h")*0.621371,0))</f>
        <v>50</v>
      </c>
      <c r="N98" s="23" t="s">
        <v>28</v>
      </c>
      <c r="O9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98" s="42" t="str">
        <f>TEXT(Table13[[#This Row],[Min Speed (km/h)]],"0")&amp;" - "&amp;TEXT(Table13[[#This Row],[Max Speed (km/h)]],"0")&amp;""</f>
        <v>64 - 80</v>
      </c>
      <c r="Q98" s="46">
        <f>IF(Table13[[#This Row],[Distance (km)]]="", AVERAGE(Table13[Distance (km)]), Table13[[#This Row],[Distance (km)]])</f>
        <v>241.40100000000001</v>
      </c>
      <c r="R98" s="23" t="s">
        <v>129</v>
      </c>
      <c r="S98" s="42" t="str" cm="1">
        <f t="array" ref="S98">TRIM(INDEX(_xlfn.TEXTSPLIT(Table13[[#This Row],[Shipping Address]],","),1))</f>
        <v>123 Long Street</v>
      </c>
      <c r="T98" s="42" t="str" cm="1">
        <f t="array" ref="T98">TRIM(INDEX(_xlfn.TEXTSPLIT(Table13[[#This Row],[Shipping Address]],","),2))</f>
        <v>Cape Town</v>
      </c>
      <c r="U98" s="42" t="str" cm="1">
        <f t="array" ref="U98">TRIM(INDEX(_xlfn.TEXTSPLIT(Table13[[#This Row],[Shipping Address]],","),3))</f>
        <v>8001</v>
      </c>
      <c r="V98" s="23" t="s">
        <v>130</v>
      </c>
      <c r="W98" s="42" t="str" cm="1">
        <f t="array" ref="W98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98" s="42" t="str" cm="1">
        <f t="array" ref="X98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98" s="23" t="s">
        <v>131</v>
      </c>
      <c r="Z98" s="33">
        <f>_xlfn.NUMBERVALUE(_xlfn.TEXTBEFORE(Table13[[#This Row],[Unit Price]]," "))</f>
        <v>2743</v>
      </c>
      <c r="AA98" s="23" t="str">
        <f>RIGHT(Table13[[#This Row],[Unit Price]],LEN(Table13[[#This Row],[Unit Price]])-FIND(" ",Table13[[#This Row],[Unit Price]]))</f>
        <v>ZAR</v>
      </c>
      <c r="AB98" s="33" cm="1">
        <f t="array" ref="AB98">Table13[[#This Row],[Unit Price Value]]*_xlfn.XLOOKUP(Table13[[#This Row],[Unit Price Currency]],{"EUR","USD","GBP","BRL","CAD","CNY","AUD","ZAR","MXN","JPY","INR"},{1,0.86,1.15,0.15,0.63,0.12,0.56,0.05,0.05,0.01,0.01},NA())</f>
        <v>137.15</v>
      </c>
      <c r="AC98" s="32">
        <v>19</v>
      </c>
      <c r="AD98" s="32"/>
      <c r="AE98" s="20">
        <f>IF(Table13[[#This Row],[Discount (%)]]="",CHOOSE(MATCH(MOD(Table13[[#This Row],[Sales Rep ID]],3)+1,{1,2,3},0),5,10,15),Table13[[#This Row],[Discount (%)]])</f>
        <v>10</v>
      </c>
      <c r="AF98" s="38">
        <f>Table13[[#This Row],[Unit Price (EUR)]]*Table13[[#This Row],[Units Sold]]</f>
        <v>2605.85</v>
      </c>
      <c r="AG98" s="38">
        <f>Table13[[#This Row],[Gross Price (Euro)]]*Table13[[#This Row],[Calc Discount (%)]]/100</f>
        <v>260.58499999999998</v>
      </c>
      <c r="AH98" s="39">
        <f>Table13[[#This Row],[Gross Price (Euro)]]-Table13[[#This Row],[Discount Value (Euro)]]</f>
        <v>2345.2649999999999</v>
      </c>
    </row>
    <row r="99" spans="1:34" x14ac:dyDescent="0.25">
      <c r="A99" s="43">
        <v>98</v>
      </c>
      <c r="B99" s="23" t="s">
        <v>35</v>
      </c>
      <c r="C99" s="23" t="s">
        <v>36</v>
      </c>
      <c r="D99" s="23" t="str">
        <f>_xlfn.TEXTJOIN(" ",,Table13[[#This Row],[Rep First Name]],Table13[[#This Row],[Rep Last Name]])</f>
        <v>Fang Liu</v>
      </c>
      <c r="E99" s="23" t="s">
        <v>23</v>
      </c>
      <c r="F99" s="23" t="str">
        <f>IF(LEN(Table13[[#This Row],[Month]]) &gt; 0, LEFT(Table13[[#This Row],[Month]], 3), "")</f>
        <v>Mar</v>
      </c>
      <c r="G99" s="23" t="s">
        <v>16</v>
      </c>
      <c r="H99" s="23" t="s">
        <v>32</v>
      </c>
      <c r="I99" s="44">
        <f>IF(ISNUMBER(SEARCH("km/h",Table13[[#This Row],[Min Speed]])),VALUE(_xlfn.TEXTBEFORE(Table13[[#This Row],[Min Speed]]," ")),ROUND(VALUE(_xlfn.TEXTBEFORE(Table13[[#This Row],[Min Speed]]," "))*1.60934,0))</f>
        <v>30</v>
      </c>
      <c r="J99" s="44">
        <f>ROUND(IF(ISNUMBER(SEARCH("km/h",Table13[[#This Row],[Min Speed]])),Table13[[#This Row],[Min Speed (km/h)]]*0.621371,VALUE(_xlfn.TEXTBEFORE(Table13[[#This Row],[Min Speed]]," "))),0)</f>
        <v>19</v>
      </c>
      <c r="K99" s="23" t="s">
        <v>18</v>
      </c>
      <c r="L99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99" s="44">
        <f>IF(ISNUMBER(SEARCH("mph",Table13[[#This Row],[Max Speed]])),--_xlfn.TEXTBEFORE(Table13[[#This Row],[Max Speed]]," mph"),ROUND(--_xlfn.TEXTBEFORE(Table13[[#This Row],[Max Speed]]," km/h")*0.621371,0))</f>
        <v>75</v>
      </c>
      <c r="N99" s="23" t="s">
        <v>68</v>
      </c>
      <c r="O9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99" s="42" t="str">
        <f>TEXT(Table13[[#This Row],[Min Speed (km/h)]],"0")&amp;" - "&amp;TEXT(Table13[[#This Row],[Max Speed (km/h)]],"0")&amp;""</f>
        <v>30 - 120</v>
      </c>
      <c r="Q99" s="46">
        <f>IF(Table13[[#This Row],[Distance (km)]]="", AVERAGE(Table13[Distance (km)]), Table13[[#This Row],[Distance (km)]])</f>
        <v>600</v>
      </c>
      <c r="R99" s="23" t="s">
        <v>132</v>
      </c>
      <c r="S99" s="42" t="str" cm="1">
        <f t="array" ref="S99">TRIM(INDEX(_xlfn.TEXTSPLIT(Table13[[#This Row],[Shipping Address]],","),1))</f>
        <v>456 Bree Street</v>
      </c>
      <c r="T99" s="42" t="str" cm="1">
        <f t="array" ref="T99">TRIM(INDEX(_xlfn.TEXTSPLIT(Table13[[#This Row],[Shipping Address]],","),2))</f>
        <v>Johannesburg</v>
      </c>
      <c r="U99" s="42" t="str" cm="1">
        <f t="array" ref="U99">TRIM(INDEX(_xlfn.TEXTSPLIT(Table13[[#This Row],[Shipping Address]],","),3))</f>
        <v>8001</v>
      </c>
      <c r="V99" s="23" t="s">
        <v>130</v>
      </c>
      <c r="W99" s="42" t="str" cm="1">
        <f t="array" ref="W99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99" s="42" t="str" cm="1">
        <f t="array" ref="X99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99" s="23" t="s">
        <v>133</v>
      </c>
      <c r="Z99" s="33">
        <f>_xlfn.NUMBERVALUE(_xlfn.TEXTBEFORE(Table13[[#This Row],[Unit Price]]," "))</f>
        <v>3652</v>
      </c>
      <c r="AA99" s="23" t="str">
        <f>RIGHT(Table13[[#This Row],[Unit Price]],LEN(Table13[[#This Row],[Unit Price]])-FIND(" ",Table13[[#This Row],[Unit Price]]))</f>
        <v>ZAR</v>
      </c>
      <c r="AB99" s="33" cm="1">
        <f t="array" ref="AB99">Table13[[#This Row],[Unit Price Value]]*_xlfn.XLOOKUP(Table13[[#This Row],[Unit Price Currency]],{"EUR","USD","GBP","BRL","CAD","CNY","AUD","ZAR","MXN","JPY","INR"},{1,0.86,1.15,0.15,0.63,0.12,0.56,0.05,0.05,0.01,0.01},NA())</f>
        <v>182.60000000000002</v>
      </c>
      <c r="AC99" s="32">
        <v>15</v>
      </c>
      <c r="AD99" s="32">
        <v>15</v>
      </c>
      <c r="AE99" s="20">
        <f>IF(Table13[[#This Row],[Discount (%)]]="",CHOOSE(MATCH(MOD(Table13[[#This Row],[Sales Rep ID]],3)+1,{1,2,3},0),5,10,15),Table13[[#This Row],[Discount (%)]])</f>
        <v>15</v>
      </c>
      <c r="AF99" s="38">
        <f>Table13[[#This Row],[Unit Price (EUR)]]*Table13[[#This Row],[Units Sold]]</f>
        <v>2739.0000000000005</v>
      </c>
      <c r="AG99" s="38">
        <f>Table13[[#This Row],[Gross Price (Euro)]]*Table13[[#This Row],[Calc Discount (%)]]/100</f>
        <v>410.85000000000008</v>
      </c>
      <c r="AH99" s="39">
        <f>Table13[[#This Row],[Gross Price (Euro)]]-Table13[[#This Row],[Discount Value (Euro)]]</f>
        <v>2328.1500000000005</v>
      </c>
    </row>
    <row r="100" spans="1:34" x14ac:dyDescent="0.25">
      <c r="A100" s="43">
        <v>99</v>
      </c>
      <c r="B100" s="23" t="s">
        <v>35</v>
      </c>
      <c r="C100" s="23" t="s">
        <v>36</v>
      </c>
      <c r="D100" s="23" t="str">
        <f>_xlfn.TEXTJOIN(" ",,Table13[[#This Row],[Rep First Name]],Table13[[#This Row],[Rep Last Name]])</f>
        <v>Fang Liu</v>
      </c>
      <c r="E100" s="23" t="s">
        <v>15</v>
      </c>
      <c r="F100" s="23" t="str">
        <f>IF(LEN(Table13[[#This Row],[Month]]) &gt; 0, LEFT(Table13[[#This Row],[Month]], 3), "")</f>
        <v>Jun</v>
      </c>
      <c r="G100" s="23" t="s">
        <v>67</v>
      </c>
      <c r="H100" s="23" t="s">
        <v>17</v>
      </c>
      <c r="I100" s="44">
        <f>IF(ISNUMBER(SEARCH("km/h",Table13[[#This Row],[Min Speed]])),VALUE(_xlfn.TEXTBEFORE(Table13[[#This Row],[Min Speed]]," ")),ROUND(VALUE(_xlfn.TEXTBEFORE(Table13[[#This Row],[Min Speed]]," "))*1.60934,0))</f>
        <v>64</v>
      </c>
      <c r="J100" s="44">
        <f>ROUND(IF(ISNUMBER(SEARCH("km/h",Table13[[#This Row],[Min Speed]])),Table13[[#This Row],[Min Speed (km/h)]]*0.621371,VALUE(_xlfn.TEXTBEFORE(Table13[[#This Row],[Min Speed]]," "))),0)</f>
        <v>40</v>
      </c>
      <c r="K100" s="23" t="s">
        <v>18</v>
      </c>
      <c r="L100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00" s="44">
        <f>IF(ISNUMBER(SEARCH("mph",Table13[[#This Row],[Max Speed]])),--_xlfn.TEXTBEFORE(Table13[[#This Row],[Max Speed]]," mph"),ROUND(--_xlfn.TEXTBEFORE(Table13[[#This Row],[Max Speed]]," km/h")*0.621371,0))</f>
        <v>75</v>
      </c>
      <c r="N100" s="23" t="s">
        <v>28</v>
      </c>
      <c r="O10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00" s="42" t="str">
        <f>TEXT(Table13[[#This Row],[Min Speed (km/h)]],"0")&amp;" - "&amp;TEXT(Table13[[#This Row],[Max Speed (km/h)]],"0")&amp;""</f>
        <v>64 - 120</v>
      </c>
      <c r="Q100" s="46">
        <f>IF(Table13[[#This Row],[Distance (km)]]="", AVERAGE(Table13[Distance (km)]), Table13[[#This Row],[Distance (km)]])</f>
        <v>241.40100000000001</v>
      </c>
      <c r="R100" s="23" t="s">
        <v>132</v>
      </c>
      <c r="S100" s="42" t="str" cm="1">
        <f t="array" ref="S100">TRIM(INDEX(_xlfn.TEXTSPLIT(Table13[[#This Row],[Shipping Address]],","),1))</f>
        <v>456 Bree Street</v>
      </c>
      <c r="T100" s="42" t="str" cm="1">
        <f t="array" ref="T100">TRIM(INDEX(_xlfn.TEXTSPLIT(Table13[[#This Row],[Shipping Address]],","),2))</f>
        <v>Johannesburg</v>
      </c>
      <c r="U100" s="42" t="str" cm="1">
        <f t="array" ref="U100">TRIM(INDEX(_xlfn.TEXTSPLIT(Table13[[#This Row],[Shipping Address]],","),3))</f>
        <v>8001</v>
      </c>
      <c r="V100" s="23" t="s">
        <v>130</v>
      </c>
      <c r="W100" s="42" t="str" cm="1">
        <f t="array" ref="W100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100" s="42" t="str" cm="1">
        <f t="array" ref="X100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100" s="23" t="s">
        <v>133</v>
      </c>
      <c r="Z100" s="33">
        <f>_xlfn.NUMBERVALUE(_xlfn.TEXTBEFORE(Table13[[#This Row],[Unit Price]]," "))</f>
        <v>3652</v>
      </c>
      <c r="AA100" s="23" t="str">
        <f>RIGHT(Table13[[#This Row],[Unit Price]],LEN(Table13[[#This Row],[Unit Price]])-FIND(" ",Table13[[#This Row],[Unit Price]]))</f>
        <v>ZAR</v>
      </c>
      <c r="AB100" s="33" cm="1">
        <f t="array" ref="AB100">Table13[[#This Row],[Unit Price Value]]*_xlfn.XLOOKUP(Table13[[#This Row],[Unit Price Currency]],{"EUR","USD","GBP","BRL","CAD","CNY","AUD","ZAR","MXN","JPY","INR"},{1,0.86,1.15,0.15,0.63,0.12,0.56,0.05,0.05,0.01,0.01},NA())</f>
        <v>182.60000000000002</v>
      </c>
      <c r="AC100" s="32">
        <v>15</v>
      </c>
      <c r="AD100" s="32">
        <v>10</v>
      </c>
      <c r="AE100" s="20">
        <f>IF(Table13[[#This Row],[Discount (%)]]="",CHOOSE(MATCH(MOD(Table13[[#This Row],[Sales Rep ID]],3)+1,{1,2,3},0),5,10,15),Table13[[#This Row],[Discount (%)]])</f>
        <v>10</v>
      </c>
      <c r="AF100" s="38">
        <f>Table13[[#This Row],[Unit Price (EUR)]]*Table13[[#This Row],[Units Sold]]</f>
        <v>2739.0000000000005</v>
      </c>
      <c r="AG100" s="38">
        <f>Table13[[#This Row],[Gross Price (Euro)]]*Table13[[#This Row],[Calc Discount (%)]]/100</f>
        <v>273.90000000000003</v>
      </c>
      <c r="AH100" s="39">
        <f>Table13[[#This Row],[Gross Price (Euro)]]-Table13[[#This Row],[Discount Value (Euro)]]</f>
        <v>2465.1000000000004</v>
      </c>
    </row>
    <row r="101" spans="1:34" x14ac:dyDescent="0.25">
      <c r="A101" s="43">
        <v>100</v>
      </c>
      <c r="B101" s="23" t="s">
        <v>35</v>
      </c>
      <c r="C101" s="23" t="s">
        <v>36</v>
      </c>
      <c r="D101" s="23" t="str">
        <f>_xlfn.TEXTJOIN(" ",,Table13[[#This Row],[Rep First Name]],Table13[[#This Row],[Rep Last Name]])</f>
        <v>Fang Liu</v>
      </c>
      <c r="E101" s="23" t="s">
        <v>31</v>
      </c>
      <c r="F101" s="23" t="str">
        <f>IF(LEN(Table13[[#This Row],[Month]]) &gt; 0, LEFT(Table13[[#This Row],[Month]], 3), "")</f>
        <v>Jan</v>
      </c>
      <c r="G101" s="23" t="s">
        <v>16</v>
      </c>
      <c r="H101" s="23" t="s">
        <v>32</v>
      </c>
      <c r="I101" s="44">
        <f>IF(ISNUMBER(SEARCH("km/h",Table13[[#This Row],[Min Speed]])),VALUE(_xlfn.TEXTBEFORE(Table13[[#This Row],[Min Speed]]," ")),ROUND(VALUE(_xlfn.TEXTBEFORE(Table13[[#This Row],[Min Speed]]," "))*1.60934,0))</f>
        <v>30</v>
      </c>
      <c r="J101" s="44">
        <f>ROUND(IF(ISNUMBER(SEARCH("km/h",Table13[[#This Row],[Min Speed]])),Table13[[#This Row],[Min Speed (km/h)]]*0.621371,VALUE(_xlfn.TEXTBEFORE(Table13[[#This Row],[Min Speed]]," "))),0)</f>
        <v>19</v>
      </c>
      <c r="K101" s="23" t="s">
        <v>55</v>
      </c>
      <c r="L101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01" s="44">
        <f>IF(ISNUMBER(SEARCH("mph",Table13[[#This Row],[Max Speed]])),--_xlfn.TEXTBEFORE(Table13[[#This Row],[Max Speed]]," mph"),ROUND(--_xlfn.TEXTBEFORE(Table13[[#This Row],[Max Speed]]," km/h")*0.621371,0))</f>
        <v>100</v>
      </c>
      <c r="N101" s="23" t="s">
        <v>26</v>
      </c>
      <c r="O10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01" s="42" t="str">
        <f>TEXT(Table13[[#This Row],[Min Speed (km/h)]],"0")&amp;" - "&amp;TEXT(Table13[[#This Row],[Max Speed (km/h)]],"0")&amp;""</f>
        <v>30 - 161</v>
      </c>
      <c r="Q101" s="46">
        <f>IF(Table13[[#This Row],[Distance (km)]]="", AVERAGE(Table13[Distance (km)]), Table13[[#This Row],[Distance (km)]])</f>
        <v>482.80200000000002</v>
      </c>
      <c r="R101" s="23" t="s">
        <v>134</v>
      </c>
      <c r="S101" s="42" t="str" cm="1">
        <f t="array" ref="S101">TRIM(INDEX(_xlfn.TEXTSPLIT(Table13[[#This Row],[Shipping Address]],","),1))</f>
        <v>789 Loop Street</v>
      </c>
      <c r="T101" s="42" t="str" cm="1">
        <f t="array" ref="T101">TRIM(INDEX(_xlfn.TEXTSPLIT(Table13[[#This Row],[Shipping Address]],","),2))</f>
        <v>Durban</v>
      </c>
      <c r="U101" s="42" t="str" cm="1">
        <f t="array" ref="U101">TRIM(INDEX(_xlfn.TEXTSPLIT(Table13[[#This Row],[Shipping Address]],","),3))</f>
        <v>8000</v>
      </c>
      <c r="V101" s="23" t="s">
        <v>130</v>
      </c>
      <c r="W101" s="42" t="str" cm="1">
        <f t="array" ref="W101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101" s="42" t="str" cm="1">
        <f t="array" ref="X101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101" s="23" t="s">
        <v>135</v>
      </c>
      <c r="Z101" s="33">
        <f>_xlfn.NUMBERVALUE(_xlfn.TEXTBEFORE(Table13[[#This Row],[Unit Price]]," "))</f>
        <v>4500</v>
      </c>
      <c r="AA101" s="23" t="str">
        <f>RIGHT(Table13[[#This Row],[Unit Price]],LEN(Table13[[#This Row],[Unit Price]])-FIND(" ",Table13[[#This Row],[Unit Price]]))</f>
        <v>ZAR</v>
      </c>
      <c r="AB101" s="33" cm="1">
        <f t="array" ref="AB101">Table13[[#This Row],[Unit Price Value]]*_xlfn.XLOOKUP(Table13[[#This Row],[Unit Price Currency]],{"EUR","USD","GBP","BRL","CAD","CNY","AUD","ZAR","MXN","JPY","INR"},{1,0.86,1.15,0.15,0.63,0.12,0.56,0.05,0.05,0.01,0.01},NA())</f>
        <v>225</v>
      </c>
      <c r="AC101" s="32">
        <v>11</v>
      </c>
      <c r="AD101" s="32">
        <v>10</v>
      </c>
      <c r="AE101" s="20">
        <f>IF(Table13[[#This Row],[Discount (%)]]="",CHOOSE(MATCH(MOD(Table13[[#This Row],[Sales Rep ID]],3)+1,{1,2,3},0),5,10,15),Table13[[#This Row],[Discount (%)]])</f>
        <v>10</v>
      </c>
      <c r="AF101" s="38">
        <f>Table13[[#This Row],[Unit Price (EUR)]]*Table13[[#This Row],[Units Sold]]</f>
        <v>2475</v>
      </c>
      <c r="AG101" s="38">
        <f>Table13[[#This Row],[Gross Price (Euro)]]*Table13[[#This Row],[Calc Discount (%)]]/100</f>
        <v>247.5</v>
      </c>
      <c r="AH101" s="39">
        <f>Table13[[#This Row],[Gross Price (Euro)]]-Table13[[#This Row],[Discount Value (Euro)]]</f>
        <v>2227.5</v>
      </c>
    </row>
    <row r="102" spans="1:34" x14ac:dyDescent="0.25">
      <c r="A102" s="43">
        <v>101</v>
      </c>
      <c r="B102" s="23" t="s">
        <v>45</v>
      </c>
      <c r="C102" s="23" t="s">
        <v>46</v>
      </c>
      <c r="D102" s="23" t="str">
        <f>_xlfn.TEXTJOIN(" ",,Table13[[#This Row],[Rep First Name]],Table13[[#This Row],[Rep Last Name]])</f>
        <v>Jonas Fischer</v>
      </c>
      <c r="E102" s="23" t="s">
        <v>37</v>
      </c>
      <c r="F102" s="23" t="str">
        <f>IF(LEN(Table13[[#This Row],[Month]]) &gt; 0, LEFT(Table13[[#This Row],[Month]], 3), "")</f>
        <v>Feb</v>
      </c>
      <c r="G102" s="23" t="s">
        <v>16</v>
      </c>
      <c r="H102" s="23" t="s">
        <v>48</v>
      </c>
      <c r="I102" s="44">
        <f>IF(ISNUMBER(SEARCH("km/h",Table13[[#This Row],[Min Speed]])),VALUE(_xlfn.TEXTBEFORE(Table13[[#This Row],[Min Speed]]," ")),ROUND(VALUE(_xlfn.TEXTBEFORE(Table13[[#This Row],[Min Speed]]," "))*1.60934,0))</f>
        <v>20</v>
      </c>
      <c r="J102" s="44">
        <f>ROUND(IF(ISNUMBER(SEARCH("km/h",Table13[[#This Row],[Min Speed]])),Table13[[#This Row],[Min Speed (km/h)]]*0.621371,VALUE(_xlfn.TEXTBEFORE(Table13[[#This Row],[Min Speed]]," "))),0)</f>
        <v>12</v>
      </c>
      <c r="K102" s="23" t="s">
        <v>55</v>
      </c>
      <c r="L102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02" s="44">
        <f>IF(ISNUMBER(SEARCH("mph",Table13[[#This Row],[Max Speed]])),--_xlfn.TEXTBEFORE(Table13[[#This Row],[Max Speed]]," mph"),ROUND(--_xlfn.TEXTBEFORE(Table13[[#This Row],[Max Speed]]," km/h")*0.621371,0))</f>
        <v>100</v>
      </c>
      <c r="N102" s="23" t="s">
        <v>28</v>
      </c>
      <c r="O10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02" s="42" t="str">
        <f>TEXT(Table13[[#This Row],[Min Speed (km/h)]],"0")&amp;" - "&amp;TEXT(Table13[[#This Row],[Max Speed (km/h)]],"0")&amp;""</f>
        <v>20 - 161</v>
      </c>
      <c r="Q102" s="46">
        <f>IF(Table13[[#This Row],[Distance (km)]]="", AVERAGE(Table13[Distance (km)]), Table13[[#This Row],[Distance (km)]])</f>
        <v>241.40100000000001</v>
      </c>
      <c r="R102" s="23" t="s">
        <v>136</v>
      </c>
      <c r="S102" s="42" t="str" cm="1">
        <f t="array" ref="S102">TRIM(INDEX(_xlfn.TEXTSPLIT(Table13[[#This Row],[Shipping Address]],","),1))</f>
        <v>321 Church Street</v>
      </c>
      <c r="T102" s="42" t="str" cm="1">
        <f t="array" ref="T102">TRIM(INDEX(_xlfn.TEXTSPLIT(Table13[[#This Row],[Shipping Address]],","),2))</f>
        <v>Pretoria</v>
      </c>
      <c r="U102" s="42" t="str" cm="1">
        <f t="array" ref="U102">TRIM(INDEX(_xlfn.TEXTSPLIT(Table13[[#This Row],[Shipping Address]],","),3))</f>
        <v>8001</v>
      </c>
      <c r="V102" s="23" t="s">
        <v>130</v>
      </c>
      <c r="W102" s="42" t="str" cm="1">
        <f t="array" ref="W102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102" s="42" t="str" cm="1">
        <f t="array" ref="X102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102" s="23" t="s">
        <v>137</v>
      </c>
      <c r="Z102" s="33">
        <f>_xlfn.NUMBERVALUE(_xlfn.TEXTBEFORE(Table13[[#This Row],[Unit Price]]," "))</f>
        <v>5478</v>
      </c>
      <c r="AA102" s="23" t="str">
        <f>RIGHT(Table13[[#This Row],[Unit Price]],LEN(Table13[[#This Row],[Unit Price]])-FIND(" ",Table13[[#This Row],[Unit Price]]))</f>
        <v>ZAR</v>
      </c>
      <c r="AB102" s="33" cm="1">
        <f t="array" ref="AB102">Table13[[#This Row],[Unit Price Value]]*_xlfn.XLOOKUP(Table13[[#This Row],[Unit Price Currency]],{"EUR","USD","GBP","BRL","CAD","CNY","AUD","ZAR","MXN","JPY","INR"},{1,0.86,1.15,0.15,0.63,0.12,0.56,0.05,0.05,0.01,0.01},NA())</f>
        <v>273.90000000000003</v>
      </c>
      <c r="AC102" s="32">
        <v>8</v>
      </c>
      <c r="AD102" s="32">
        <v>15</v>
      </c>
      <c r="AE102" s="20">
        <f>IF(Table13[[#This Row],[Discount (%)]]="",CHOOSE(MATCH(MOD(Table13[[#This Row],[Sales Rep ID]],3)+1,{1,2,3},0),5,10,15),Table13[[#This Row],[Discount (%)]])</f>
        <v>15</v>
      </c>
      <c r="AF102" s="38">
        <f>Table13[[#This Row],[Unit Price (EUR)]]*Table13[[#This Row],[Units Sold]]</f>
        <v>2191.2000000000003</v>
      </c>
      <c r="AG102" s="38">
        <f>Table13[[#This Row],[Gross Price (Euro)]]*Table13[[#This Row],[Calc Discount (%)]]/100</f>
        <v>328.68000000000006</v>
      </c>
      <c r="AH102" s="39">
        <f>Table13[[#This Row],[Gross Price (Euro)]]-Table13[[#This Row],[Discount Value (Euro)]]</f>
        <v>1862.5200000000002</v>
      </c>
    </row>
    <row r="103" spans="1:34" x14ac:dyDescent="0.25">
      <c r="A103" s="43">
        <v>102</v>
      </c>
      <c r="B103" s="23" t="s">
        <v>45</v>
      </c>
      <c r="C103" s="23" t="s">
        <v>46</v>
      </c>
      <c r="D103" s="23" t="str">
        <f>_xlfn.TEXTJOIN(" ",,Table13[[#This Row],[Rep First Name]],Table13[[#This Row],[Rep Last Name]])</f>
        <v>Jonas Fischer</v>
      </c>
      <c r="E103" s="23" t="s">
        <v>15</v>
      </c>
      <c r="F103" s="23" t="str">
        <f>IF(LEN(Table13[[#This Row],[Month]]) &gt; 0, LEFT(Table13[[#This Row],[Month]], 3), "")</f>
        <v>Jun</v>
      </c>
      <c r="G103" s="23" t="s">
        <v>16</v>
      </c>
      <c r="H103" s="23" t="s">
        <v>17</v>
      </c>
      <c r="I103" s="44">
        <f>IF(ISNUMBER(SEARCH("km/h",Table13[[#This Row],[Min Speed]])),VALUE(_xlfn.TEXTBEFORE(Table13[[#This Row],[Min Speed]]," ")),ROUND(VALUE(_xlfn.TEXTBEFORE(Table13[[#This Row],[Min Speed]]," "))*1.60934,0))</f>
        <v>64</v>
      </c>
      <c r="J103" s="44">
        <f>ROUND(IF(ISNUMBER(SEARCH("km/h",Table13[[#This Row],[Min Speed]])),Table13[[#This Row],[Min Speed (km/h)]]*0.621371,VALUE(_xlfn.TEXTBEFORE(Table13[[#This Row],[Min Speed]]," "))),0)</f>
        <v>40</v>
      </c>
      <c r="K103" s="23" t="s">
        <v>55</v>
      </c>
      <c r="L103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03" s="44">
        <f>IF(ISNUMBER(SEARCH("mph",Table13[[#This Row],[Max Speed]])),--_xlfn.TEXTBEFORE(Table13[[#This Row],[Max Speed]]," mph"),ROUND(--_xlfn.TEXTBEFORE(Table13[[#This Row],[Max Speed]]," km/h")*0.621371,0))</f>
        <v>100</v>
      </c>
      <c r="N103" s="23" t="s">
        <v>68</v>
      </c>
      <c r="O10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03" s="42" t="str">
        <f>TEXT(Table13[[#This Row],[Min Speed (km/h)]],"0")&amp;" - "&amp;TEXT(Table13[[#This Row],[Max Speed (km/h)]],"0")&amp;""</f>
        <v>64 - 161</v>
      </c>
      <c r="Q103" s="46">
        <f>IF(Table13[[#This Row],[Distance (km)]]="", AVERAGE(Table13[Distance (km)]), Table13[[#This Row],[Distance (km)]])</f>
        <v>600</v>
      </c>
      <c r="R103" s="23" t="s">
        <v>138</v>
      </c>
      <c r="S103" s="42" t="str" cm="1">
        <f t="array" ref="S103">TRIM(INDEX(_xlfn.TEXTSPLIT(Table13[[#This Row],[Shipping Address]],","),1))</f>
        <v>123 Shibuya Crossing</v>
      </c>
      <c r="T103" s="42" t="str" cm="1">
        <f t="array" ref="T103">TRIM(INDEX(_xlfn.TEXTSPLIT(Table13[[#This Row],[Shipping Address]],","),2))</f>
        <v>Tokyo</v>
      </c>
      <c r="U103" s="42" t="str" cm="1">
        <f t="array" ref="U103">TRIM(INDEX(_xlfn.TEXTSPLIT(Table13[[#This Row],[Shipping Address]],","),3))</f>
        <v>150-0002</v>
      </c>
      <c r="V103" s="23" t="s">
        <v>139</v>
      </c>
      <c r="W103" s="42" t="str" cm="1">
        <f t="array" ref="W103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103" s="42" t="str" cm="1">
        <f t="array" ref="X103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03" s="23" t="s">
        <v>140</v>
      </c>
      <c r="Z103" s="33">
        <f>_xlfn.NUMBERVALUE(_xlfn.TEXTBEFORE(Table13[[#This Row],[Unit Price]]," "))</f>
        <v>22313</v>
      </c>
      <c r="AA103" s="23" t="str">
        <f>RIGHT(Table13[[#This Row],[Unit Price]],LEN(Table13[[#This Row],[Unit Price]])-FIND(" ",Table13[[#This Row],[Unit Price]]))</f>
        <v>JPY</v>
      </c>
      <c r="AB103" s="33" cm="1">
        <f t="array" ref="AB103">Table13[[#This Row],[Unit Price Value]]*_xlfn.XLOOKUP(Table13[[#This Row],[Unit Price Currency]],{"EUR","USD","GBP","BRL","CAD","CNY","AUD","ZAR","MXN","JPY","INR"},{1,0.86,1.15,0.15,0.63,0.12,0.56,0.05,0.05,0.01,0.01},NA())</f>
        <v>223.13</v>
      </c>
      <c r="AC103" s="32">
        <v>20</v>
      </c>
      <c r="AD103" s="32">
        <v>5</v>
      </c>
      <c r="AE103" s="20">
        <f>IF(Table13[[#This Row],[Discount (%)]]="",CHOOSE(MATCH(MOD(Table13[[#This Row],[Sales Rep ID]],3)+1,{1,2,3},0),5,10,15),Table13[[#This Row],[Discount (%)]])</f>
        <v>5</v>
      </c>
      <c r="AF103" s="38">
        <f>Table13[[#This Row],[Unit Price (EUR)]]*Table13[[#This Row],[Units Sold]]</f>
        <v>4462.6000000000004</v>
      </c>
      <c r="AG103" s="38">
        <f>Table13[[#This Row],[Gross Price (Euro)]]*Table13[[#This Row],[Calc Discount (%)]]/100</f>
        <v>223.13</v>
      </c>
      <c r="AH103" s="39">
        <f>Table13[[#This Row],[Gross Price (Euro)]]-Table13[[#This Row],[Discount Value (Euro)]]</f>
        <v>4239.47</v>
      </c>
    </row>
    <row r="104" spans="1:34" x14ac:dyDescent="0.25">
      <c r="A104" s="43">
        <v>103</v>
      </c>
      <c r="B104" s="23" t="s">
        <v>45</v>
      </c>
      <c r="C104" s="23" t="s">
        <v>46</v>
      </c>
      <c r="D104" s="23" t="str">
        <f>_xlfn.TEXTJOIN(" ",,Table13[[#This Row],[Rep First Name]],Table13[[#This Row],[Rep Last Name]])</f>
        <v>Jonas Fischer</v>
      </c>
      <c r="E104" s="23" t="s">
        <v>23</v>
      </c>
      <c r="F104" s="23" t="str">
        <f>IF(LEN(Table13[[#This Row],[Month]]) &gt; 0, LEFT(Table13[[#This Row],[Month]], 3), "")</f>
        <v>Mar</v>
      </c>
      <c r="G104" s="23" t="s">
        <v>16</v>
      </c>
      <c r="H104" s="23" t="s">
        <v>17</v>
      </c>
      <c r="I104" s="44">
        <f>IF(ISNUMBER(SEARCH("km/h",Table13[[#This Row],[Min Speed]])),VALUE(_xlfn.TEXTBEFORE(Table13[[#This Row],[Min Speed]]," ")),ROUND(VALUE(_xlfn.TEXTBEFORE(Table13[[#This Row],[Min Speed]]," "))*1.60934,0))</f>
        <v>64</v>
      </c>
      <c r="J104" s="44">
        <f>ROUND(IF(ISNUMBER(SEARCH("km/h",Table13[[#This Row],[Min Speed]])),Table13[[#This Row],[Min Speed (km/h)]]*0.621371,VALUE(_xlfn.TEXTBEFORE(Table13[[#This Row],[Min Speed]]," "))),0)</f>
        <v>40</v>
      </c>
      <c r="K104" s="23" t="s">
        <v>44</v>
      </c>
      <c r="L104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04" s="44">
        <f>IF(ISNUMBER(SEARCH("mph",Table13[[#This Row],[Max Speed]])),--_xlfn.TEXTBEFORE(Table13[[#This Row],[Max Speed]]," mph"),ROUND(--_xlfn.TEXTBEFORE(Table13[[#This Row],[Max Speed]]," km/h")*0.621371,0))</f>
        <v>50</v>
      </c>
      <c r="N104" s="23" t="s">
        <v>19</v>
      </c>
      <c r="O10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04" s="42" t="str">
        <f>TEXT(Table13[[#This Row],[Min Speed (km/h)]],"0")&amp;" - "&amp;TEXT(Table13[[#This Row],[Max Speed (km/h)]],"0")&amp;""</f>
        <v>64 - 80</v>
      </c>
      <c r="Q104" s="46">
        <f>IF(Table13[[#This Row],[Distance (km)]]="", AVERAGE(Table13[Distance (km)]), Table13[[#This Row],[Distance (km)]])</f>
        <v>500</v>
      </c>
      <c r="R104" s="23" t="s">
        <v>141</v>
      </c>
      <c r="S104" s="42" t="str" cm="1">
        <f t="array" ref="S104">TRIM(INDEX(_xlfn.TEXTSPLIT(Table13[[#This Row],[Shipping Address]],","),1))</f>
        <v>456 Akihabara</v>
      </c>
      <c r="T104" s="42" t="str" cm="1">
        <f t="array" ref="T104">TRIM(INDEX(_xlfn.TEXTSPLIT(Table13[[#This Row],[Shipping Address]],","),2))</f>
        <v>Osaka</v>
      </c>
      <c r="U104" s="42" t="str" cm="1">
        <f t="array" ref="U104">TRIM(INDEX(_xlfn.TEXTSPLIT(Table13[[#This Row],[Shipping Address]],","),3))</f>
        <v>110-0006</v>
      </c>
      <c r="V104" s="23" t="s">
        <v>139</v>
      </c>
      <c r="W104" s="42" t="str" cm="1">
        <f t="array" ref="W104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104" s="42" t="str" cm="1">
        <f t="array" ref="X104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04" s="23" t="s">
        <v>142</v>
      </c>
      <c r="Z104" s="33">
        <f>_xlfn.NUMBERVALUE(_xlfn.TEXTBEFORE(Table13[[#This Row],[Unit Price]]," "))</f>
        <v>29750</v>
      </c>
      <c r="AA104" s="23" t="str">
        <f>RIGHT(Table13[[#This Row],[Unit Price]],LEN(Table13[[#This Row],[Unit Price]])-FIND(" ",Table13[[#This Row],[Unit Price]]))</f>
        <v>JPY</v>
      </c>
      <c r="AB104" s="33" cm="1">
        <f t="array" ref="AB104">Table13[[#This Row],[Unit Price Value]]*_xlfn.XLOOKUP(Table13[[#This Row],[Unit Price Currency]],{"EUR","USD","GBP","BRL","CAD","CNY","AUD","ZAR","MXN","JPY","INR"},{1,0.86,1.15,0.15,0.63,0.12,0.56,0.05,0.05,0.01,0.01},NA())</f>
        <v>297.5</v>
      </c>
      <c r="AC104" s="32">
        <v>15</v>
      </c>
      <c r="AD104" s="32"/>
      <c r="AE104" s="20">
        <f>IF(Table13[[#This Row],[Discount (%)]]="",CHOOSE(MATCH(MOD(Table13[[#This Row],[Sales Rep ID]],3)+1,{1,2,3},0),5,10,15),Table13[[#This Row],[Discount (%)]])</f>
        <v>10</v>
      </c>
      <c r="AF104" s="38">
        <f>Table13[[#This Row],[Unit Price (EUR)]]*Table13[[#This Row],[Units Sold]]</f>
        <v>4462.5</v>
      </c>
      <c r="AG104" s="38">
        <f>Table13[[#This Row],[Gross Price (Euro)]]*Table13[[#This Row],[Calc Discount (%)]]/100</f>
        <v>446.25</v>
      </c>
      <c r="AH104" s="39">
        <f>Table13[[#This Row],[Gross Price (Euro)]]-Table13[[#This Row],[Discount Value (Euro)]]</f>
        <v>4016.25</v>
      </c>
    </row>
    <row r="105" spans="1:34" x14ac:dyDescent="0.25">
      <c r="A105" s="43">
        <v>104</v>
      </c>
      <c r="B105" s="23" t="s">
        <v>45</v>
      </c>
      <c r="C105" s="23" t="s">
        <v>46</v>
      </c>
      <c r="D105" s="23" t="str">
        <f>_xlfn.TEXTJOIN(" ",,Table13[[#This Row],[Rep First Name]],Table13[[#This Row],[Rep Last Name]])</f>
        <v>Jonas Fischer</v>
      </c>
      <c r="E105" s="23" t="s">
        <v>31</v>
      </c>
      <c r="F105" s="23" t="str">
        <f>IF(LEN(Table13[[#This Row],[Month]]) &gt; 0, LEFT(Table13[[#This Row],[Month]], 3), "")</f>
        <v>Jan</v>
      </c>
      <c r="G105" s="23" t="s">
        <v>43</v>
      </c>
      <c r="H105" s="23" t="s">
        <v>48</v>
      </c>
      <c r="I105" s="44">
        <f>IF(ISNUMBER(SEARCH("km/h",Table13[[#This Row],[Min Speed]])),VALUE(_xlfn.TEXTBEFORE(Table13[[#This Row],[Min Speed]]," ")),ROUND(VALUE(_xlfn.TEXTBEFORE(Table13[[#This Row],[Min Speed]]," "))*1.60934,0))</f>
        <v>20</v>
      </c>
      <c r="J105" s="44">
        <f>ROUND(IF(ISNUMBER(SEARCH("km/h",Table13[[#This Row],[Min Speed]])),Table13[[#This Row],[Min Speed (km/h)]]*0.621371,VALUE(_xlfn.TEXTBEFORE(Table13[[#This Row],[Min Speed]]," "))),0)</f>
        <v>12</v>
      </c>
      <c r="K105" s="23" t="s">
        <v>44</v>
      </c>
      <c r="L105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05" s="44">
        <f>IF(ISNUMBER(SEARCH("mph",Table13[[#This Row],[Max Speed]])),--_xlfn.TEXTBEFORE(Table13[[#This Row],[Max Speed]]," mph"),ROUND(--_xlfn.TEXTBEFORE(Table13[[#This Row],[Max Speed]]," km/h")*0.621371,0))</f>
        <v>50</v>
      </c>
      <c r="N105" s="23" t="s">
        <v>68</v>
      </c>
      <c r="O10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05" s="42" t="str">
        <f>TEXT(Table13[[#This Row],[Min Speed (km/h)]],"0")&amp;" - "&amp;TEXT(Table13[[#This Row],[Max Speed (km/h)]],"0")&amp;""</f>
        <v>20 - 80</v>
      </c>
      <c r="Q105" s="46">
        <f>IF(Table13[[#This Row],[Distance (km)]]="", AVERAGE(Table13[Distance (km)]), Table13[[#This Row],[Distance (km)]])</f>
        <v>600</v>
      </c>
      <c r="R105" s="23" t="s">
        <v>143</v>
      </c>
      <c r="S105" s="42" t="str" cm="1">
        <f t="array" ref="S105">TRIM(INDEX(_xlfn.TEXTSPLIT(Table13[[#This Row],[Shipping Address]],","),1))</f>
        <v>789 Roppongi Hills</v>
      </c>
      <c r="T105" s="42" t="str" cm="1">
        <f t="array" ref="T105">TRIM(INDEX(_xlfn.TEXTSPLIT(Table13[[#This Row],[Shipping Address]],","),2))</f>
        <v>Yokohama</v>
      </c>
      <c r="U105" s="42" t="str" cm="1">
        <f t="array" ref="U105">TRIM(INDEX(_xlfn.TEXTSPLIT(Table13[[#This Row],[Shipping Address]],","),3))</f>
        <v>106-0032</v>
      </c>
      <c r="V105" s="23" t="s">
        <v>139</v>
      </c>
      <c r="W105" s="42" t="str" cm="1">
        <f t="array" ref="W105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105" s="42" t="str" cm="1">
        <f t="array" ref="X105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05" s="23" t="s">
        <v>144</v>
      </c>
      <c r="Z105" s="33">
        <f>_xlfn.NUMBERVALUE(_xlfn.TEXTBEFORE(Table13[[#This Row],[Unit Price]]," "))</f>
        <v>37188</v>
      </c>
      <c r="AA105" s="23" t="str">
        <f>RIGHT(Table13[[#This Row],[Unit Price]],LEN(Table13[[#This Row],[Unit Price]])-FIND(" ",Table13[[#This Row],[Unit Price]]))</f>
        <v>JPY</v>
      </c>
      <c r="AB105" s="33" cm="1">
        <f t="array" ref="AB105">Table13[[#This Row],[Unit Price Value]]*_xlfn.XLOOKUP(Table13[[#This Row],[Unit Price Currency]],{"EUR","USD","GBP","BRL","CAD","CNY","AUD","ZAR","MXN","JPY","INR"},{1,0.86,1.15,0.15,0.63,0.12,0.56,0.05,0.05,0.01,0.01},NA())</f>
        <v>371.88</v>
      </c>
      <c r="AC105" s="32">
        <v>12</v>
      </c>
      <c r="AD105" s="32"/>
      <c r="AE105" s="20">
        <f>IF(Table13[[#This Row],[Discount (%)]]="",CHOOSE(MATCH(MOD(Table13[[#This Row],[Sales Rep ID]],3)+1,{1,2,3},0),5,10,15),Table13[[#This Row],[Discount (%)]])</f>
        <v>15</v>
      </c>
      <c r="AF105" s="38">
        <f>Table13[[#This Row],[Unit Price (EUR)]]*Table13[[#This Row],[Units Sold]]</f>
        <v>4462.5599999999995</v>
      </c>
      <c r="AG105" s="38">
        <f>Table13[[#This Row],[Gross Price (Euro)]]*Table13[[#This Row],[Calc Discount (%)]]/100</f>
        <v>669.3839999999999</v>
      </c>
      <c r="AH105" s="39">
        <f>Table13[[#This Row],[Gross Price (Euro)]]-Table13[[#This Row],[Discount Value (Euro)]]</f>
        <v>3793.1759999999995</v>
      </c>
    </row>
    <row r="106" spans="1:34" x14ac:dyDescent="0.25">
      <c r="A106" s="43">
        <v>105</v>
      </c>
      <c r="B106" s="23" t="s">
        <v>59</v>
      </c>
      <c r="C106" s="23" t="s">
        <v>60</v>
      </c>
      <c r="D106" s="23" t="str">
        <f>_xlfn.TEXTJOIN(" ",,Table13[[#This Row],[Rep First Name]],Table13[[#This Row],[Rep Last Name]])</f>
        <v>Théo Bernard</v>
      </c>
      <c r="E106" s="23" t="s">
        <v>76</v>
      </c>
      <c r="F106" s="23" t="str">
        <f>IF(LEN(Table13[[#This Row],[Month]]) &gt; 0, LEFT(Table13[[#This Row],[Month]], 3), "")</f>
        <v>May</v>
      </c>
      <c r="G106" s="23" t="s">
        <v>67</v>
      </c>
      <c r="H106" s="23" t="s">
        <v>32</v>
      </c>
      <c r="I106" s="44">
        <f>IF(ISNUMBER(SEARCH("km/h",Table13[[#This Row],[Min Speed]])),VALUE(_xlfn.TEXTBEFORE(Table13[[#This Row],[Min Speed]]," ")),ROUND(VALUE(_xlfn.TEXTBEFORE(Table13[[#This Row],[Min Speed]]," "))*1.60934,0))</f>
        <v>30</v>
      </c>
      <c r="J106" s="44">
        <f>ROUND(IF(ISNUMBER(SEARCH("km/h",Table13[[#This Row],[Min Speed]])),Table13[[#This Row],[Min Speed (km/h)]]*0.621371,VALUE(_xlfn.TEXTBEFORE(Table13[[#This Row],[Min Speed]]," "))),0)</f>
        <v>19</v>
      </c>
      <c r="K106" s="23" t="s">
        <v>25</v>
      </c>
      <c r="L106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06" s="44">
        <f>IF(ISNUMBER(SEARCH("mph",Table13[[#This Row],[Max Speed]])),--_xlfn.TEXTBEFORE(Table13[[#This Row],[Max Speed]]," mph"),ROUND(--_xlfn.TEXTBEFORE(Table13[[#This Row],[Max Speed]]," km/h")*0.621371,0))</f>
        <v>150</v>
      </c>
      <c r="N106" s="23" t="s">
        <v>26</v>
      </c>
      <c r="O10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06" s="42" t="str">
        <f>TEXT(Table13[[#This Row],[Min Speed (km/h)]],"0")&amp;" - "&amp;TEXT(Table13[[#This Row],[Max Speed (km/h)]],"0")&amp;""</f>
        <v>30 - 241</v>
      </c>
      <c r="Q106" s="46">
        <f>IF(Table13[[#This Row],[Distance (km)]]="", AVERAGE(Table13[Distance (km)]), Table13[[#This Row],[Distance (km)]])</f>
        <v>482.80200000000002</v>
      </c>
      <c r="R106" s="23" t="s">
        <v>145</v>
      </c>
      <c r="S106" s="42" t="str" cm="1">
        <f t="array" ref="S106">TRIM(INDEX(_xlfn.TEXTSPLIT(Table13[[#This Row],[Shipping Address]],","),1))</f>
        <v>321 Ginza</v>
      </c>
      <c r="T106" s="42" t="str" cm="1">
        <f t="array" ref="T106">TRIM(INDEX(_xlfn.TEXTSPLIT(Table13[[#This Row],[Shipping Address]],","),2))</f>
        <v>Nagoya</v>
      </c>
      <c r="U106" s="42" t="str" cm="1">
        <f t="array" ref="U106">TRIM(INDEX(_xlfn.TEXTSPLIT(Table13[[#This Row],[Shipping Address]],","),3))</f>
        <v>104-0061</v>
      </c>
      <c r="V106" s="23" t="s">
        <v>139</v>
      </c>
      <c r="W106" s="42" t="str" cm="1">
        <f t="array" ref="W106">_xlfn.XLOOKUP(Table13[[#This Row],[Country Code]],{"US","CA","MX","BR","GB","DE","FR","CN","IN","AU","ZA","JP"},{"United States","Canada","Mexico","Brazil","United Kingdom","Germany","France","China","India","Australia","South Africa","Japan"},"Other")</f>
        <v>Japan</v>
      </c>
      <c r="X106" s="42" t="str" cm="1">
        <f t="array" ref="X106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06" s="23" t="s">
        <v>146</v>
      </c>
      <c r="Z106" s="33">
        <f>_xlfn.NUMBERVALUE(_xlfn.TEXTBEFORE(Table13[[#This Row],[Unit Price]]," "))</f>
        <v>44625</v>
      </c>
      <c r="AA106" s="23" t="str">
        <f>RIGHT(Table13[[#This Row],[Unit Price]],LEN(Table13[[#This Row],[Unit Price]])-FIND(" ",Table13[[#This Row],[Unit Price]]))</f>
        <v>JPY</v>
      </c>
      <c r="AB106" s="33" cm="1">
        <f t="array" ref="AB106">Table13[[#This Row],[Unit Price Value]]*_xlfn.XLOOKUP(Table13[[#This Row],[Unit Price Currency]],{"EUR","USD","GBP","BRL","CAD","CNY","AUD","ZAR","MXN","JPY","INR"},{1,0.86,1.15,0.15,0.63,0.12,0.56,0.05,0.05,0.01,0.01},NA())</f>
        <v>446.25</v>
      </c>
      <c r="AC106" s="32">
        <v>10</v>
      </c>
      <c r="AD106" s="32">
        <v>15</v>
      </c>
      <c r="AE106" s="20">
        <f>IF(Table13[[#This Row],[Discount (%)]]="",CHOOSE(MATCH(MOD(Table13[[#This Row],[Sales Rep ID]],3)+1,{1,2,3},0),5,10,15),Table13[[#This Row],[Discount (%)]])</f>
        <v>15</v>
      </c>
      <c r="AF106" s="38">
        <f>Table13[[#This Row],[Unit Price (EUR)]]*Table13[[#This Row],[Units Sold]]</f>
        <v>4462.5</v>
      </c>
      <c r="AG106" s="38">
        <f>Table13[[#This Row],[Gross Price (Euro)]]*Table13[[#This Row],[Calc Discount (%)]]/100</f>
        <v>669.375</v>
      </c>
      <c r="AH106" s="39">
        <f>Table13[[#This Row],[Gross Price (Euro)]]-Table13[[#This Row],[Discount Value (Euro)]]</f>
        <v>3793.125</v>
      </c>
    </row>
    <row r="107" spans="1:34" x14ac:dyDescent="0.25">
      <c r="A107" s="43">
        <v>106</v>
      </c>
      <c r="B107" s="23" t="s">
        <v>59</v>
      </c>
      <c r="C107" s="23" t="s">
        <v>60</v>
      </c>
      <c r="D107" s="23" t="str">
        <f>_xlfn.TEXTJOIN(" ",,Table13[[#This Row],[Rep First Name]],Table13[[#This Row],[Rep Last Name]])</f>
        <v>Théo Bernard</v>
      </c>
      <c r="E107" s="23" t="s">
        <v>47</v>
      </c>
      <c r="F107" s="23" t="str">
        <f>IF(LEN(Table13[[#This Row],[Month]]) &gt; 0, LEFT(Table13[[#This Row],[Month]], 3), "")</f>
        <v>Apr</v>
      </c>
      <c r="G107" s="23" t="s">
        <v>16</v>
      </c>
      <c r="H107" s="23" t="s">
        <v>32</v>
      </c>
      <c r="I107" s="44">
        <f>IF(ISNUMBER(SEARCH("km/h",Table13[[#This Row],[Min Speed]])),VALUE(_xlfn.TEXTBEFORE(Table13[[#This Row],[Min Speed]]," ")),ROUND(VALUE(_xlfn.TEXTBEFORE(Table13[[#This Row],[Min Speed]]," "))*1.60934,0))</f>
        <v>30</v>
      </c>
      <c r="J107" s="44">
        <f>ROUND(IF(ISNUMBER(SEARCH("km/h",Table13[[#This Row],[Min Speed]])),Table13[[#This Row],[Min Speed (km/h)]]*0.621371,VALUE(_xlfn.TEXTBEFORE(Table13[[#This Row],[Min Speed]]," "))),0)</f>
        <v>19</v>
      </c>
      <c r="K107" s="23" t="s">
        <v>44</v>
      </c>
      <c r="L107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07" s="44">
        <f>IF(ISNUMBER(SEARCH("mph",Table13[[#This Row],[Max Speed]])),--_xlfn.TEXTBEFORE(Table13[[#This Row],[Max Speed]]," mph"),ROUND(--_xlfn.TEXTBEFORE(Table13[[#This Row],[Max Speed]]," km/h")*0.621371,0))</f>
        <v>50</v>
      </c>
      <c r="N107" s="23" t="s">
        <v>28</v>
      </c>
      <c r="O10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07" s="42" t="str">
        <f>TEXT(Table13[[#This Row],[Min Speed (km/h)]],"0")&amp;" - "&amp;TEXT(Table13[[#This Row],[Max Speed (km/h)]],"0")&amp;""</f>
        <v>30 - 80</v>
      </c>
      <c r="Q107" s="46">
        <f>IF(Table13[[#This Row],[Distance (km)]]="", AVERAGE(Table13[Distance (km)]), Table13[[#This Row],[Distance (km)]])</f>
        <v>241.40100000000001</v>
      </c>
      <c r="R107" s="23" t="s">
        <v>20</v>
      </c>
      <c r="S107" s="42" t="str" cm="1">
        <f t="array" ref="S107">TRIM(INDEX(_xlfn.TEXTSPLIT(Table13[[#This Row],[Shipping Address]],","),1))</f>
        <v>1234 Maple Street</v>
      </c>
      <c r="T107" s="42" t="str" cm="1">
        <f t="array" ref="T107">TRIM(INDEX(_xlfn.TEXTSPLIT(Table13[[#This Row],[Shipping Address]],","),2))</f>
        <v>Los Angeles</v>
      </c>
      <c r="U107" s="42" t="str" cm="1">
        <f t="array" ref="U107">TRIM(INDEX(_xlfn.TEXTSPLIT(Table13[[#This Row],[Shipping Address]],","),3))</f>
        <v>90210</v>
      </c>
      <c r="V107" s="23" t="s">
        <v>21</v>
      </c>
      <c r="W107" s="42" t="str" cm="1">
        <f t="array" ref="W107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107" s="42" t="str" cm="1">
        <f t="array" ref="X107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07" s="23" t="s">
        <v>22</v>
      </c>
      <c r="Z107" s="33">
        <f>_xlfn.NUMBERVALUE(_xlfn.TEXTBEFORE(Table13[[#This Row],[Unit Price]]," "))</f>
        <v>150</v>
      </c>
      <c r="AA107" s="23" t="str">
        <f>RIGHT(Table13[[#This Row],[Unit Price]],LEN(Table13[[#This Row],[Unit Price]])-FIND(" ",Table13[[#This Row],[Unit Price]]))</f>
        <v>USD</v>
      </c>
      <c r="AB107" s="33" cm="1">
        <f t="array" ref="AB107">Table13[[#This Row],[Unit Price Value]]*_xlfn.XLOOKUP(Table13[[#This Row],[Unit Price Currency]],{"EUR","USD","GBP","BRL","CAD","CNY","AUD","ZAR","MXN","JPY","INR"},{1,0.86,1.15,0.15,0.63,0.12,0.56,0.05,0.05,0.01,0.01},NA())</f>
        <v>129</v>
      </c>
      <c r="AC107" s="32">
        <v>18</v>
      </c>
      <c r="AD107" s="32">
        <v>10</v>
      </c>
      <c r="AE107" s="20">
        <f>IF(Table13[[#This Row],[Discount (%)]]="",CHOOSE(MATCH(MOD(Table13[[#This Row],[Sales Rep ID]],3)+1,{1,2,3},0),5,10,15),Table13[[#This Row],[Discount (%)]])</f>
        <v>10</v>
      </c>
      <c r="AF107" s="38">
        <f>Table13[[#This Row],[Unit Price (EUR)]]*Table13[[#This Row],[Units Sold]]</f>
        <v>2322</v>
      </c>
      <c r="AG107" s="38">
        <f>Table13[[#This Row],[Gross Price (Euro)]]*Table13[[#This Row],[Calc Discount (%)]]/100</f>
        <v>232.2</v>
      </c>
      <c r="AH107" s="39">
        <f>Table13[[#This Row],[Gross Price (Euro)]]-Table13[[#This Row],[Discount Value (Euro)]]</f>
        <v>2089.8000000000002</v>
      </c>
    </row>
    <row r="108" spans="1:34" x14ac:dyDescent="0.25">
      <c r="A108" s="43">
        <v>107</v>
      </c>
      <c r="B108" s="23" t="s">
        <v>59</v>
      </c>
      <c r="C108" s="23" t="s">
        <v>60</v>
      </c>
      <c r="D108" s="23" t="str">
        <f>_xlfn.TEXTJOIN(" ",,Table13[[#This Row],[Rep First Name]],Table13[[#This Row],[Rep Last Name]])</f>
        <v>Théo Bernard</v>
      </c>
      <c r="E108" s="23" t="s">
        <v>31</v>
      </c>
      <c r="F108" s="23" t="str">
        <f>IF(LEN(Table13[[#This Row],[Month]]) &gt; 0, LEFT(Table13[[#This Row],[Month]], 3), "")</f>
        <v>Jan</v>
      </c>
      <c r="G108" s="23" t="s">
        <v>27</v>
      </c>
      <c r="H108" s="23" t="s">
        <v>32</v>
      </c>
      <c r="I108" s="44">
        <f>IF(ISNUMBER(SEARCH("km/h",Table13[[#This Row],[Min Speed]])),VALUE(_xlfn.TEXTBEFORE(Table13[[#This Row],[Min Speed]]," ")),ROUND(VALUE(_xlfn.TEXTBEFORE(Table13[[#This Row],[Min Speed]]," "))*1.60934,0))</f>
        <v>30</v>
      </c>
      <c r="J108" s="44">
        <f>ROUND(IF(ISNUMBER(SEARCH("km/h",Table13[[#This Row],[Min Speed]])),Table13[[#This Row],[Min Speed (km/h)]]*0.621371,VALUE(_xlfn.TEXTBEFORE(Table13[[#This Row],[Min Speed]]," "))),0)</f>
        <v>19</v>
      </c>
      <c r="K108" s="23" t="s">
        <v>25</v>
      </c>
      <c r="L108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08" s="44">
        <f>IF(ISNUMBER(SEARCH("mph",Table13[[#This Row],[Max Speed]])),--_xlfn.TEXTBEFORE(Table13[[#This Row],[Max Speed]]," mph"),ROUND(--_xlfn.TEXTBEFORE(Table13[[#This Row],[Max Speed]]," km/h")*0.621371,0))</f>
        <v>150</v>
      </c>
      <c r="N108" s="23" t="s">
        <v>28</v>
      </c>
      <c r="O10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08" s="42" t="str">
        <f>TEXT(Table13[[#This Row],[Min Speed (km/h)]],"0")&amp;" - "&amp;TEXT(Table13[[#This Row],[Max Speed (km/h)]],"0")&amp;""</f>
        <v>30 - 241</v>
      </c>
      <c r="Q108" s="46">
        <f>IF(Table13[[#This Row],[Distance (km)]]="", AVERAGE(Table13[Distance (km)]), Table13[[#This Row],[Distance (km)]])</f>
        <v>241.40100000000001</v>
      </c>
      <c r="R108" s="23" t="s">
        <v>29</v>
      </c>
      <c r="S108" s="42" t="str" cm="1">
        <f t="array" ref="S108">TRIM(INDEX(_xlfn.TEXTSPLIT(Table13[[#This Row],[Shipping Address]],","),1))</f>
        <v>5678 Oak Avenue</v>
      </c>
      <c r="T108" s="42" t="str" cm="1">
        <f t="array" ref="T108">TRIM(INDEX(_xlfn.TEXTSPLIT(Table13[[#This Row],[Shipping Address]],","),2))</f>
        <v>New York</v>
      </c>
      <c r="U108" s="42" t="str" cm="1">
        <f t="array" ref="U108">TRIM(INDEX(_xlfn.TEXTSPLIT(Table13[[#This Row],[Shipping Address]],","),3))</f>
        <v>10001</v>
      </c>
      <c r="V108" s="23" t="s">
        <v>21</v>
      </c>
      <c r="W108" s="42" t="str" cm="1">
        <f t="array" ref="W108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108" s="42" t="str" cm="1">
        <f t="array" ref="X108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08" s="23" t="s">
        <v>30</v>
      </c>
      <c r="Z108" s="33">
        <f>_xlfn.NUMBERVALUE(_xlfn.TEXTBEFORE(Table13[[#This Row],[Unit Price]]," "))</f>
        <v>200</v>
      </c>
      <c r="AA108" s="23" t="str">
        <f>RIGHT(Table13[[#This Row],[Unit Price]],LEN(Table13[[#This Row],[Unit Price]])-FIND(" ",Table13[[#This Row],[Unit Price]]))</f>
        <v>USD</v>
      </c>
      <c r="AB108" s="33" cm="1">
        <f t="array" ref="AB108">Table13[[#This Row],[Unit Price Value]]*_xlfn.XLOOKUP(Table13[[#This Row],[Unit Price Currency]],{"EUR","USD","GBP","BRL","CAD","CNY","AUD","ZAR","MXN","JPY","INR"},{1,0.86,1.15,0.15,0.63,0.12,0.56,0.05,0.05,0.01,0.01},NA())</f>
        <v>172</v>
      </c>
      <c r="AC108" s="32">
        <v>14</v>
      </c>
      <c r="AD108" s="32"/>
      <c r="AE108" s="20">
        <f>IF(Table13[[#This Row],[Discount (%)]]="",CHOOSE(MATCH(MOD(Table13[[#This Row],[Sales Rep ID]],3)+1,{1,2,3},0),5,10,15),Table13[[#This Row],[Discount (%)]])</f>
        <v>15</v>
      </c>
      <c r="AF108" s="38">
        <f>Table13[[#This Row],[Unit Price (EUR)]]*Table13[[#This Row],[Units Sold]]</f>
        <v>2408</v>
      </c>
      <c r="AG108" s="38">
        <f>Table13[[#This Row],[Gross Price (Euro)]]*Table13[[#This Row],[Calc Discount (%)]]/100</f>
        <v>361.2</v>
      </c>
      <c r="AH108" s="39">
        <f>Table13[[#This Row],[Gross Price (Euro)]]-Table13[[#This Row],[Discount Value (Euro)]]</f>
        <v>2046.8</v>
      </c>
    </row>
    <row r="109" spans="1:34" x14ac:dyDescent="0.25">
      <c r="A109" s="43">
        <v>108</v>
      </c>
      <c r="B109" s="23" t="s">
        <v>13</v>
      </c>
      <c r="C109" s="23" t="s">
        <v>14</v>
      </c>
      <c r="D109" s="23" t="str">
        <f>_xlfn.TEXTJOIN(" ",,Table13[[#This Row],[Rep First Name]],Table13[[#This Row],[Rep Last Name]])</f>
        <v>Sanya Joshi</v>
      </c>
      <c r="E109" s="23" t="s">
        <v>15</v>
      </c>
      <c r="F109" s="23" t="str">
        <f>IF(LEN(Table13[[#This Row],[Month]]) &gt; 0, LEFT(Table13[[#This Row],[Month]], 3), "")</f>
        <v>Jun</v>
      </c>
      <c r="G109" s="23" t="s">
        <v>16</v>
      </c>
      <c r="H109" s="23" t="s">
        <v>48</v>
      </c>
      <c r="I109" s="44">
        <f>IF(ISNUMBER(SEARCH("km/h",Table13[[#This Row],[Min Speed]])),VALUE(_xlfn.TEXTBEFORE(Table13[[#This Row],[Min Speed]]," ")),ROUND(VALUE(_xlfn.TEXTBEFORE(Table13[[#This Row],[Min Speed]]," "))*1.60934,0))</f>
        <v>20</v>
      </c>
      <c r="J109" s="44">
        <f>ROUND(IF(ISNUMBER(SEARCH("km/h",Table13[[#This Row],[Min Speed]])),Table13[[#This Row],[Min Speed (km/h)]]*0.621371,VALUE(_xlfn.TEXTBEFORE(Table13[[#This Row],[Min Speed]]," "))),0)</f>
        <v>12</v>
      </c>
      <c r="K109" s="23" t="s">
        <v>25</v>
      </c>
      <c r="L109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09" s="44">
        <f>IF(ISNUMBER(SEARCH("mph",Table13[[#This Row],[Max Speed]])),--_xlfn.TEXTBEFORE(Table13[[#This Row],[Max Speed]]," mph"),ROUND(--_xlfn.TEXTBEFORE(Table13[[#This Row],[Max Speed]]," km/h")*0.621371,0))</f>
        <v>150</v>
      </c>
      <c r="N109" s="23" t="s">
        <v>68</v>
      </c>
      <c r="O10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09" s="42" t="str">
        <f>TEXT(Table13[[#This Row],[Min Speed (km/h)]],"0")&amp;" - "&amp;TEXT(Table13[[#This Row],[Max Speed (km/h)]],"0")&amp;""</f>
        <v>20 - 241</v>
      </c>
      <c r="Q109" s="46">
        <f>IF(Table13[[#This Row],[Distance (km)]]="", AVERAGE(Table13[Distance (km)]), Table13[[#This Row],[Distance (km)]])</f>
        <v>600</v>
      </c>
      <c r="R109" s="23" t="s">
        <v>33</v>
      </c>
      <c r="S109" s="42" t="str" cm="1">
        <f t="array" ref="S109">TRIM(INDEX(_xlfn.TEXTSPLIT(Table13[[#This Row],[Shipping Address]],","),1))</f>
        <v>9101 Pine Drive</v>
      </c>
      <c r="T109" s="42" t="str" cm="1">
        <f t="array" ref="T109">TRIM(INDEX(_xlfn.TEXTSPLIT(Table13[[#This Row],[Shipping Address]],","),2))</f>
        <v>Atlanta</v>
      </c>
      <c r="U109" s="42" t="str" cm="1">
        <f t="array" ref="U109">TRIM(INDEX(_xlfn.TEXTSPLIT(Table13[[#This Row],[Shipping Address]],","),3))</f>
        <v>30301</v>
      </c>
      <c r="V109" s="23" t="s">
        <v>21</v>
      </c>
      <c r="W109" s="42" t="str" cm="1">
        <f t="array" ref="W109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109" s="42" t="str" cm="1">
        <f t="array" ref="X109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09" s="23" t="s">
        <v>34</v>
      </c>
      <c r="Z109" s="33">
        <f>_xlfn.NUMBERVALUE(_xlfn.TEXTBEFORE(Table13[[#This Row],[Unit Price]]," "))</f>
        <v>250</v>
      </c>
      <c r="AA109" s="23" t="str">
        <f>RIGHT(Table13[[#This Row],[Unit Price]],LEN(Table13[[#This Row],[Unit Price]])-FIND(" ",Table13[[#This Row],[Unit Price]]))</f>
        <v>USD</v>
      </c>
      <c r="AB109" s="33" cm="1">
        <f t="array" ref="AB109">Table13[[#This Row],[Unit Price Value]]*_xlfn.XLOOKUP(Table13[[#This Row],[Unit Price Currency]],{"EUR","USD","GBP","BRL","CAD","CNY","AUD","ZAR","MXN","JPY","INR"},{1,0.86,1.15,0.15,0.63,0.12,0.56,0.05,0.05,0.01,0.01},NA())</f>
        <v>215</v>
      </c>
      <c r="AC109" s="32">
        <v>9</v>
      </c>
      <c r="AD109" s="32">
        <v>15</v>
      </c>
      <c r="AE109" s="20">
        <f>IF(Table13[[#This Row],[Discount (%)]]="",CHOOSE(MATCH(MOD(Table13[[#This Row],[Sales Rep ID]],3)+1,{1,2,3},0),5,10,15),Table13[[#This Row],[Discount (%)]])</f>
        <v>15</v>
      </c>
      <c r="AF109" s="38">
        <f>Table13[[#This Row],[Unit Price (EUR)]]*Table13[[#This Row],[Units Sold]]</f>
        <v>1935</v>
      </c>
      <c r="AG109" s="38">
        <f>Table13[[#This Row],[Gross Price (Euro)]]*Table13[[#This Row],[Calc Discount (%)]]/100</f>
        <v>290.25</v>
      </c>
      <c r="AH109" s="39">
        <f>Table13[[#This Row],[Gross Price (Euro)]]-Table13[[#This Row],[Discount Value (Euro)]]</f>
        <v>1644.75</v>
      </c>
    </row>
    <row r="110" spans="1:34" x14ac:dyDescent="0.25">
      <c r="A110" s="43">
        <v>109</v>
      </c>
      <c r="B110" s="23" t="s">
        <v>13</v>
      </c>
      <c r="C110" s="23" t="s">
        <v>14</v>
      </c>
      <c r="D110" s="23" t="str">
        <f>_xlfn.TEXTJOIN(" ",,Table13[[#This Row],[Rep First Name]],Table13[[#This Row],[Rep Last Name]])</f>
        <v>Sanya Joshi</v>
      </c>
      <c r="E110" s="23" t="s">
        <v>76</v>
      </c>
      <c r="F110" s="23" t="str">
        <f>IF(LEN(Table13[[#This Row],[Month]]) &gt; 0, LEFT(Table13[[#This Row],[Month]], 3), "")</f>
        <v>May</v>
      </c>
      <c r="G110" s="23" t="s">
        <v>43</v>
      </c>
      <c r="H110" s="23" t="s">
        <v>17</v>
      </c>
      <c r="I110" s="44">
        <f>IF(ISNUMBER(SEARCH("km/h",Table13[[#This Row],[Min Speed]])),VALUE(_xlfn.TEXTBEFORE(Table13[[#This Row],[Min Speed]]," ")),ROUND(VALUE(_xlfn.TEXTBEFORE(Table13[[#This Row],[Min Speed]]," "))*1.60934,0))</f>
        <v>64</v>
      </c>
      <c r="J110" s="44">
        <f>ROUND(IF(ISNUMBER(SEARCH("km/h",Table13[[#This Row],[Min Speed]])),Table13[[#This Row],[Min Speed (km/h)]]*0.621371,VALUE(_xlfn.TEXTBEFORE(Table13[[#This Row],[Min Speed]]," "))),0)</f>
        <v>40</v>
      </c>
      <c r="K110" s="23" t="s">
        <v>25</v>
      </c>
      <c r="L110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10" s="44">
        <f>IF(ISNUMBER(SEARCH("mph",Table13[[#This Row],[Max Speed]])),--_xlfn.TEXTBEFORE(Table13[[#This Row],[Max Speed]]," mph"),ROUND(--_xlfn.TEXTBEFORE(Table13[[#This Row],[Max Speed]]," km/h")*0.621371,0))</f>
        <v>150</v>
      </c>
      <c r="N110" s="23" t="s">
        <v>68</v>
      </c>
      <c r="O11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10" s="42" t="str">
        <f>TEXT(Table13[[#This Row],[Min Speed (km/h)]],"0")&amp;" - "&amp;TEXT(Table13[[#This Row],[Max Speed (km/h)]],"0")&amp;""</f>
        <v>64 - 241</v>
      </c>
      <c r="Q110" s="46">
        <f>IF(Table13[[#This Row],[Distance (km)]]="", AVERAGE(Table13[Distance (km)]), Table13[[#This Row],[Distance (km)]])</f>
        <v>600</v>
      </c>
      <c r="R110" s="23" t="s">
        <v>38</v>
      </c>
      <c r="S110" s="42" t="str" cm="1">
        <f t="array" ref="S110">TRIM(INDEX(_xlfn.TEXTSPLIT(Table13[[#This Row],[Shipping Address]],","),1))</f>
        <v>2345 Birch Lane</v>
      </c>
      <c r="T110" s="42" t="str" cm="1">
        <f t="array" ref="T110">TRIM(INDEX(_xlfn.TEXTSPLIT(Table13[[#This Row],[Shipping Address]],","),2))</f>
        <v>Chicago</v>
      </c>
      <c r="U110" s="42" t="str" cm="1">
        <f t="array" ref="U110">TRIM(INDEX(_xlfn.TEXTSPLIT(Table13[[#This Row],[Shipping Address]],","),3))</f>
        <v>60614</v>
      </c>
      <c r="V110" s="23" t="s">
        <v>21</v>
      </c>
      <c r="W110" s="42" t="str" cm="1">
        <f t="array" ref="W110">_xlfn.XLOOKUP(Table13[[#This Row],[Country Code]],{"US","CA","MX","BR","GB","DE","FR","CN","IN","AU","ZA","JP"},{"United States","Canada","Mexico","Brazil","United Kingdom","Germany","France","China","India","Australia","South Africa","Japan"},"Other")</f>
        <v>United States</v>
      </c>
      <c r="X110" s="42" t="str" cm="1">
        <f t="array" ref="X110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0" s="23" t="s">
        <v>39</v>
      </c>
      <c r="Z110" s="33">
        <f>_xlfn.NUMBERVALUE(_xlfn.TEXTBEFORE(Table13[[#This Row],[Unit Price]]," "))</f>
        <v>300</v>
      </c>
      <c r="AA110" s="23" t="str">
        <f>RIGHT(Table13[[#This Row],[Unit Price]],LEN(Table13[[#This Row],[Unit Price]])-FIND(" ",Table13[[#This Row],[Unit Price]]))</f>
        <v>USD</v>
      </c>
      <c r="AB110" s="33" cm="1">
        <f t="array" ref="AB110">Table13[[#This Row],[Unit Price Value]]*_xlfn.XLOOKUP(Table13[[#This Row],[Unit Price Currency]],{"EUR","USD","GBP","BRL","CAD","CNY","AUD","ZAR","MXN","JPY","INR"},{1,0.86,1.15,0.15,0.63,0.12,0.56,0.05,0.05,0.01,0.01},NA())</f>
        <v>258</v>
      </c>
      <c r="AC110" s="32">
        <v>6</v>
      </c>
      <c r="AD110" s="32">
        <v>15</v>
      </c>
      <c r="AE110" s="20">
        <f>IF(Table13[[#This Row],[Discount (%)]]="",CHOOSE(MATCH(MOD(Table13[[#This Row],[Sales Rep ID]],3)+1,{1,2,3},0),5,10,15),Table13[[#This Row],[Discount (%)]])</f>
        <v>15</v>
      </c>
      <c r="AF110" s="38">
        <f>Table13[[#This Row],[Unit Price (EUR)]]*Table13[[#This Row],[Units Sold]]</f>
        <v>1548</v>
      </c>
      <c r="AG110" s="38">
        <f>Table13[[#This Row],[Gross Price (Euro)]]*Table13[[#This Row],[Calc Discount (%)]]/100</f>
        <v>232.2</v>
      </c>
      <c r="AH110" s="39">
        <f>Table13[[#This Row],[Gross Price (Euro)]]-Table13[[#This Row],[Discount Value (Euro)]]</f>
        <v>1315.8</v>
      </c>
    </row>
    <row r="111" spans="1:34" x14ac:dyDescent="0.25">
      <c r="A111" s="43">
        <v>110</v>
      </c>
      <c r="B111" s="23" t="s">
        <v>13</v>
      </c>
      <c r="C111" s="23" t="s">
        <v>14</v>
      </c>
      <c r="D111" s="23" t="str">
        <f>_xlfn.TEXTJOIN(" ",,Table13[[#This Row],[Rep First Name]],Table13[[#This Row],[Rep Last Name]])</f>
        <v>Sanya Joshi</v>
      </c>
      <c r="E111" s="23" t="s">
        <v>37</v>
      </c>
      <c r="F111" s="23" t="str">
        <f>IF(LEN(Table13[[#This Row],[Month]]) &gt; 0, LEFT(Table13[[#This Row],[Month]], 3), "")</f>
        <v>Feb</v>
      </c>
      <c r="G111" s="23" t="s">
        <v>16</v>
      </c>
      <c r="H111" s="23" t="s">
        <v>17</v>
      </c>
      <c r="I111" s="44">
        <f>IF(ISNUMBER(SEARCH("km/h",Table13[[#This Row],[Min Speed]])),VALUE(_xlfn.TEXTBEFORE(Table13[[#This Row],[Min Speed]]," ")),ROUND(VALUE(_xlfn.TEXTBEFORE(Table13[[#This Row],[Min Speed]]," "))*1.60934,0))</f>
        <v>64</v>
      </c>
      <c r="J111" s="44">
        <f>ROUND(IF(ISNUMBER(SEARCH("km/h",Table13[[#This Row],[Min Speed]])),Table13[[#This Row],[Min Speed (km/h)]]*0.621371,VALUE(_xlfn.TEXTBEFORE(Table13[[#This Row],[Min Speed]]," "))),0)</f>
        <v>40</v>
      </c>
      <c r="K111" s="23" t="s">
        <v>44</v>
      </c>
      <c r="L111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11" s="44">
        <f>IF(ISNUMBER(SEARCH("mph",Table13[[#This Row],[Max Speed]])),--_xlfn.TEXTBEFORE(Table13[[#This Row],[Max Speed]]," mph"),ROUND(--_xlfn.TEXTBEFORE(Table13[[#This Row],[Max Speed]]," km/h")*0.621371,0))</f>
        <v>50</v>
      </c>
      <c r="N111" s="23" t="s">
        <v>28</v>
      </c>
      <c r="O11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11" s="42" t="str">
        <f>TEXT(Table13[[#This Row],[Min Speed (km/h)]],"0")&amp;" - "&amp;TEXT(Table13[[#This Row],[Max Speed (km/h)]],"0")&amp;""</f>
        <v>64 - 80</v>
      </c>
      <c r="Q111" s="46">
        <f>IF(Table13[[#This Row],[Distance (km)]]="", AVERAGE(Table13[Distance (km)]), Table13[[#This Row],[Distance (km)]])</f>
        <v>241.40100000000001</v>
      </c>
      <c r="R111" s="23" t="s">
        <v>40</v>
      </c>
      <c r="S111" s="42" t="str" cm="1">
        <f t="array" ref="S111">TRIM(INDEX(_xlfn.TEXTSPLIT(Table13[[#This Row],[Shipping Address]],","),1))</f>
        <v>123 Queen Street</v>
      </c>
      <c r="T111" s="42" t="str" cm="1">
        <f t="array" ref="T111">TRIM(INDEX(_xlfn.TEXTSPLIT(Table13[[#This Row],[Shipping Address]],","),2))</f>
        <v>Toronto</v>
      </c>
      <c r="U111" s="42" t="str" cm="1">
        <f t="array" ref="U111">TRIM(INDEX(_xlfn.TEXTSPLIT(Table13[[#This Row],[Shipping Address]],","),3))</f>
        <v>M5H 2N2</v>
      </c>
      <c r="V111" s="23" t="s">
        <v>41</v>
      </c>
      <c r="W111" s="42" t="str" cm="1">
        <f t="array" ref="W111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111" s="42" t="str" cm="1">
        <f t="array" ref="X111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1" s="23" t="s">
        <v>42</v>
      </c>
      <c r="Z111" s="33">
        <f>_xlfn.NUMBERVALUE(_xlfn.TEXTBEFORE(Table13[[#This Row],[Unit Price]]," "))</f>
        <v>204</v>
      </c>
      <c r="AA111" s="23" t="str">
        <f>RIGHT(Table13[[#This Row],[Unit Price]],LEN(Table13[[#This Row],[Unit Price]])-FIND(" ",Table13[[#This Row],[Unit Price]]))</f>
        <v>CAD</v>
      </c>
      <c r="AB111" s="33" cm="1">
        <f t="array" ref="AB111">Table13[[#This Row],[Unit Price Value]]*_xlfn.XLOOKUP(Table13[[#This Row],[Unit Price Currency]],{"EUR","USD","GBP","BRL","CAD","CNY","AUD","ZAR","MXN","JPY","INR"},{1,0.86,1.15,0.15,0.63,0.12,0.56,0.05,0.05,0.01,0.01},NA())</f>
        <v>128.52000000000001</v>
      </c>
      <c r="AC111" s="32">
        <v>25</v>
      </c>
      <c r="AD111" s="32">
        <v>10</v>
      </c>
      <c r="AE111" s="20">
        <f>IF(Table13[[#This Row],[Discount (%)]]="",CHOOSE(MATCH(MOD(Table13[[#This Row],[Sales Rep ID]],3)+1,{1,2,3},0),5,10,15),Table13[[#This Row],[Discount (%)]])</f>
        <v>10</v>
      </c>
      <c r="AF111" s="38">
        <f>Table13[[#This Row],[Unit Price (EUR)]]*Table13[[#This Row],[Units Sold]]</f>
        <v>3213.0000000000005</v>
      </c>
      <c r="AG111" s="38">
        <f>Table13[[#This Row],[Gross Price (Euro)]]*Table13[[#This Row],[Calc Discount (%)]]/100</f>
        <v>321.3</v>
      </c>
      <c r="AH111" s="39">
        <f>Table13[[#This Row],[Gross Price (Euro)]]-Table13[[#This Row],[Discount Value (Euro)]]</f>
        <v>2891.7000000000003</v>
      </c>
    </row>
    <row r="112" spans="1:34" x14ac:dyDescent="0.25">
      <c r="A112" s="43">
        <v>111</v>
      </c>
      <c r="B112" s="23" t="s">
        <v>35</v>
      </c>
      <c r="C112" s="23" t="s">
        <v>36</v>
      </c>
      <c r="D112" s="23" t="str">
        <f>_xlfn.TEXTJOIN(" ",,Table13[[#This Row],[Rep First Name]],Table13[[#This Row],[Rep Last Name]])</f>
        <v>Fang Liu</v>
      </c>
      <c r="E112" s="23" t="s">
        <v>31</v>
      </c>
      <c r="F112" s="23" t="str">
        <f>IF(LEN(Table13[[#This Row],[Month]]) &gt; 0, LEFT(Table13[[#This Row],[Month]], 3), "")</f>
        <v>Jan</v>
      </c>
      <c r="G112" s="23" t="s">
        <v>16</v>
      </c>
      <c r="H112" s="23" t="s">
        <v>32</v>
      </c>
      <c r="I112" s="44">
        <f>IF(ISNUMBER(SEARCH("km/h",Table13[[#This Row],[Min Speed]])),VALUE(_xlfn.TEXTBEFORE(Table13[[#This Row],[Min Speed]]," ")),ROUND(VALUE(_xlfn.TEXTBEFORE(Table13[[#This Row],[Min Speed]]," "))*1.60934,0))</f>
        <v>30</v>
      </c>
      <c r="J112" s="44">
        <f>ROUND(IF(ISNUMBER(SEARCH("km/h",Table13[[#This Row],[Min Speed]])),Table13[[#This Row],[Min Speed (km/h)]]*0.621371,VALUE(_xlfn.TEXTBEFORE(Table13[[#This Row],[Min Speed]]," "))),0)</f>
        <v>19</v>
      </c>
      <c r="K112" s="23" t="s">
        <v>55</v>
      </c>
      <c r="L112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12" s="44">
        <f>IF(ISNUMBER(SEARCH("mph",Table13[[#This Row],[Max Speed]])),--_xlfn.TEXTBEFORE(Table13[[#This Row],[Max Speed]]," mph"),ROUND(--_xlfn.TEXTBEFORE(Table13[[#This Row],[Max Speed]]," km/h")*0.621371,0))</f>
        <v>100</v>
      </c>
      <c r="N112" s="23" t="s">
        <v>19</v>
      </c>
      <c r="O11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12" s="42" t="str">
        <f>TEXT(Table13[[#This Row],[Min Speed (km/h)]],"0")&amp;" - "&amp;TEXT(Table13[[#This Row],[Max Speed (km/h)]],"0")&amp;""</f>
        <v>30 - 161</v>
      </c>
      <c r="Q112" s="46">
        <f>IF(Table13[[#This Row],[Distance (km)]]="", AVERAGE(Table13[Distance (km)]), Table13[[#This Row],[Distance (km)]])</f>
        <v>500</v>
      </c>
      <c r="R112" s="23" t="s">
        <v>49</v>
      </c>
      <c r="S112" s="42" t="str" cm="1">
        <f t="array" ref="S112">TRIM(INDEX(_xlfn.TEXTSPLIT(Table13[[#This Row],[Shipping Address]],","),1))</f>
        <v>456 King Road</v>
      </c>
      <c r="T112" s="42" t="str" cm="1">
        <f t="array" ref="T112">TRIM(INDEX(_xlfn.TEXTSPLIT(Table13[[#This Row],[Shipping Address]],","),2))</f>
        <v>Ottawa</v>
      </c>
      <c r="U112" s="42" t="str" cm="1">
        <f t="array" ref="U112">TRIM(INDEX(_xlfn.TEXTSPLIT(Table13[[#This Row],[Shipping Address]],","),3))</f>
        <v>K1A 0B1</v>
      </c>
      <c r="V112" s="23" t="s">
        <v>41</v>
      </c>
      <c r="W112" s="42" t="str" cm="1">
        <f t="array" ref="W112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112" s="42" t="str" cm="1">
        <f t="array" ref="X112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2" s="23" t="s">
        <v>50</v>
      </c>
      <c r="Z112" s="33">
        <f>_xlfn.NUMBERVALUE(_xlfn.TEXTBEFORE(Table13[[#This Row],[Unit Price]]," "))</f>
        <v>272</v>
      </c>
      <c r="AA112" s="23" t="str">
        <f>RIGHT(Table13[[#This Row],[Unit Price]],LEN(Table13[[#This Row],[Unit Price]])-FIND(" ",Table13[[#This Row],[Unit Price]]))</f>
        <v>CAD</v>
      </c>
      <c r="AB112" s="33" cm="1">
        <f t="array" ref="AB112">Table13[[#This Row],[Unit Price Value]]*_xlfn.XLOOKUP(Table13[[#This Row],[Unit Price Currency]],{"EUR","USD","GBP","BRL","CAD","CNY","AUD","ZAR","MXN","JPY","INR"},{1,0.86,1.15,0.15,0.63,0.12,0.56,0.05,0.05,0.01,0.01},NA())</f>
        <v>171.36</v>
      </c>
      <c r="AC112" s="32">
        <v>17</v>
      </c>
      <c r="AD112" s="32"/>
      <c r="AE112" s="20">
        <f>IF(Table13[[#This Row],[Discount (%)]]="",CHOOSE(MATCH(MOD(Table13[[#This Row],[Sales Rep ID]],3)+1,{1,2,3},0),5,10,15),Table13[[#This Row],[Discount (%)]])</f>
        <v>5</v>
      </c>
      <c r="AF112" s="38">
        <f>Table13[[#This Row],[Unit Price (EUR)]]*Table13[[#This Row],[Units Sold]]</f>
        <v>2913.1200000000003</v>
      </c>
      <c r="AG112" s="38">
        <f>Table13[[#This Row],[Gross Price (Euro)]]*Table13[[#This Row],[Calc Discount (%)]]/100</f>
        <v>145.65600000000003</v>
      </c>
      <c r="AH112" s="39">
        <f>Table13[[#This Row],[Gross Price (Euro)]]-Table13[[#This Row],[Discount Value (Euro)]]</f>
        <v>2767.4640000000004</v>
      </c>
    </row>
    <row r="113" spans="1:34" x14ac:dyDescent="0.25">
      <c r="A113" s="43">
        <v>112</v>
      </c>
      <c r="B113" s="23" t="s">
        <v>35</v>
      </c>
      <c r="C113" s="23" t="s">
        <v>36</v>
      </c>
      <c r="D113" s="23" t="str">
        <f>_xlfn.TEXTJOIN(" ",,Table13[[#This Row],[Rep First Name]],Table13[[#This Row],[Rep Last Name]])</f>
        <v>Fang Liu</v>
      </c>
      <c r="E113" s="23" t="s">
        <v>76</v>
      </c>
      <c r="F113" s="23" t="str">
        <f>IF(LEN(Table13[[#This Row],[Month]]) &gt; 0, LEFT(Table13[[#This Row],[Month]], 3), "")</f>
        <v>May</v>
      </c>
      <c r="G113" s="23" t="s">
        <v>43</v>
      </c>
      <c r="H113" s="23" t="s">
        <v>17</v>
      </c>
      <c r="I113" s="44">
        <f>IF(ISNUMBER(SEARCH("km/h",Table13[[#This Row],[Min Speed]])),VALUE(_xlfn.TEXTBEFORE(Table13[[#This Row],[Min Speed]]," ")),ROUND(VALUE(_xlfn.TEXTBEFORE(Table13[[#This Row],[Min Speed]]," "))*1.60934,0))</f>
        <v>64</v>
      </c>
      <c r="J113" s="44">
        <f>ROUND(IF(ISNUMBER(SEARCH("km/h",Table13[[#This Row],[Min Speed]])),Table13[[#This Row],[Min Speed (km/h)]]*0.621371,VALUE(_xlfn.TEXTBEFORE(Table13[[#This Row],[Min Speed]]," "))),0)</f>
        <v>40</v>
      </c>
      <c r="K113" s="23" t="s">
        <v>25</v>
      </c>
      <c r="L113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13" s="44">
        <f>IF(ISNUMBER(SEARCH("mph",Table13[[#This Row],[Max Speed]])),--_xlfn.TEXTBEFORE(Table13[[#This Row],[Max Speed]]," mph"),ROUND(--_xlfn.TEXTBEFORE(Table13[[#This Row],[Max Speed]]," km/h")*0.621371,0))</f>
        <v>150</v>
      </c>
      <c r="N113" s="23" t="s">
        <v>19</v>
      </c>
      <c r="O11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13" s="42" t="str">
        <f>TEXT(Table13[[#This Row],[Min Speed (km/h)]],"0")&amp;" - "&amp;TEXT(Table13[[#This Row],[Max Speed (km/h)]],"0")&amp;""</f>
        <v>64 - 241</v>
      </c>
      <c r="Q113" s="46">
        <f>IF(Table13[[#This Row],[Distance (km)]]="", AVERAGE(Table13[Distance (km)]), Table13[[#This Row],[Distance (km)]])</f>
        <v>500</v>
      </c>
      <c r="R113" s="23" t="s">
        <v>51</v>
      </c>
      <c r="S113" s="42" t="str" cm="1">
        <f t="array" ref="S113">TRIM(INDEX(_xlfn.TEXTSPLIT(Table13[[#This Row],[Shipping Address]],","),1))</f>
        <v>789 Elm Boulevard</v>
      </c>
      <c r="T113" s="42" t="str" cm="1">
        <f t="array" ref="T113">TRIM(INDEX(_xlfn.TEXTSPLIT(Table13[[#This Row],[Shipping Address]],","),2))</f>
        <v>Vancouver</v>
      </c>
      <c r="U113" s="42" t="str" cm="1">
        <f t="array" ref="U113">TRIM(INDEX(_xlfn.TEXTSPLIT(Table13[[#This Row],[Shipping Address]],","),3))</f>
        <v>L4T 1P5</v>
      </c>
      <c r="V113" s="23" t="s">
        <v>41</v>
      </c>
      <c r="W113" s="42" t="str" cm="1">
        <f t="array" ref="W113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113" s="42" t="str" cm="1">
        <f t="array" ref="X113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3" s="23" t="s">
        <v>52</v>
      </c>
      <c r="Z113" s="33">
        <f>_xlfn.NUMBERVALUE(_xlfn.TEXTBEFORE(Table13[[#This Row],[Unit Price]]," "))</f>
        <v>340</v>
      </c>
      <c r="AA113" s="23" t="str">
        <f>RIGHT(Table13[[#This Row],[Unit Price]],LEN(Table13[[#This Row],[Unit Price]])-FIND(" ",Table13[[#This Row],[Unit Price]]))</f>
        <v>CAD</v>
      </c>
      <c r="AB113" s="33" cm="1">
        <f t="array" ref="AB113">Table13[[#This Row],[Unit Price Value]]*_xlfn.XLOOKUP(Table13[[#This Row],[Unit Price Currency]],{"EUR","USD","GBP","BRL","CAD","CNY","AUD","ZAR","MXN","JPY","INR"},{1,0.86,1.15,0.15,0.63,0.12,0.56,0.05,0.05,0.01,0.01},NA())</f>
        <v>214.2</v>
      </c>
      <c r="AC113" s="32">
        <v>13</v>
      </c>
      <c r="AD113" s="32">
        <v>15</v>
      </c>
      <c r="AE113" s="20">
        <f>IF(Table13[[#This Row],[Discount (%)]]="",CHOOSE(MATCH(MOD(Table13[[#This Row],[Sales Rep ID]],3)+1,{1,2,3},0),5,10,15),Table13[[#This Row],[Discount (%)]])</f>
        <v>15</v>
      </c>
      <c r="AF113" s="38">
        <f>Table13[[#This Row],[Unit Price (EUR)]]*Table13[[#This Row],[Units Sold]]</f>
        <v>2784.6</v>
      </c>
      <c r="AG113" s="38">
        <f>Table13[[#This Row],[Gross Price (Euro)]]*Table13[[#This Row],[Calc Discount (%)]]/100</f>
        <v>417.69</v>
      </c>
      <c r="AH113" s="39">
        <f>Table13[[#This Row],[Gross Price (Euro)]]-Table13[[#This Row],[Discount Value (Euro)]]</f>
        <v>2366.91</v>
      </c>
    </row>
    <row r="114" spans="1:34" x14ac:dyDescent="0.25">
      <c r="A114" s="43">
        <v>113</v>
      </c>
      <c r="B114" s="23" t="s">
        <v>35</v>
      </c>
      <c r="C114" s="23" t="s">
        <v>36</v>
      </c>
      <c r="D114" s="23" t="str">
        <f>_xlfn.TEXTJOIN(" ",,Table13[[#This Row],[Rep First Name]],Table13[[#This Row],[Rep Last Name]])</f>
        <v>Fang Liu</v>
      </c>
      <c r="E114" s="23" t="s">
        <v>15</v>
      </c>
      <c r="F114" s="23" t="str">
        <f>IF(LEN(Table13[[#This Row],[Month]]) &gt; 0, LEFT(Table13[[#This Row],[Month]], 3), "")</f>
        <v>Jun</v>
      </c>
      <c r="G114" s="23" t="s">
        <v>43</v>
      </c>
      <c r="H114" s="23" t="s">
        <v>17</v>
      </c>
      <c r="I114" s="44">
        <f>IF(ISNUMBER(SEARCH("km/h",Table13[[#This Row],[Min Speed]])),VALUE(_xlfn.TEXTBEFORE(Table13[[#This Row],[Min Speed]]," ")),ROUND(VALUE(_xlfn.TEXTBEFORE(Table13[[#This Row],[Min Speed]]," "))*1.60934,0))</f>
        <v>64</v>
      </c>
      <c r="J114" s="44">
        <f>ROUND(IF(ISNUMBER(SEARCH("km/h",Table13[[#This Row],[Min Speed]])),Table13[[#This Row],[Min Speed (km/h)]]*0.621371,VALUE(_xlfn.TEXTBEFORE(Table13[[#This Row],[Min Speed]]," "))),0)</f>
        <v>40</v>
      </c>
      <c r="K114" s="23" t="s">
        <v>55</v>
      </c>
      <c r="L114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14" s="44">
        <f>IF(ISNUMBER(SEARCH("mph",Table13[[#This Row],[Max Speed]])),--_xlfn.TEXTBEFORE(Table13[[#This Row],[Max Speed]]," mph"),ROUND(--_xlfn.TEXTBEFORE(Table13[[#This Row],[Max Speed]]," km/h")*0.621371,0))</f>
        <v>100</v>
      </c>
      <c r="N114" s="23" t="s">
        <v>19</v>
      </c>
      <c r="O11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14" s="42" t="str">
        <f>TEXT(Table13[[#This Row],[Min Speed (km/h)]],"0")&amp;" - "&amp;TEXT(Table13[[#This Row],[Max Speed (km/h)]],"0")&amp;""</f>
        <v>64 - 161</v>
      </c>
      <c r="Q114" s="46">
        <f>IF(Table13[[#This Row],[Distance (km)]]="", AVERAGE(Table13[Distance (km)]), Table13[[#This Row],[Distance (km)]])</f>
        <v>500</v>
      </c>
      <c r="R114" s="23" t="s">
        <v>53</v>
      </c>
      <c r="S114" s="42" t="str" cm="1">
        <f t="array" ref="S114">TRIM(INDEX(_xlfn.TEXTSPLIT(Table13[[#This Row],[Shipping Address]],","),1))</f>
        <v>321 Cedar Crescent</v>
      </c>
      <c r="T114" s="42" t="str" cm="1">
        <f t="array" ref="T114">TRIM(INDEX(_xlfn.TEXTSPLIT(Table13[[#This Row],[Shipping Address]],","),2))</f>
        <v>Calgary</v>
      </c>
      <c r="U114" s="42" t="str" cm="1">
        <f t="array" ref="U114">TRIM(INDEX(_xlfn.TEXTSPLIT(Table13[[#This Row],[Shipping Address]],","),3))</f>
        <v>T5A 0H2</v>
      </c>
      <c r="V114" s="23" t="s">
        <v>41</v>
      </c>
      <c r="W114" s="42" t="str" cm="1">
        <f t="array" ref="W114">_xlfn.XLOOKUP(Table13[[#This Row],[Country Code]],{"US","CA","MX","BR","GB","DE","FR","CN","IN","AU","ZA","JP"},{"United States","Canada","Mexico","Brazil","United Kingdom","Germany","France","China","India","Australia","South Africa","Japan"},"Other")</f>
        <v>Canada</v>
      </c>
      <c r="X114" s="42" t="str" cm="1">
        <f t="array" ref="X114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4" s="23" t="s">
        <v>54</v>
      </c>
      <c r="Z114" s="33">
        <f>_xlfn.NUMBERVALUE(_xlfn.TEXTBEFORE(Table13[[#This Row],[Unit Price]]," "))</f>
        <v>408</v>
      </c>
      <c r="AA114" s="23" t="str">
        <f>RIGHT(Table13[[#This Row],[Unit Price]],LEN(Table13[[#This Row],[Unit Price]])-FIND(" ",Table13[[#This Row],[Unit Price]]))</f>
        <v>CAD</v>
      </c>
      <c r="AB114" s="33" cm="1">
        <f t="array" ref="AB114">Table13[[#This Row],[Unit Price Value]]*_xlfn.XLOOKUP(Table13[[#This Row],[Unit Price Currency]],{"EUR","USD","GBP","BRL","CAD","CNY","AUD","ZAR","MXN","JPY","INR"},{1,0.86,1.15,0.15,0.63,0.12,0.56,0.05,0.05,0.01,0.01},NA())</f>
        <v>257.04000000000002</v>
      </c>
      <c r="AC114" s="32">
        <v>8</v>
      </c>
      <c r="AD114" s="32">
        <v>5</v>
      </c>
      <c r="AE114" s="20">
        <f>IF(Table13[[#This Row],[Discount (%)]]="",CHOOSE(MATCH(MOD(Table13[[#This Row],[Sales Rep ID]],3)+1,{1,2,3},0),5,10,15),Table13[[#This Row],[Discount (%)]])</f>
        <v>5</v>
      </c>
      <c r="AF114" s="38">
        <f>Table13[[#This Row],[Unit Price (EUR)]]*Table13[[#This Row],[Units Sold]]</f>
        <v>2056.3200000000002</v>
      </c>
      <c r="AG114" s="38">
        <f>Table13[[#This Row],[Gross Price (Euro)]]*Table13[[#This Row],[Calc Discount (%)]]/100</f>
        <v>102.816</v>
      </c>
      <c r="AH114" s="39">
        <f>Table13[[#This Row],[Gross Price (Euro)]]-Table13[[#This Row],[Discount Value (Euro)]]</f>
        <v>1953.5040000000001</v>
      </c>
    </row>
    <row r="115" spans="1:34" x14ac:dyDescent="0.25">
      <c r="A115" s="43">
        <v>114</v>
      </c>
      <c r="B115" s="23" t="s">
        <v>45</v>
      </c>
      <c r="C115" s="23" t="s">
        <v>46</v>
      </c>
      <c r="D115" s="23" t="str">
        <f>_xlfn.TEXTJOIN(" ",,Table13[[#This Row],[Rep First Name]],Table13[[#This Row],[Rep Last Name]])</f>
        <v>Jonas Fischer</v>
      </c>
      <c r="E115" s="23" t="s">
        <v>31</v>
      </c>
      <c r="F115" s="23" t="str">
        <f>IF(LEN(Table13[[#This Row],[Month]]) &gt; 0, LEFT(Table13[[#This Row],[Month]], 3), "")</f>
        <v>Jan</v>
      </c>
      <c r="G115" s="23" t="s">
        <v>67</v>
      </c>
      <c r="H115" s="23" t="s">
        <v>17</v>
      </c>
      <c r="I115" s="44">
        <f>IF(ISNUMBER(SEARCH("km/h",Table13[[#This Row],[Min Speed]])),VALUE(_xlfn.TEXTBEFORE(Table13[[#This Row],[Min Speed]]," ")),ROUND(VALUE(_xlfn.TEXTBEFORE(Table13[[#This Row],[Min Speed]]," "))*1.60934,0))</f>
        <v>64</v>
      </c>
      <c r="J115" s="44">
        <f>ROUND(IF(ISNUMBER(SEARCH("km/h",Table13[[#This Row],[Min Speed]])),Table13[[#This Row],[Min Speed (km/h)]]*0.621371,VALUE(_xlfn.TEXTBEFORE(Table13[[#This Row],[Min Speed]]," "))),0)</f>
        <v>40</v>
      </c>
      <c r="K115" s="23" t="s">
        <v>18</v>
      </c>
      <c r="L115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15" s="44">
        <f>IF(ISNUMBER(SEARCH("mph",Table13[[#This Row],[Max Speed]])),--_xlfn.TEXTBEFORE(Table13[[#This Row],[Max Speed]]," mph"),ROUND(--_xlfn.TEXTBEFORE(Table13[[#This Row],[Max Speed]]," km/h")*0.621371,0))</f>
        <v>75</v>
      </c>
      <c r="N115" s="23" t="s">
        <v>68</v>
      </c>
      <c r="O11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15" s="42" t="str">
        <f>TEXT(Table13[[#This Row],[Min Speed (km/h)]],"0")&amp;" - "&amp;TEXT(Table13[[#This Row],[Max Speed (km/h)]],"0")&amp;""</f>
        <v>64 - 120</v>
      </c>
      <c r="Q115" s="46">
        <f>IF(Table13[[#This Row],[Distance (km)]]="", AVERAGE(Table13[Distance (km)]), Table13[[#This Row],[Distance (km)]])</f>
        <v>600</v>
      </c>
      <c r="R115" s="23" t="s">
        <v>56</v>
      </c>
      <c r="S115" s="42" t="str" cm="1">
        <f t="array" ref="S115">TRIM(INDEX(_xlfn.TEXTSPLIT(Table13[[#This Row],[Shipping Address]],","),1))</f>
        <v>456 Avenida Reforma</v>
      </c>
      <c r="T115" s="42" t="str" cm="1">
        <f t="array" ref="T115">TRIM(INDEX(_xlfn.TEXTSPLIT(Table13[[#This Row],[Shipping Address]],","),2))</f>
        <v>Mexico City</v>
      </c>
      <c r="U115" s="42" t="str" cm="1">
        <f t="array" ref="U115">TRIM(INDEX(_xlfn.TEXTSPLIT(Table13[[#This Row],[Shipping Address]],","),3))</f>
        <v>06080</v>
      </c>
      <c r="V115" s="23" t="s">
        <v>57</v>
      </c>
      <c r="W115" s="42" t="str" cm="1">
        <f t="array" ref="W115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15" s="42" t="str" cm="1">
        <f t="array" ref="X115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5" s="23" t="s">
        <v>58</v>
      </c>
      <c r="Z115" s="33">
        <f>_xlfn.NUMBERVALUE(_xlfn.TEXTBEFORE(Table13[[#This Row],[Unit Price]]," "))</f>
        <v>2645</v>
      </c>
      <c r="AA115" s="23" t="str">
        <f>RIGHT(Table13[[#This Row],[Unit Price]],LEN(Table13[[#This Row],[Unit Price]])-FIND(" ",Table13[[#This Row],[Unit Price]]))</f>
        <v>MXN</v>
      </c>
      <c r="AB115" s="33" cm="1">
        <f t="array" ref="AB115">Table13[[#This Row],[Unit Price Value]]*_xlfn.XLOOKUP(Table13[[#This Row],[Unit Price Currency]],{"EUR","USD","GBP","BRL","CAD","CNY","AUD","ZAR","MXN","JPY","INR"},{1,0.86,1.15,0.15,0.63,0.12,0.56,0.05,0.05,0.01,0.01},NA())</f>
        <v>132.25</v>
      </c>
      <c r="AC115" s="32">
        <v>22</v>
      </c>
      <c r="AD115" s="32">
        <v>10</v>
      </c>
      <c r="AE115" s="20">
        <f>IF(Table13[[#This Row],[Discount (%)]]="",CHOOSE(MATCH(MOD(Table13[[#This Row],[Sales Rep ID]],3)+1,{1,2,3},0),5,10,15),Table13[[#This Row],[Discount (%)]])</f>
        <v>10</v>
      </c>
      <c r="AF115" s="38">
        <f>Table13[[#This Row],[Unit Price (EUR)]]*Table13[[#This Row],[Units Sold]]</f>
        <v>2909.5</v>
      </c>
      <c r="AG115" s="38">
        <f>Table13[[#This Row],[Gross Price (Euro)]]*Table13[[#This Row],[Calc Discount (%)]]/100</f>
        <v>290.95</v>
      </c>
      <c r="AH115" s="39">
        <f>Table13[[#This Row],[Gross Price (Euro)]]-Table13[[#This Row],[Discount Value (Euro)]]</f>
        <v>2618.5500000000002</v>
      </c>
    </row>
    <row r="116" spans="1:34" x14ac:dyDescent="0.25">
      <c r="A116" s="43">
        <v>115</v>
      </c>
      <c r="B116" s="23" t="s">
        <v>45</v>
      </c>
      <c r="C116" s="23" t="s">
        <v>46</v>
      </c>
      <c r="D116" s="23" t="str">
        <f>_xlfn.TEXTJOIN(" ",,Table13[[#This Row],[Rep First Name]],Table13[[#This Row],[Rep Last Name]])</f>
        <v>Jonas Fischer</v>
      </c>
      <c r="E116" s="23" t="s">
        <v>37</v>
      </c>
      <c r="F116" s="23" t="str">
        <f>IF(LEN(Table13[[#This Row],[Month]]) &gt; 0, LEFT(Table13[[#This Row],[Month]], 3), "")</f>
        <v>Feb</v>
      </c>
      <c r="G116" s="23" t="s">
        <v>43</v>
      </c>
      <c r="H116" s="23" t="s">
        <v>24</v>
      </c>
      <c r="I116" s="44">
        <f>IF(ISNUMBER(SEARCH("km/h",Table13[[#This Row],[Min Speed]])),VALUE(_xlfn.TEXTBEFORE(Table13[[#This Row],[Min Speed]]," ")),ROUND(VALUE(_xlfn.TEXTBEFORE(Table13[[#This Row],[Min Speed]]," "))*1.60934,0))</f>
        <v>80</v>
      </c>
      <c r="J116" s="44">
        <f>ROUND(IF(ISNUMBER(SEARCH("km/h",Table13[[#This Row],[Min Speed]])),Table13[[#This Row],[Min Speed (km/h)]]*0.621371,VALUE(_xlfn.TEXTBEFORE(Table13[[#This Row],[Min Speed]]," "))),0)</f>
        <v>50</v>
      </c>
      <c r="K116" s="23" t="s">
        <v>25</v>
      </c>
      <c r="L116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16" s="44">
        <f>IF(ISNUMBER(SEARCH("mph",Table13[[#This Row],[Max Speed]])),--_xlfn.TEXTBEFORE(Table13[[#This Row],[Max Speed]]," mph"),ROUND(--_xlfn.TEXTBEFORE(Table13[[#This Row],[Max Speed]]," km/h")*0.621371,0))</f>
        <v>150</v>
      </c>
      <c r="N116" s="23" t="s">
        <v>68</v>
      </c>
      <c r="O11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16" s="42" t="str">
        <f>TEXT(Table13[[#This Row],[Min Speed (km/h)]],"0")&amp;" - "&amp;TEXT(Table13[[#This Row],[Max Speed (km/h)]],"0")&amp;""</f>
        <v>80 - 241</v>
      </c>
      <c r="Q116" s="46">
        <f>IF(Table13[[#This Row],[Distance (km)]]="", AVERAGE(Table13[Distance (km)]), Table13[[#This Row],[Distance (km)]])</f>
        <v>600</v>
      </c>
      <c r="R116" s="23" t="s">
        <v>61</v>
      </c>
      <c r="S116" s="42" t="str" cm="1">
        <f t="array" ref="S116">TRIM(INDEX(_xlfn.TEXTSPLIT(Table13[[#This Row],[Shipping Address]],","),1))</f>
        <v>789 Calle Juárez</v>
      </c>
      <c r="T116" s="42" t="str" cm="1">
        <f t="array" ref="T116">TRIM(INDEX(_xlfn.TEXTSPLIT(Table13[[#This Row],[Shipping Address]],","),2))</f>
        <v>Guadalajara</v>
      </c>
      <c r="U116" s="42" t="str" cm="1">
        <f t="array" ref="U116">TRIM(INDEX(_xlfn.TEXTSPLIT(Table13[[#This Row],[Shipping Address]],","),3))</f>
        <v>66000</v>
      </c>
      <c r="V116" s="23" t="s">
        <v>57</v>
      </c>
      <c r="W116" s="42" t="str" cm="1">
        <f t="array" ref="W116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16" s="42" t="str" cm="1">
        <f t="array" ref="X116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6" s="23" t="s">
        <v>62</v>
      </c>
      <c r="Z116" s="33">
        <f>_xlfn.NUMBERVALUE(_xlfn.TEXTBEFORE(Table13[[#This Row],[Unit Price]]," "))</f>
        <v>3527</v>
      </c>
      <c r="AA116" s="23" t="str">
        <f>RIGHT(Table13[[#This Row],[Unit Price]],LEN(Table13[[#This Row],[Unit Price]])-FIND(" ",Table13[[#This Row],[Unit Price]]))</f>
        <v>MXN</v>
      </c>
      <c r="AB116" s="33" cm="1">
        <f t="array" ref="AB116">Table13[[#This Row],[Unit Price Value]]*_xlfn.XLOOKUP(Table13[[#This Row],[Unit Price Currency]],{"EUR","USD","GBP","BRL","CAD","CNY","AUD","ZAR","MXN","JPY","INR"},{1,0.86,1.15,0.15,0.63,0.12,0.56,0.05,0.05,0.01,0.01},NA())</f>
        <v>176.35000000000002</v>
      </c>
      <c r="AC116" s="32">
        <v>16</v>
      </c>
      <c r="AD116" s="32">
        <v>5</v>
      </c>
      <c r="AE116" s="20">
        <f>IF(Table13[[#This Row],[Discount (%)]]="",CHOOSE(MATCH(MOD(Table13[[#This Row],[Sales Rep ID]],3)+1,{1,2,3},0),5,10,15),Table13[[#This Row],[Discount (%)]])</f>
        <v>5</v>
      </c>
      <c r="AF116" s="38">
        <f>Table13[[#This Row],[Unit Price (EUR)]]*Table13[[#This Row],[Units Sold]]</f>
        <v>2821.6000000000004</v>
      </c>
      <c r="AG116" s="38">
        <f>Table13[[#This Row],[Gross Price (Euro)]]*Table13[[#This Row],[Calc Discount (%)]]/100</f>
        <v>141.08000000000001</v>
      </c>
      <c r="AH116" s="39">
        <f>Table13[[#This Row],[Gross Price (Euro)]]-Table13[[#This Row],[Discount Value (Euro)]]</f>
        <v>2680.5200000000004</v>
      </c>
    </row>
    <row r="117" spans="1:34" x14ac:dyDescent="0.25">
      <c r="A117" s="43">
        <v>116</v>
      </c>
      <c r="B117" s="23" t="s">
        <v>45</v>
      </c>
      <c r="C117" s="23" t="s">
        <v>46</v>
      </c>
      <c r="D117" s="23" t="str">
        <f>_xlfn.TEXTJOIN(" ",,Table13[[#This Row],[Rep First Name]],Table13[[#This Row],[Rep Last Name]])</f>
        <v>Jonas Fischer</v>
      </c>
      <c r="E117" s="23" t="s">
        <v>47</v>
      </c>
      <c r="F117" s="23" t="str">
        <f>IF(LEN(Table13[[#This Row],[Month]]) &gt; 0, LEFT(Table13[[#This Row],[Month]], 3), "")</f>
        <v>Apr</v>
      </c>
      <c r="G117" s="23" t="s">
        <v>67</v>
      </c>
      <c r="H117" s="23" t="s">
        <v>32</v>
      </c>
      <c r="I117" s="44">
        <f>IF(ISNUMBER(SEARCH("km/h",Table13[[#This Row],[Min Speed]])),VALUE(_xlfn.TEXTBEFORE(Table13[[#This Row],[Min Speed]]," ")),ROUND(VALUE(_xlfn.TEXTBEFORE(Table13[[#This Row],[Min Speed]]," "))*1.60934,0))</f>
        <v>30</v>
      </c>
      <c r="J117" s="44">
        <f>ROUND(IF(ISNUMBER(SEARCH("km/h",Table13[[#This Row],[Min Speed]])),Table13[[#This Row],[Min Speed (km/h)]]*0.621371,VALUE(_xlfn.TEXTBEFORE(Table13[[#This Row],[Min Speed]]," "))),0)</f>
        <v>19</v>
      </c>
      <c r="K117" s="23" t="s">
        <v>44</v>
      </c>
      <c r="L117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17" s="44">
        <f>IF(ISNUMBER(SEARCH("mph",Table13[[#This Row],[Max Speed]])),--_xlfn.TEXTBEFORE(Table13[[#This Row],[Max Speed]]," mph"),ROUND(--_xlfn.TEXTBEFORE(Table13[[#This Row],[Max Speed]]," km/h")*0.621371,0))</f>
        <v>50</v>
      </c>
      <c r="N117" s="23" t="s">
        <v>26</v>
      </c>
      <c r="O11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17" s="42" t="str">
        <f>TEXT(Table13[[#This Row],[Min Speed (km/h)]],"0")&amp;" - "&amp;TEXT(Table13[[#This Row],[Max Speed (km/h)]],"0")&amp;""</f>
        <v>30 - 80</v>
      </c>
      <c r="Q117" s="46">
        <f>IF(Table13[[#This Row],[Distance (km)]]="", AVERAGE(Table13[Distance (km)]), Table13[[#This Row],[Distance (km)]])</f>
        <v>482.80200000000002</v>
      </c>
      <c r="R117" s="23" t="s">
        <v>63</v>
      </c>
      <c r="S117" s="42" t="str" cm="1">
        <f t="array" ref="S117">TRIM(INDEX(_xlfn.TEXTSPLIT(Table13[[#This Row],[Shipping Address]],","),1))</f>
        <v>234 Paseo de la Reforma</v>
      </c>
      <c r="T117" s="42" t="str" cm="1">
        <f t="array" ref="T117">TRIM(INDEX(_xlfn.TEXTSPLIT(Table13[[#This Row],[Shipping Address]],","),2))</f>
        <v>Monterrey</v>
      </c>
      <c r="U117" s="42" t="str" cm="1">
        <f t="array" ref="U117">TRIM(INDEX(_xlfn.TEXTSPLIT(Table13[[#This Row],[Shipping Address]],","),3))</f>
        <v>06500</v>
      </c>
      <c r="V117" s="23" t="s">
        <v>57</v>
      </c>
      <c r="W117" s="42" t="str" cm="1">
        <f t="array" ref="W117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17" s="42" t="str" cm="1">
        <f t="array" ref="X117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7" s="23" t="s">
        <v>64</v>
      </c>
      <c r="Z117" s="33">
        <f>_xlfn.NUMBERVALUE(_xlfn.TEXTBEFORE(Table13[[#This Row],[Unit Price]]," "))</f>
        <v>4404</v>
      </c>
      <c r="AA117" s="23" t="str">
        <f>RIGHT(Table13[[#This Row],[Unit Price]],LEN(Table13[[#This Row],[Unit Price]])-FIND(" ",Table13[[#This Row],[Unit Price]]))</f>
        <v>MXN</v>
      </c>
      <c r="AB117" s="33" cm="1">
        <f t="array" ref="AB117">Table13[[#This Row],[Unit Price Value]]*_xlfn.XLOOKUP(Table13[[#This Row],[Unit Price Currency]],{"EUR","USD","GBP","BRL","CAD","CNY","AUD","ZAR","MXN","JPY","INR"},{1,0.86,1.15,0.15,0.63,0.12,0.56,0.05,0.05,0.01,0.01},NA())</f>
        <v>220.20000000000002</v>
      </c>
      <c r="AC117" s="32">
        <v>11</v>
      </c>
      <c r="AD117" s="32">
        <v>10</v>
      </c>
      <c r="AE117" s="20">
        <f>IF(Table13[[#This Row],[Discount (%)]]="",CHOOSE(MATCH(MOD(Table13[[#This Row],[Sales Rep ID]],3)+1,{1,2,3},0),5,10,15),Table13[[#This Row],[Discount (%)]])</f>
        <v>10</v>
      </c>
      <c r="AF117" s="38">
        <f>Table13[[#This Row],[Unit Price (EUR)]]*Table13[[#This Row],[Units Sold]]</f>
        <v>2422.2000000000003</v>
      </c>
      <c r="AG117" s="38">
        <f>Table13[[#This Row],[Gross Price (Euro)]]*Table13[[#This Row],[Calc Discount (%)]]/100</f>
        <v>242.22000000000003</v>
      </c>
      <c r="AH117" s="39">
        <f>Table13[[#This Row],[Gross Price (Euro)]]-Table13[[#This Row],[Discount Value (Euro)]]</f>
        <v>2179.9800000000005</v>
      </c>
    </row>
    <row r="118" spans="1:34" x14ac:dyDescent="0.25">
      <c r="A118" s="43">
        <v>117</v>
      </c>
      <c r="B118" s="23" t="s">
        <v>45</v>
      </c>
      <c r="C118" s="23" t="s">
        <v>46</v>
      </c>
      <c r="D118" s="23" t="str">
        <f>_xlfn.TEXTJOIN(" ",,Table13[[#This Row],[Rep First Name]],Table13[[#This Row],[Rep Last Name]])</f>
        <v>Jonas Fischer</v>
      </c>
      <c r="E118" s="23" t="s">
        <v>31</v>
      </c>
      <c r="F118" s="23" t="str">
        <f>IF(LEN(Table13[[#This Row],[Month]]) &gt; 0, LEFT(Table13[[#This Row],[Month]], 3), "")</f>
        <v>Jan</v>
      </c>
      <c r="G118" s="23" t="s">
        <v>43</v>
      </c>
      <c r="H118" s="23" t="s">
        <v>17</v>
      </c>
      <c r="I118" s="44">
        <f>IF(ISNUMBER(SEARCH("km/h",Table13[[#This Row],[Min Speed]])),VALUE(_xlfn.TEXTBEFORE(Table13[[#This Row],[Min Speed]]," ")),ROUND(VALUE(_xlfn.TEXTBEFORE(Table13[[#This Row],[Min Speed]]," "))*1.60934,0))</f>
        <v>64</v>
      </c>
      <c r="J118" s="44">
        <f>ROUND(IF(ISNUMBER(SEARCH("km/h",Table13[[#This Row],[Min Speed]])),Table13[[#This Row],[Min Speed (km/h)]]*0.621371,VALUE(_xlfn.TEXTBEFORE(Table13[[#This Row],[Min Speed]]," "))),0)</f>
        <v>40</v>
      </c>
      <c r="K118" s="23" t="s">
        <v>55</v>
      </c>
      <c r="L118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18" s="44">
        <f>IF(ISNUMBER(SEARCH("mph",Table13[[#This Row],[Max Speed]])),--_xlfn.TEXTBEFORE(Table13[[#This Row],[Max Speed]]," mph"),ROUND(--_xlfn.TEXTBEFORE(Table13[[#This Row],[Max Speed]]," km/h")*0.621371,0))</f>
        <v>100</v>
      </c>
      <c r="N118" s="23" t="s">
        <v>68</v>
      </c>
      <c r="O11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18" s="42" t="str">
        <f>TEXT(Table13[[#This Row],[Min Speed (km/h)]],"0")&amp;" - "&amp;TEXT(Table13[[#This Row],[Max Speed (km/h)]],"0")&amp;""</f>
        <v>64 - 161</v>
      </c>
      <c r="Q118" s="46">
        <f>IF(Table13[[#This Row],[Distance (km)]]="", AVERAGE(Table13[Distance (km)]), Table13[[#This Row],[Distance (km)]])</f>
        <v>600</v>
      </c>
      <c r="R118" s="23" t="s">
        <v>65</v>
      </c>
      <c r="S118" s="42" t="str" cm="1">
        <f t="array" ref="S118">TRIM(INDEX(_xlfn.TEXTSPLIT(Table13[[#This Row],[Shipping Address]],","),1))</f>
        <v>678 Calle 5 de Febrero</v>
      </c>
      <c r="T118" s="42" t="str" cm="1">
        <f t="array" ref="T118">TRIM(INDEX(_xlfn.TEXTSPLIT(Table13[[#This Row],[Shipping Address]],","),2))</f>
        <v>Puebla</v>
      </c>
      <c r="U118" s="42" t="str" cm="1">
        <f t="array" ref="U118">TRIM(INDEX(_xlfn.TEXTSPLIT(Table13[[#This Row],[Shipping Address]],","),3))</f>
        <v>03230</v>
      </c>
      <c r="V118" s="23" t="s">
        <v>57</v>
      </c>
      <c r="W118" s="42" t="str" cm="1">
        <f t="array" ref="W118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18" s="42" t="str" cm="1">
        <f t="array" ref="X118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8" s="23" t="s">
        <v>66</v>
      </c>
      <c r="Z118" s="33">
        <f>_xlfn.NUMBERVALUE(_xlfn.TEXTBEFORE(Table13[[#This Row],[Unit Price]]," "))</f>
        <v>5289</v>
      </c>
      <c r="AA118" s="23" t="str">
        <f>RIGHT(Table13[[#This Row],[Unit Price]],LEN(Table13[[#This Row],[Unit Price]])-FIND(" ",Table13[[#This Row],[Unit Price]]))</f>
        <v>MXN</v>
      </c>
      <c r="AB118" s="33" cm="1">
        <f t="array" ref="AB118">Table13[[#This Row],[Unit Price Value]]*_xlfn.XLOOKUP(Table13[[#This Row],[Unit Price Currency]],{"EUR","USD","GBP","BRL","CAD","CNY","AUD","ZAR","MXN","JPY","INR"},{1,0.86,1.15,0.15,0.63,0.12,0.56,0.05,0.05,0.01,0.01},NA())</f>
        <v>264.45</v>
      </c>
      <c r="AC118" s="32">
        <v>7</v>
      </c>
      <c r="AD118" s="32"/>
      <c r="AE118" s="20">
        <f>IF(Table13[[#This Row],[Discount (%)]]="",CHOOSE(MATCH(MOD(Table13[[#This Row],[Sales Rep ID]],3)+1,{1,2,3},0),5,10,15),Table13[[#This Row],[Discount (%)]])</f>
        <v>5</v>
      </c>
      <c r="AF118" s="38">
        <f>Table13[[#This Row],[Unit Price (EUR)]]*Table13[[#This Row],[Units Sold]]</f>
        <v>1851.1499999999999</v>
      </c>
      <c r="AG118" s="38">
        <f>Table13[[#This Row],[Gross Price (Euro)]]*Table13[[#This Row],[Calc Discount (%)]]/100</f>
        <v>92.557500000000005</v>
      </c>
      <c r="AH118" s="39">
        <f>Table13[[#This Row],[Gross Price (Euro)]]-Table13[[#This Row],[Discount Value (Euro)]]</f>
        <v>1758.5924999999997</v>
      </c>
    </row>
    <row r="119" spans="1:34" x14ac:dyDescent="0.25">
      <c r="A119" s="43">
        <v>118</v>
      </c>
      <c r="B119" s="23" t="s">
        <v>59</v>
      </c>
      <c r="C119" s="23" t="s">
        <v>60</v>
      </c>
      <c r="D119" s="23" t="str">
        <f>_xlfn.TEXTJOIN(" ",,Table13[[#This Row],[Rep First Name]],Table13[[#This Row],[Rep Last Name]])</f>
        <v>Théo Bernard</v>
      </c>
      <c r="E119" s="23" t="s">
        <v>47</v>
      </c>
      <c r="F119" s="23" t="str">
        <f>IF(LEN(Table13[[#This Row],[Month]]) &gt; 0, LEFT(Table13[[#This Row],[Month]], 3), "")</f>
        <v>Apr</v>
      </c>
      <c r="G119" s="23" t="s">
        <v>67</v>
      </c>
      <c r="H119" s="23" t="s">
        <v>48</v>
      </c>
      <c r="I119" s="44">
        <f>IF(ISNUMBER(SEARCH("km/h",Table13[[#This Row],[Min Speed]])),VALUE(_xlfn.TEXTBEFORE(Table13[[#This Row],[Min Speed]]," ")),ROUND(VALUE(_xlfn.TEXTBEFORE(Table13[[#This Row],[Min Speed]]," "))*1.60934,0))</f>
        <v>20</v>
      </c>
      <c r="J119" s="44">
        <f>ROUND(IF(ISNUMBER(SEARCH("km/h",Table13[[#This Row],[Min Speed]])),Table13[[#This Row],[Min Speed (km/h)]]*0.621371,VALUE(_xlfn.TEXTBEFORE(Table13[[#This Row],[Min Speed]]," "))),0)</f>
        <v>12</v>
      </c>
      <c r="K119" s="23" t="s">
        <v>55</v>
      </c>
      <c r="L119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19" s="44">
        <f>IF(ISNUMBER(SEARCH("mph",Table13[[#This Row],[Max Speed]])),--_xlfn.TEXTBEFORE(Table13[[#This Row],[Max Speed]]," mph"),ROUND(--_xlfn.TEXTBEFORE(Table13[[#This Row],[Max Speed]]," km/h")*0.621371,0))</f>
        <v>100</v>
      </c>
      <c r="N119" s="23" t="s">
        <v>28</v>
      </c>
      <c r="O11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19" s="42" t="str">
        <f>TEXT(Table13[[#This Row],[Min Speed (km/h)]],"0")&amp;" - "&amp;TEXT(Table13[[#This Row],[Max Speed (km/h)]],"0")&amp;""</f>
        <v>20 - 161</v>
      </c>
      <c r="Q119" s="46">
        <f>IF(Table13[[#This Row],[Distance (km)]]="", AVERAGE(Table13[Distance (km)]), Table13[[#This Row],[Distance (km)]])</f>
        <v>241.40100000000001</v>
      </c>
      <c r="R119" s="23" t="s">
        <v>65</v>
      </c>
      <c r="S119" s="42" t="str" cm="1">
        <f t="array" ref="S119">TRIM(INDEX(_xlfn.TEXTSPLIT(Table13[[#This Row],[Shipping Address]],","),1))</f>
        <v>678 Calle 5 de Febrero</v>
      </c>
      <c r="T119" s="42" t="str" cm="1">
        <f t="array" ref="T119">TRIM(INDEX(_xlfn.TEXTSPLIT(Table13[[#This Row],[Shipping Address]],","),2))</f>
        <v>Puebla</v>
      </c>
      <c r="U119" s="42" t="str" cm="1">
        <f t="array" ref="U119">TRIM(INDEX(_xlfn.TEXTSPLIT(Table13[[#This Row],[Shipping Address]],","),3))</f>
        <v>03230</v>
      </c>
      <c r="V119" s="23" t="s">
        <v>57</v>
      </c>
      <c r="W119" s="42" t="str" cm="1">
        <f t="array" ref="W119">_xlfn.XLOOKUP(Table13[[#This Row],[Country Code]],{"US","CA","MX","BR","GB","DE","FR","CN","IN","AU","ZA","JP"},{"United States","Canada","Mexico","Brazil","United Kingdom","Germany","France","China","India","Australia","South Africa","Japan"},"Other")</f>
        <v>Mexico</v>
      </c>
      <c r="X119" s="42" t="str" cm="1">
        <f t="array" ref="X119">_xlfn.XLOOKUP(Table13[[#This Row],[Country Code]],{"US","CA","MX","BR","GB","DE","FR","CN","IN","AU","ZA","JP"},{"North America","North America","North America","South America","Europe","Europe","Europe","Asia","Asia","Oceania","Africa","Asia"},"Other")</f>
        <v>North America</v>
      </c>
      <c r="Y119" s="23" t="s">
        <v>66</v>
      </c>
      <c r="Z119" s="33">
        <f>_xlfn.NUMBERVALUE(_xlfn.TEXTBEFORE(Table13[[#This Row],[Unit Price]]," "))</f>
        <v>5289</v>
      </c>
      <c r="AA119" s="23" t="str">
        <f>RIGHT(Table13[[#This Row],[Unit Price]],LEN(Table13[[#This Row],[Unit Price]])-FIND(" ",Table13[[#This Row],[Unit Price]]))</f>
        <v>MXN</v>
      </c>
      <c r="AB119" s="33" cm="1">
        <f t="array" ref="AB119">Table13[[#This Row],[Unit Price Value]]*_xlfn.XLOOKUP(Table13[[#This Row],[Unit Price Currency]],{"EUR","USD","GBP","BRL","CAD","CNY","AUD","ZAR","MXN","JPY","INR"},{1,0.86,1.15,0.15,0.63,0.12,0.56,0.05,0.05,0.01,0.01},NA())</f>
        <v>264.45</v>
      </c>
      <c r="AC119" s="32">
        <v>7</v>
      </c>
      <c r="AD119" s="32">
        <v>10</v>
      </c>
      <c r="AE119" s="20">
        <f>IF(Table13[[#This Row],[Discount (%)]]="",CHOOSE(MATCH(MOD(Table13[[#This Row],[Sales Rep ID]],3)+1,{1,2,3},0),5,10,15),Table13[[#This Row],[Discount (%)]])</f>
        <v>10</v>
      </c>
      <c r="AF119" s="38">
        <f>Table13[[#This Row],[Unit Price (EUR)]]*Table13[[#This Row],[Units Sold]]</f>
        <v>1851.1499999999999</v>
      </c>
      <c r="AG119" s="38">
        <f>Table13[[#This Row],[Gross Price (Euro)]]*Table13[[#This Row],[Calc Discount (%)]]/100</f>
        <v>185.11500000000001</v>
      </c>
      <c r="AH119" s="39">
        <f>Table13[[#This Row],[Gross Price (Euro)]]-Table13[[#This Row],[Discount Value (Euro)]]</f>
        <v>1666.0349999999999</v>
      </c>
    </row>
    <row r="120" spans="1:34" x14ac:dyDescent="0.25">
      <c r="A120" s="43">
        <v>119</v>
      </c>
      <c r="B120" s="23" t="s">
        <v>59</v>
      </c>
      <c r="C120" s="23" t="s">
        <v>60</v>
      </c>
      <c r="D120" s="23" t="str">
        <f>_xlfn.TEXTJOIN(" ",,Table13[[#This Row],[Rep First Name]],Table13[[#This Row],[Rep Last Name]])</f>
        <v>Théo Bernard</v>
      </c>
      <c r="E120" s="23" t="s">
        <v>76</v>
      </c>
      <c r="F120" s="23" t="str">
        <f>IF(LEN(Table13[[#This Row],[Month]]) &gt; 0, LEFT(Table13[[#This Row],[Month]], 3), "")</f>
        <v>May</v>
      </c>
      <c r="G120" s="23" t="s">
        <v>27</v>
      </c>
      <c r="H120" s="23" t="s">
        <v>32</v>
      </c>
      <c r="I120" s="44">
        <f>IF(ISNUMBER(SEARCH("km/h",Table13[[#This Row],[Min Speed]])),VALUE(_xlfn.TEXTBEFORE(Table13[[#This Row],[Min Speed]]," ")),ROUND(VALUE(_xlfn.TEXTBEFORE(Table13[[#This Row],[Min Speed]]," "))*1.60934,0))</f>
        <v>30</v>
      </c>
      <c r="J120" s="44">
        <f>ROUND(IF(ISNUMBER(SEARCH("km/h",Table13[[#This Row],[Min Speed]])),Table13[[#This Row],[Min Speed (km/h)]]*0.621371,VALUE(_xlfn.TEXTBEFORE(Table13[[#This Row],[Min Speed]]," "))),0)</f>
        <v>19</v>
      </c>
      <c r="K120" s="23" t="s">
        <v>25</v>
      </c>
      <c r="L120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20" s="44">
        <f>IF(ISNUMBER(SEARCH("mph",Table13[[#This Row],[Max Speed]])),--_xlfn.TEXTBEFORE(Table13[[#This Row],[Max Speed]]," mph"),ROUND(--_xlfn.TEXTBEFORE(Table13[[#This Row],[Max Speed]]," km/h")*0.621371,0))</f>
        <v>150</v>
      </c>
      <c r="N120" s="23" t="s">
        <v>26</v>
      </c>
      <c r="O12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20" s="42" t="str">
        <f>TEXT(Table13[[#This Row],[Min Speed (km/h)]],"0")&amp;" - "&amp;TEXT(Table13[[#This Row],[Max Speed (km/h)]],"0")&amp;""</f>
        <v>30 - 241</v>
      </c>
      <c r="Q120" s="46">
        <f>IF(Table13[[#This Row],[Distance (km)]]="", AVERAGE(Table13[Distance (km)]), Table13[[#This Row],[Distance (km)]])</f>
        <v>482.80200000000002</v>
      </c>
      <c r="R120" s="23" t="s">
        <v>69</v>
      </c>
      <c r="S120" s="42" t="str" cm="1">
        <f t="array" ref="S120">TRIM(INDEX(_xlfn.TEXTSPLIT(Table13[[#This Row],[Shipping Address]],","),1))</f>
        <v>123 Rua da Liberdade</v>
      </c>
      <c r="T120" s="42" t="str" cm="1">
        <f t="array" ref="T120">TRIM(INDEX(_xlfn.TEXTSPLIT(Table13[[#This Row],[Shipping Address]],","),2))</f>
        <v>São Paulo</v>
      </c>
      <c r="U120" s="42" t="str" cm="1">
        <f t="array" ref="U120">TRIM(INDEX(_xlfn.TEXTSPLIT(Table13[[#This Row],[Shipping Address]],","),3))</f>
        <v>01234-000</v>
      </c>
      <c r="V120" s="23" t="s">
        <v>70</v>
      </c>
      <c r="W120" s="42" t="str" cm="1">
        <f t="array" ref="W120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20" s="42" t="str" cm="1">
        <f t="array" ref="X120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20" s="23" t="s">
        <v>71</v>
      </c>
      <c r="Z120" s="33">
        <f>_xlfn.NUMBERVALUE(_xlfn.TEXTBEFORE(Table13[[#This Row],[Unit Price]]," "))</f>
        <v>758</v>
      </c>
      <c r="AA120" s="23" t="str">
        <f>RIGHT(Table13[[#This Row],[Unit Price]],LEN(Table13[[#This Row],[Unit Price]])-FIND(" ",Table13[[#This Row],[Unit Price]]))</f>
        <v>BRL</v>
      </c>
      <c r="AB120" s="33" cm="1">
        <f t="array" ref="AB120">Table13[[#This Row],[Unit Price Value]]*_xlfn.XLOOKUP(Table13[[#This Row],[Unit Price Currency]],{"EUR","USD","GBP","BRL","CAD","CNY","AUD","ZAR","MXN","JPY","INR"},{1,0.86,1.15,0.15,0.63,0.12,0.56,0.05,0.05,0.01,0.01},NA())</f>
        <v>113.7</v>
      </c>
      <c r="AC120" s="32">
        <v>19</v>
      </c>
      <c r="AD120" s="32"/>
      <c r="AE120" s="20">
        <f>IF(Table13[[#This Row],[Discount (%)]]="",CHOOSE(MATCH(MOD(Table13[[#This Row],[Sales Rep ID]],3)+1,{1,2,3},0),5,10,15),Table13[[#This Row],[Discount (%)]])</f>
        <v>15</v>
      </c>
      <c r="AF120" s="38">
        <f>Table13[[#This Row],[Unit Price (EUR)]]*Table13[[#This Row],[Units Sold]]</f>
        <v>2160.3000000000002</v>
      </c>
      <c r="AG120" s="38">
        <f>Table13[[#This Row],[Gross Price (Euro)]]*Table13[[#This Row],[Calc Discount (%)]]/100</f>
        <v>324.04500000000002</v>
      </c>
      <c r="AH120" s="39">
        <f>Table13[[#This Row],[Gross Price (Euro)]]-Table13[[#This Row],[Discount Value (Euro)]]</f>
        <v>1836.2550000000001</v>
      </c>
    </row>
    <row r="121" spans="1:34" x14ac:dyDescent="0.25">
      <c r="A121" s="43">
        <v>120</v>
      </c>
      <c r="B121" s="23" t="s">
        <v>59</v>
      </c>
      <c r="C121" s="23" t="s">
        <v>60</v>
      </c>
      <c r="D121" s="23" t="str">
        <f>_xlfn.TEXTJOIN(" ",,Table13[[#This Row],[Rep First Name]],Table13[[#This Row],[Rep Last Name]])</f>
        <v>Théo Bernard</v>
      </c>
      <c r="E121" s="23" t="s">
        <v>31</v>
      </c>
      <c r="F121" s="23" t="str">
        <f>IF(LEN(Table13[[#This Row],[Month]]) &gt; 0, LEFT(Table13[[#This Row],[Month]], 3), "")</f>
        <v>Jan</v>
      </c>
      <c r="G121" s="23" t="s">
        <v>27</v>
      </c>
      <c r="H121" s="23" t="s">
        <v>24</v>
      </c>
      <c r="I121" s="44">
        <f>IF(ISNUMBER(SEARCH("km/h",Table13[[#This Row],[Min Speed]])),VALUE(_xlfn.TEXTBEFORE(Table13[[#This Row],[Min Speed]]," ")),ROUND(VALUE(_xlfn.TEXTBEFORE(Table13[[#This Row],[Min Speed]]," "))*1.60934,0))</f>
        <v>80</v>
      </c>
      <c r="J121" s="44">
        <f>ROUND(IF(ISNUMBER(SEARCH("km/h",Table13[[#This Row],[Min Speed]])),Table13[[#This Row],[Min Speed (km/h)]]*0.621371,VALUE(_xlfn.TEXTBEFORE(Table13[[#This Row],[Min Speed]]," "))),0)</f>
        <v>50</v>
      </c>
      <c r="K121" s="23" t="s">
        <v>25</v>
      </c>
      <c r="L121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21" s="44">
        <f>IF(ISNUMBER(SEARCH("mph",Table13[[#This Row],[Max Speed]])),--_xlfn.TEXTBEFORE(Table13[[#This Row],[Max Speed]]," mph"),ROUND(--_xlfn.TEXTBEFORE(Table13[[#This Row],[Max Speed]]," km/h")*0.621371,0))</f>
        <v>150</v>
      </c>
      <c r="N121" s="23" t="s">
        <v>68</v>
      </c>
      <c r="O12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21" s="42" t="str">
        <f>TEXT(Table13[[#This Row],[Min Speed (km/h)]],"0")&amp;" - "&amp;TEXT(Table13[[#This Row],[Max Speed (km/h)]],"0")&amp;""</f>
        <v>80 - 241</v>
      </c>
      <c r="Q121" s="46">
        <f>IF(Table13[[#This Row],[Distance (km)]]="", AVERAGE(Table13[Distance (km)]), Table13[[#This Row],[Distance (km)]])</f>
        <v>600</v>
      </c>
      <c r="R121" s="23" t="s">
        <v>72</v>
      </c>
      <c r="S121" s="42" t="str" cm="1">
        <f t="array" ref="S121">TRIM(INDEX(_xlfn.TEXTSPLIT(Table13[[#This Row],[Shipping Address]],","),1))</f>
        <v>456 Avenida Paulista</v>
      </c>
      <c r="T121" s="42" t="str" cm="1">
        <f t="array" ref="T121">TRIM(INDEX(_xlfn.TEXTSPLIT(Table13[[#This Row],[Shipping Address]],","),2))</f>
        <v>Rio de Janeiro</v>
      </c>
      <c r="U121" s="42" t="str" cm="1">
        <f t="array" ref="U121">TRIM(INDEX(_xlfn.TEXTSPLIT(Table13[[#This Row],[Shipping Address]],","),3))</f>
        <v>01311-000</v>
      </c>
      <c r="V121" s="23" t="s">
        <v>70</v>
      </c>
      <c r="W121" s="42" t="str" cm="1">
        <f t="array" ref="W121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21" s="42" t="str" cm="1">
        <f t="array" ref="X121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21" s="23" t="s">
        <v>73</v>
      </c>
      <c r="Z121" s="33">
        <f>_xlfn.NUMBERVALUE(_xlfn.TEXTBEFORE(Table13[[#This Row],[Unit Price]]," "))</f>
        <v>1012</v>
      </c>
      <c r="AA121" s="23" t="str">
        <f>RIGHT(Table13[[#This Row],[Unit Price]],LEN(Table13[[#This Row],[Unit Price]])-FIND(" ",Table13[[#This Row],[Unit Price]]))</f>
        <v>BRL</v>
      </c>
      <c r="AB121" s="33" cm="1">
        <f t="array" ref="AB121">Table13[[#This Row],[Unit Price Value]]*_xlfn.XLOOKUP(Table13[[#This Row],[Unit Price Currency]],{"EUR","USD","GBP","BRL","CAD","CNY","AUD","ZAR","MXN","JPY","INR"},{1,0.86,1.15,0.15,0.63,0.12,0.56,0.05,0.05,0.01,0.01},NA())</f>
        <v>151.79999999999998</v>
      </c>
      <c r="AC121" s="32">
        <v>12</v>
      </c>
      <c r="AD121" s="32"/>
      <c r="AE121" s="20">
        <f>IF(Table13[[#This Row],[Discount (%)]]="",CHOOSE(MATCH(MOD(Table13[[#This Row],[Sales Rep ID]],3)+1,{1,2,3},0),5,10,15),Table13[[#This Row],[Discount (%)]])</f>
        <v>5</v>
      </c>
      <c r="AF121" s="38">
        <f>Table13[[#This Row],[Unit Price (EUR)]]*Table13[[#This Row],[Units Sold]]</f>
        <v>1821.6</v>
      </c>
      <c r="AG121" s="38">
        <f>Table13[[#This Row],[Gross Price (Euro)]]*Table13[[#This Row],[Calc Discount (%)]]/100</f>
        <v>91.08</v>
      </c>
      <c r="AH121" s="39">
        <f>Table13[[#This Row],[Gross Price (Euro)]]-Table13[[#This Row],[Discount Value (Euro)]]</f>
        <v>1730.52</v>
      </c>
    </row>
    <row r="122" spans="1:34" x14ac:dyDescent="0.25">
      <c r="A122" s="43">
        <v>121</v>
      </c>
      <c r="B122" s="23" t="s">
        <v>13</v>
      </c>
      <c r="C122" s="23" t="s">
        <v>14</v>
      </c>
      <c r="D122" s="23" t="str">
        <f>_xlfn.TEXTJOIN(" ",,Table13[[#This Row],[Rep First Name]],Table13[[#This Row],[Rep Last Name]])</f>
        <v>Sanya Joshi</v>
      </c>
      <c r="E122" s="23" t="s">
        <v>76</v>
      </c>
      <c r="F122" s="23" t="str">
        <f>IF(LEN(Table13[[#This Row],[Month]]) &gt; 0, LEFT(Table13[[#This Row],[Month]], 3), "")</f>
        <v>May</v>
      </c>
      <c r="G122" s="23" t="s">
        <v>16</v>
      </c>
      <c r="H122" s="23" t="s">
        <v>32</v>
      </c>
      <c r="I122" s="44">
        <f>IF(ISNUMBER(SEARCH("km/h",Table13[[#This Row],[Min Speed]])),VALUE(_xlfn.TEXTBEFORE(Table13[[#This Row],[Min Speed]]," ")),ROUND(VALUE(_xlfn.TEXTBEFORE(Table13[[#This Row],[Min Speed]]," "))*1.60934,0))</f>
        <v>30</v>
      </c>
      <c r="J122" s="44">
        <f>ROUND(IF(ISNUMBER(SEARCH("km/h",Table13[[#This Row],[Min Speed]])),Table13[[#This Row],[Min Speed (km/h)]]*0.621371,VALUE(_xlfn.TEXTBEFORE(Table13[[#This Row],[Min Speed]]," "))),0)</f>
        <v>19</v>
      </c>
      <c r="K122" s="23" t="s">
        <v>55</v>
      </c>
      <c r="L122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22" s="44">
        <f>IF(ISNUMBER(SEARCH("mph",Table13[[#This Row],[Max Speed]])),--_xlfn.TEXTBEFORE(Table13[[#This Row],[Max Speed]]," mph"),ROUND(--_xlfn.TEXTBEFORE(Table13[[#This Row],[Max Speed]]," km/h")*0.621371,0))</f>
        <v>100</v>
      </c>
      <c r="N122" s="23" t="s">
        <v>19</v>
      </c>
      <c r="O12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22" s="42" t="str">
        <f>TEXT(Table13[[#This Row],[Min Speed (km/h)]],"0")&amp;" - "&amp;TEXT(Table13[[#This Row],[Max Speed (km/h)]],"0")&amp;""</f>
        <v>30 - 161</v>
      </c>
      <c r="Q122" s="46">
        <f>IF(Table13[[#This Row],[Distance (km)]]="", AVERAGE(Table13[Distance (km)]), Table13[[#This Row],[Distance (km)]])</f>
        <v>500</v>
      </c>
      <c r="R122" s="23" t="s">
        <v>74</v>
      </c>
      <c r="S122" s="42" t="str" cm="1">
        <f t="array" ref="S122">TRIM(INDEX(_xlfn.TEXTSPLIT(Table13[[#This Row],[Shipping Address]],","),1))</f>
        <v>789 Rua dos Três Irmãos</v>
      </c>
      <c r="T122" s="42" t="str" cm="1">
        <f t="array" ref="T122">TRIM(INDEX(_xlfn.TEXTSPLIT(Table13[[#This Row],[Shipping Address]],","),2))</f>
        <v>Brasília</v>
      </c>
      <c r="U122" s="42" t="str" cm="1">
        <f t="array" ref="U122">TRIM(INDEX(_xlfn.TEXTSPLIT(Table13[[#This Row],[Shipping Address]],","),3))</f>
        <v>05432-000</v>
      </c>
      <c r="V122" s="23" t="s">
        <v>70</v>
      </c>
      <c r="W122" s="42" t="str" cm="1">
        <f t="array" ref="W122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22" s="42" t="str" cm="1">
        <f t="array" ref="X122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22" s="23" t="s">
        <v>75</v>
      </c>
      <c r="Z122" s="33">
        <f>_xlfn.NUMBERVALUE(_xlfn.TEXTBEFORE(Table13[[#This Row],[Unit Price]]," "))</f>
        <v>1265</v>
      </c>
      <c r="AA122" s="23" t="str">
        <f>RIGHT(Table13[[#This Row],[Unit Price]],LEN(Table13[[#This Row],[Unit Price]])-FIND(" ",Table13[[#This Row],[Unit Price]]))</f>
        <v>BRL</v>
      </c>
      <c r="AB122" s="33" cm="1">
        <f t="array" ref="AB122">Table13[[#This Row],[Unit Price Value]]*_xlfn.XLOOKUP(Table13[[#This Row],[Unit Price Currency]],{"EUR","USD","GBP","BRL","CAD","CNY","AUD","ZAR","MXN","JPY","INR"},{1,0.86,1.15,0.15,0.63,0.12,0.56,0.05,0.05,0.01,0.01},NA())</f>
        <v>189.75</v>
      </c>
      <c r="AC122" s="32">
        <v>10</v>
      </c>
      <c r="AD122" s="32">
        <v>10</v>
      </c>
      <c r="AE122" s="20">
        <f>IF(Table13[[#This Row],[Discount (%)]]="",CHOOSE(MATCH(MOD(Table13[[#This Row],[Sales Rep ID]],3)+1,{1,2,3},0),5,10,15),Table13[[#This Row],[Discount (%)]])</f>
        <v>10</v>
      </c>
      <c r="AF122" s="38">
        <f>Table13[[#This Row],[Unit Price (EUR)]]*Table13[[#This Row],[Units Sold]]</f>
        <v>1897.5</v>
      </c>
      <c r="AG122" s="38">
        <f>Table13[[#This Row],[Gross Price (Euro)]]*Table13[[#This Row],[Calc Discount (%)]]/100</f>
        <v>189.75</v>
      </c>
      <c r="AH122" s="39">
        <f>Table13[[#This Row],[Gross Price (Euro)]]-Table13[[#This Row],[Discount Value (Euro)]]</f>
        <v>1707.75</v>
      </c>
    </row>
    <row r="123" spans="1:34" x14ac:dyDescent="0.25">
      <c r="A123" s="43">
        <v>122</v>
      </c>
      <c r="B123" s="23" t="s">
        <v>13</v>
      </c>
      <c r="C123" s="23" t="s">
        <v>14</v>
      </c>
      <c r="D123" s="23" t="str">
        <f>_xlfn.TEXTJOIN(" ",,Table13[[#This Row],[Rep First Name]],Table13[[#This Row],[Rep Last Name]])</f>
        <v>Sanya Joshi</v>
      </c>
      <c r="E123" s="23" t="s">
        <v>76</v>
      </c>
      <c r="F123" s="23" t="str">
        <f>IF(LEN(Table13[[#This Row],[Month]]) &gt; 0, LEFT(Table13[[#This Row],[Month]], 3), "")</f>
        <v>May</v>
      </c>
      <c r="G123" s="23" t="s">
        <v>43</v>
      </c>
      <c r="H123" s="23" t="s">
        <v>17</v>
      </c>
      <c r="I123" s="44">
        <f>IF(ISNUMBER(SEARCH("km/h",Table13[[#This Row],[Min Speed]])),VALUE(_xlfn.TEXTBEFORE(Table13[[#This Row],[Min Speed]]," ")),ROUND(VALUE(_xlfn.TEXTBEFORE(Table13[[#This Row],[Min Speed]]," "))*1.60934,0))</f>
        <v>64</v>
      </c>
      <c r="J123" s="44">
        <f>ROUND(IF(ISNUMBER(SEARCH("km/h",Table13[[#This Row],[Min Speed]])),Table13[[#This Row],[Min Speed (km/h)]]*0.621371,VALUE(_xlfn.TEXTBEFORE(Table13[[#This Row],[Min Speed]]," "))),0)</f>
        <v>40</v>
      </c>
      <c r="K123" s="23" t="s">
        <v>55</v>
      </c>
      <c r="L123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23" s="44">
        <f>IF(ISNUMBER(SEARCH("mph",Table13[[#This Row],[Max Speed]])),--_xlfn.TEXTBEFORE(Table13[[#This Row],[Max Speed]]," mph"),ROUND(--_xlfn.TEXTBEFORE(Table13[[#This Row],[Max Speed]]," km/h")*0.621371,0))</f>
        <v>100</v>
      </c>
      <c r="N123" s="23" t="s">
        <v>28</v>
      </c>
      <c r="O12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23" s="42" t="str">
        <f>TEXT(Table13[[#This Row],[Min Speed (km/h)]],"0")&amp;" - "&amp;TEXT(Table13[[#This Row],[Max Speed (km/h)]],"0")&amp;""</f>
        <v>64 - 161</v>
      </c>
      <c r="Q123" s="46">
        <f>IF(Table13[[#This Row],[Distance (km)]]="", AVERAGE(Table13[Distance (km)]), Table13[[#This Row],[Distance (km)]])</f>
        <v>241.40100000000001</v>
      </c>
      <c r="R123" s="23" t="s">
        <v>77</v>
      </c>
      <c r="S123" s="42" t="str" cm="1">
        <f t="array" ref="S123">TRIM(INDEX(_xlfn.TEXTSPLIT(Table13[[#This Row],[Shipping Address]],","),1))</f>
        <v>321 Rua das Flores</v>
      </c>
      <c r="T123" s="42" t="str" cm="1">
        <f t="array" ref="T123">TRIM(INDEX(_xlfn.TEXTSPLIT(Table13[[#This Row],[Shipping Address]],","),2))</f>
        <v>Belo Horizonte</v>
      </c>
      <c r="U123" s="42" t="str" cm="1">
        <f t="array" ref="U123">TRIM(INDEX(_xlfn.TEXTSPLIT(Table13[[#This Row],[Shipping Address]],","),3))</f>
        <v>01235-000</v>
      </c>
      <c r="V123" s="23" t="s">
        <v>70</v>
      </c>
      <c r="W123" s="42" t="str" cm="1">
        <f t="array" ref="W123">_xlfn.XLOOKUP(Table13[[#This Row],[Country Code]],{"US","CA","MX","BR","GB","DE","FR","CN","IN","AU","ZA","JP"},{"United States","Canada","Mexico","Brazil","United Kingdom","Germany","France","China","India","Australia","South Africa","Japan"},"Other")</f>
        <v>Brazil</v>
      </c>
      <c r="X123" s="42" t="str" cm="1">
        <f t="array" ref="X123">_xlfn.XLOOKUP(Table13[[#This Row],[Country Code]],{"US","CA","MX","BR","GB","DE","FR","CN","IN","AU","ZA","JP"},{"North America","North America","North America","South America","Europe","Europe","Europe","Asia","Asia","Oceania","Africa","Asia"},"Other")</f>
        <v>South America</v>
      </c>
      <c r="Y123" s="23" t="s">
        <v>78</v>
      </c>
      <c r="Z123" s="33">
        <f>_xlfn.NUMBERVALUE(_xlfn.TEXTBEFORE(Table13[[#This Row],[Unit Price]]," "))</f>
        <v>1512</v>
      </c>
      <c r="AA123" s="23" t="str">
        <f>RIGHT(Table13[[#This Row],[Unit Price]],LEN(Table13[[#This Row],[Unit Price]])-FIND(" ",Table13[[#This Row],[Unit Price]]))</f>
        <v>BRL</v>
      </c>
      <c r="AB123" s="33" cm="1">
        <f t="array" ref="AB123">Table13[[#This Row],[Unit Price Value]]*_xlfn.XLOOKUP(Table13[[#This Row],[Unit Price Currency]],{"EUR","USD","GBP","BRL","CAD","CNY","AUD","ZAR","MXN","JPY","INR"},{1,0.86,1.15,0.15,0.63,0.12,0.56,0.05,0.05,0.01,0.01},NA())</f>
        <v>226.79999999999998</v>
      </c>
      <c r="AC123" s="32">
        <v>5</v>
      </c>
      <c r="AD123" s="32">
        <v>5</v>
      </c>
      <c r="AE123" s="20">
        <f>IF(Table13[[#This Row],[Discount (%)]]="",CHOOSE(MATCH(MOD(Table13[[#This Row],[Sales Rep ID]],3)+1,{1,2,3},0),5,10,15),Table13[[#This Row],[Discount (%)]])</f>
        <v>5</v>
      </c>
      <c r="AF123" s="38">
        <f>Table13[[#This Row],[Unit Price (EUR)]]*Table13[[#This Row],[Units Sold]]</f>
        <v>1134</v>
      </c>
      <c r="AG123" s="38">
        <f>Table13[[#This Row],[Gross Price (Euro)]]*Table13[[#This Row],[Calc Discount (%)]]/100</f>
        <v>56.7</v>
      </c>
      <c r="AH123" s="39">
        <f>Table13[[#This Row],[Gross Price (Euro)]]-Table13[[#This Row],[Discount Value (Euro)]]</f>
        <v>1077.3</v>
      </c>
    </row>
    <row r="124" spans="1:34" x14ac:dyDescent="0.25">
      <c r="A124" s="43">
        <v>123</v>
      </c>
      <c r="B124" s="23" t="s">
        <v>13</v>
      </c>
      <c r="C124" s="23" t="s">
        <v>14</v>
      </c>
      <c r="D124" s="23" t="str">
        <f>_xlfn.TEXTJOIN(" ",,Table13[[#This Row],[Rep First Name]],Table13[[#This Row],[Rep Last Name]])</f>
        <v>Sanya Joshi</v>
      </c>
      <c r="E124" s="23" t="s">
        <v>23</v>
      </c>
      <c r="F124" s="23" t="str">
        <f>IF(LEN(Table13[[#This Row],[Month]]) &gt; 0, LEFT(Table13[[#This Row],[Month]], 3), "")</f>
        <v>Mar</v>
      </c>
      <c r="G124" s="23" t="s">
        <v>27</v>
      </c>
      <c r="H124" s="23" t="s">
        <v>17</v>
      </c>
      <c r="I124" s="44">
        <f>IF(ISNUMBER(SEARCH("km/h",Table13[[#This Row],[Min Speed]])),VALUE(_xlfn.TEXTBEFORE(Table13[[#This Row],[Min Speed]]," ")),ROUND(VALUE(_xlfn.TEXTBEFORE(Table13[[#This Row],[Min Speed]]," "))*1.60934,0))</f>
        <v>64</v>
      </c>
      <c r="J124" s="44">
        <f>ROUND(IF(ISNUMBER(SEARCH("km/h",Table13[[#This Row],[Min Speed]])),Table13[[#This Row],[Min Speed (km/h)]]*0.621371,VALUE(_xlfn.TEXTBEFORE(Table13[[#This Row],[Min Speed]]," "))),0)</f>
        <v>40</v>
      </c>
      <c r="K124" s="23" t="s">
        <v>55</v>
      </c>
      <c r="L124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24" s="44">
        <f>IF(ISNUMBER(SEARCH("mph",Table13[[#This Row],[Max Speed]])),--_xlfn.TEXTBEFORE(Table13[[#This Row],[Max Speed]]," mph"),ROUND(--_xlfn.TEXTBEFORE(Table13[[#This Row],[Max Speed]]," km/h")*0.621371,0))</f>
        <v>100</v>
      </c>
      <c r="N124" s="23" t="s">
        <v>28</v>
      </c>
      <c r="O12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24" s="42" t="str">
        <f>TEXT(Table13[[#This Row],[Min Speed (km/h)]],"0")&amp;" - "&amp;TEXT(Table13[[#This Row],[Max Speed (km/h)]],"0")&amp;""</f>
        <v>64 - 161</v>
      </c>
      <c r="Q124" s="46">
        <f>IF(Table13[[#This Row],[Distance (km)]]="", AVERAGE(Table13[Distance (km)]), Table13[[#This Row],[Distance (km)]])</f>
        <v>241.40100000000001</v>
      </c>
      <c r="R124" s="23" t="s">
        <v>79</v>
      </c>
      <c r="S124" s="42" t="str" cm="1">
        <f t="array" ref="S124">TRIM(INDEX(_xlfn.TEXTSPLIT(Table13[[#This Row],[Shipping Address]],","),1))</f>
        <v>12 High Street</v>
      </c>
      <c r="T124" s="42" t="str" cm="1">
        <f t="array" ref="T124">TRIM(INDEX(_xlfn.TEXTSPLIT(Table13[[#This Row],[Shipping Address]],","),2))</f>
        <v>London</v>
      </c>
      <c r="U124" s="42" t="str" cm="1">
        <f t="array" ref="U124">TRIM(INDEX(_xlfn.TEXTSPLIT(Table13[[#This Row],[Shipping Address]],","),3))</f>
        <v>SW1A 1AA</v>
      </c>
      <c r="V124" s="23" t="s">
        <v>80</v>
      </c>
      <c r="W124" s="42" t="str" cm="1">
        <f t="array" ref="W124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124" s="42" t="str" cm="1">
        <f t="array" ref="X124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24" s="23" t="s">
        <v>81</v>
      </c>
      <c r="Z124" s="33">
        <f>_xlfn.NUMBERVALUE(_xlfn.TEXTBEFORE(Table13[[#This Row],[Unit Price]]," "))</f>
        <v>117</v>
      </c>
      <c r="AA124" s="23" t="str">
        <f>RIGHT(Table13[[#This Row],[Unit Price]],LEN(Table13[[#This Row],[Unit Price]])-FIND(" ",Table13[[#This Row],[Unit Price]]))</f>
        <v>GBP</v>
      </c>
      <c r="AB124" s="33" cm="1">
        <f t="array" ref="AB124">Table13[[#This Row],[Unit Price Value]]*_xlfn.XLOOKUP(Table13[[#This Row],[Unit Price Currency]],{"EUR","USD","GBP","BRL","CAD","CNY","AUD","ZAR","MXN","JPY","INR"},{1,0.86,1.15,0.15,0.63,0.12,0.56,0.05,0.05,0.01,0.01},NA())</f>
        <v>134.54999999999998</v>
      </c>
      <c r="AC124" s="32">
        <v>24</v>
      </c>
      <c r="AD124" s="32">
        <v>15</v>
      </c>
      <c r="AE124" s="20">
        <f>IF(Table13[[#This Row],[Discount (%)]]="",CHOOSE(MATCH(MOD(Table13[[#This Row],[Sales Rep ID]],3)+1,{1,2,3},0),5,10,15),Table13[[#This Row],[Discount (%)]])</f>
        <v>15</v>
      </c>
      <c r="AF124" s="38">
        <f>Table13[[#This Row],[Unit Price (EUR)]]*Table13[[#This Row],[Units Sold]]</f>
        <v>3229.2</v>
      </c>
      <c r="AG124" s="38">
        <f>Table13[[#This Row],[Gross Price (Euro)]]*Table13[[#This Row],[Calc Discount (%)]]/100</f>
        <v>484.38</v>
      </c>
      <c r="AH124" s="39">
        <f>Table13[[#This Row],[Gross Price (Euro)]]-Table13[[#This Row],[Discount Value (Euro)]]</f>
        <v>2744.8199999999997</v>
      </c>
    </row>
    <row r="125" spans="1:34" x14ac:dyDescent="0.25">
      <c r="A125" s="43">
        <v>124</v>
      </c>
      <c r="B125" s="23" t="s">
        <v>35</v>
      </c>
      <c r="C125" s="23" t="s">
        <v>36</v>
      </c>
      <c r="D125" s="23" t="str">
        <f>_xlfn.TEXTJOIN(" ",,Table13[[#This Row],[Rep First Name]],Table13[[#This Row],[Rep Last Name]])</f>
        <v>Fang Liu</v>
      </c>
      <c r="E125" s="23" t="s">
        <v>37</v>
      </c>
      <c r="F125" s="23" t="str">
        <f>IF(LEN(Table13[[#This Row],[Month]]) &gt; 0, LEFT(Table13[[#This Row],[Month]], 3), "")</f>
        <v>Feb</v>
      </c>
      <c r="G125" s="23" t="s">
        <v>43</v>
      </c>
      <c r="H125" s="23" t="s">
        <v>17</v>
      </c>
      <c r="I125" s="44">
        <f>IF(ISNUMBER(SEARCH("km/h",Table13[[#This Row],[Min Speed]])),VALUE(_xlfn.TEXTBEFORE(Table13[[#This Row],[Min Speed]]," ")),ROUND(VALUE(_xlfn.TEXTBEFORE(Table13[[#This Row],[Min Speed]]," "))*1.60934,0))</f>
        <v>64</v>
      </c>
      <c r="J125" s="44">
        <f>ROUND(IF(ISNUMBER(SEARCH("km/h",Table13[[#This Row],[Min Speed]])),Table13[[#This Row],[Min Speed (km/h)]]*0.621371,VALUE(_xlfn.TEXTBEFORE(Table13[[#This Row],[Min Speed]]," "))),0)</f>
        <v>40</v>
      </c>
      <c r="K125" s="23" t="s">
        <v>44</v>
      </c>
      <c r="L125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25" s="44">
        <f>IF(ISNUMBER(SEARCH("mph",Table13[[#This Row],[Max Speed]])),--_xlfn.TEXTBEFORE(Table13[[#This Row],[Max Speed]]," mph"),ROUND(--_xlfn.TEXTBEFORE(Table13[[#This Row],[Max Speed]]," km/h")*0.621371,0))</f>
        <v>50</v>
      </c>
      <c r="N125" s="23" t="s">
        <v>19</v>
      </c>
      <c r="O12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25" s="42" t="str">
        <f>TEXT(Table13[[#This Row],[Min Speed (km/h)]],"0")&amp;" - "&amp;TEXT(Table13[[#This Row],[Max Speed (km/h)]],"0")&amp;""</f>
        <v>64 - 80</v>
      </c>
      <c r="Q125" s="46">
        <f>IF(Table13[[#This Row],[Distance (km)]]="", AVERAGE(Table13[Distance (km)]), Table13[[#This Row],[Distance (km)]])</f>
        <v>500</v>
      </c>
      <c r="R125" s="23" t="s">
        <v>82</v>
      </c>
      <c r="S125" s="42" t="str" cm="1">
        <f t="array" ref="S125">TRIM(INDEX(_xlfn.TEXTSPLIT(Table13[[#This Row],[Shipping Address]],","),1))</f>
        <v>34 King’s Road</v>
      </c>
      <c r="T125" s="42" t="str" cm="1">
        <f t="array" ref="T125">TRIM(INDEX(_xlfn.TEXTSPLIT(Table13[[#This Row],[Shipping Address]],","),2))</f>
        <v>Liverpool</v>
      </c>
      <c r="U125" s="42" t="str" cm="1">
        <f t="array" ref="U125">TRIM(INDEX(_xlfn.TEXTSPLIT(Table13[[#This Row],[Shipping Address]],","),3))</f>
        <v>W8 4PX</v>
      </c>
      <c r="V125" s="23" t="s">
        <v>80</v>
      </c>
      <c r="W125" s="42" t="str" cm="1">
        <f t="array" ref="W125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125" s="42" t="str" cm="1">
        <f t="array" ref="X125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25" s="23" t="s">
        <v>83</v>
      </c>
      <c r="Z125" s="33">
        <f>_xlfn.NUMBERVALUE(_xlfn.TEXTBEFORE(Table13[[#This Row],[Unit Price]]," "))</f>
        <v>156</v>
      </c>
      <c r="AA125" s="23" t="str">
        <f>RIGHT(Table13[[#This Row],[Unit Price]],LEN(Table13[[#This Row],[Unit Price]])-FIND(" ",Table13[[#This Row],[Unit Price]]))</f>
        <v>GBP</v>
      </c>
      <c r="AB125" s="33" cm="1">
        <f t="array" ref="AB125">Table13[[#This Row],[Unit Price Value]]*_xlfn.XLOOKUP(Table13[[#This Row],[Unit Price Currency]],{"EUR","USD","GBP","BRL","CAD","CNY","AUD","ZAR","MXN","JPY","INR"},{1,0.86,1.15,0.15,0.63,0.12,0.56,0.05,0.05,0.01,0.01},NA())</f>
        <v>179.39999999999998</v>
      </c>
      <c r="AC125" s="32">
        <v>18</v>
      </c>
      <c r="AD125" s="32"/>
      <c r="AE125" s="20">
        <f>IF(Table13[[#This Row],[Discount (%)]]="",CHOOSE(MATCH(MOD(Table13[[#This Row],[Sales Rep ID]],3)+1,{1,2,3},0),5,10,15),Table13[[#This Row],[Discount (%)]])</f>
        <v>10</v>
      </c>
      <c r="AF125" s="38">
        <f>Table13[[#This Row],[Unit Price (EUR)]]*Table13[[#This Row],[Units Sold]]</f>
        <v>3229.2</v>
      </c>
      <c r="AG125" s="38">
        <f>Table13[[#This Row],[Gross Price (Euro)]]*Table13[[#This Row],[Calc Discount (%)]]/100</f>
        <v>322.92</v>
      </c>
      <c r="AH125" s="39">
        <f>Table13[[#This Row],[Gross Price (Euro)]]-Table13[[#This Row],[Discount Value (Euro)]]</f>
        <v>2906.2799999999997</v>
      </c>
    </row>
    <row r="126" spans="1:34" x14ac:dyDescent="0.25">
      <c r="A126" s="43">
        <v>125</v>
      </c>
      <c r="B126" s="23" t="s">
        <v>35</v>
      </c>
      <c r="C126" s="23" t="s">
        <v>36</v>
      </c>
      <c r="D126" s="23" t="str">
        <f>_xlfn.TEXTJOIN(" ",,Table13[[#This Row],[Rep First Name]],Table13[[#This Row],[Rep Last Name]])</f>
        <v>Fang Liu</v>
      </c>
      <c r="E126" s="23" t="s">
        <v>37</v>
      </c>
      <c r="F126" s="23" t="str">
        <f>IF(LEN(Table13[[#This Row],[Month]]) &gt; 0, LEFT(Table13[[#This Row],[Month]], 3), "")</f>
        <v>Feb</v>
      </c>
      <c r="G126" s="23" t="s">
        <v>67</v>
      </c>
      <c r="H126" s="23" t="s">
        <v>48</v>
      </c>
      <c r="I126" s="44">
        <f>IF(ISNUMBER(SEARCH("km/h",Table13[[#This Row],[Min Speed]])),VALUE(_xlfn.TEXTBEFORE(Table13[[#This Row],[Min Speed]]," ")),ROUND(VALUE(_xlfn.TEXTBEFORE(Table13[[#This Row],[Min Speed]]," "))*1.60934,0))</f>
        <v>20</v>
      </c>
      <c r="J126" s="44">
        <f>ROUND(IF(ISNUMBER(SEARCH("km/h",Table13[[#This Row],[Min Speed]])),Table13[[#This Row],[Min Speed (km/h)]]*0.621371,VALUE(_xlfn.TEXTBEFORE(Table13[[#This Row],[Min Speed]]," "))),0)</f>
        <v>12</v>
      </c>
      <c r="K126" s="23" t="s">
        <v>18</v>
      </c>
      <c r="L126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26" s="44">
        <f>IF(ISNUMBER(SEARCH("mph",Table13[[#This Row],[Max Speed]])),--_xlfn.TEXTBEFORE(Table13[[#This Row],[Max Speed]]," mph"),ROUND(--_xlfn.TEXTBEFORE(Table13[[#This Row],[Max Speed]]," km/h")*0.621371,0))</f>
        <v>75</v>
      </c>
      <c r="N126" s="23" t="s">
        <v>26</v>
      </c>
      <c r="O12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26" s="42" t="str">
        <f>TEXT(Table13[[#This Row],[Min Speed (km/h)]],"0")&amp;" - "&amp;TEXT(Table13[[#This Row],[Max Speed (km/h)]],"0")&amp;""</f>
        <v>20 - 120</v>
      </c>
      <c r="Q126" s="46">
        <f>IF(Table13[[#This Row],[Distance (km)]]="", AVERAGE(Table13[Distance (km)]), Table13[[#This Row],[Distance (km)]])</f>
        <v>482.80200000000002</v>
      </c>
      <c r="R126" s="23" t="s">
        <v>84</v>
      </c>
      <c r="S126" s="42" t="str" cm="1">
        <f t="array" ref="S126">TRIM(INDEX(_xlfn.TEXTSPLIT(Table13[[#This Row],[Shipping Address]],","),1))</f>
        <v>56 Queen Street</v>
      </c>
      <c r="T126" s="42" t="str" cm="1">
        <f t="array" ref="T126">TRIM(INDEX(_xlfn.TEXTSPLIT(Table13[[#This Row],[Shipping Address]],","),2))</f>
        <v>Edinburgh</v>
      </c>
      <c r="U126" s="42" t="str" cm="1">
        <f t="array" ref="U126">TRIM(INDEX(_xlfn.TEXTSPLIT(Table13[[#This Row],[Shipping Address]],","),3))</f>
        <v>EH2 4GQ</v>
      </c>
      <c r="V126" s="23" t="s">
        <v>80</v>
      </c>
      <c r="W126" s="42" t="str" cm="1">
        <f t="array" ref="W126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126" s="42" t="str" cm="1">
        <f t="array" ref="X126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26" s="23" t="s">
        <v>85</v>
      </c>
      <c r="Z126" s="33">
        <f>_xlfn.NUMBERVALUE(_xlfn.TEXTBEFORE(Table13[[#This Row],[Unit Price]]," "))</f>
        <v>195</v>
      </c>
      <c r="AA126" s="23" t="str">
        <f>RIGHT(Table13[[#This Row],[Unit Price]],LEN(Table13[[#This Row],[Unit Price]])-FIND(" ",Table13[[#This Row],[Unit Price]]))</f>
        <v>GBP</v>
      </c>
      <c r="AB126" s="33" cm="1">
        <f t="array" ref="AB126">Table13[[#This Row],[Unit Price Value]]*_xlfn.XLOOKUP(Table13[[#This Row],[Unit Price Currency]],{"EUR","USD","GBP","BRL","CAD","CNY","AUD","ZAR","MXN","JPY","INR"},{1,0.86,1.15,0.15,0.63,0.12,0.56,0.05,0.05,0.01,0.01},NA())</f>
        <v>224.24999999999997</v>
      </c>
      <c r="AC126" s="32">
        <v>14</v>
      </c>
      <c r="AD126" s="32"/>
      <c r="AE126" s="20">
        <f>IF(Table13[[#This Row],[Discount (%)]]="",CHOOSE(MATCH(MOD(Table13[[#This Row],[Sales Rep ID]],3)+1,{1,2,3},0),5,10,15),Table13[[#This Row],[Discount (%)]])</f>
        <v>15</v>
      </c>
      <c r="AF126" s="38">
        <f>Table13[[#This Row],[Unit Price (EUR)]]*Table13[[#This Row],[Units Sold]]</f>
        <v>3139.4999999999995</v>
      </c>
      <c r="AG126" s="38">
        <f>Table13[[#This Row],[Gross Price (Euro)]]*Table13[[#This Row],[Calc Discount (%)]]/100</f>
        <v>470.92499999999995</v>
      </c>
      <c r="AH126" s="39">
        <f>Table13[[#This Row],[Gross Price (Euro)]]-Table13[[#This Row],[Discount Value (Euro)]]</f>
        <v>2668.5749999999998</v>
      </c>
    </row>
    <row r="127" spans="1:34" x14ac:dyDescent="0.25">
      <c r="A127" s="43">
        <v>126</v>
      </c>
      <c r="B127" s="23" t="s">
        <v>35</v>
      </c>
      <c r="C127" s="23" t="s">
        <v>36</v>
      </c>
      <c r="D127" s="23" t="str">
        <f>_xlfn.TEXTJOIN(" ",,Table13[[#This Row],[Rep First Name]],Table13[[#This Row],[Rep Last Name]])</f>
        <v>Fang Liu</v>
      </c>
      <c r="E127" s="23" t="s">
        <v>31</v>
      </c>
      <c r="F127" s="23" t="str">
        <f>IF(LEN(Table13[[#This Row],[Month]]) &gt; 0, LEFT(Table13[[#This Row],[Month]], 3), "")</f>
        <v>Jan</v>
      </c>
      <c r="G127" s="23" t="s">
        <v>67</v>
      </c>
      <c r="H127" s="23" t="s">
        <v>17</v>
      </c>
      <c r="I127" s="44">
        <f>IF(ISNUMBER(SEARCH("km/h",Table13[[#This Row],[Min Speed]])),VALUE(_xlfn.TEXTBEFORE(Table13[[#This Row],[Min Speed]]," ")),ROUND(VALUE(_xlfn.TEXTBEFORE(Table13[[#This Row],[Min Speed]]," "))*1.60934,0))</f>
        <v>64</v>
      </c>
      <c r="J127" s="44">
        <f>ROUND(IF(ISNUMBER(SEARCH("km/h",Table13[[#This Row],[Min Speed]])),Table13[[#This Row],[Min Speed (km/h)]]*0.621371,VALUE(_xlfn.TEXTBEFORE(Table13[[#This Row],[Min Speed]]," "))),0)</f>
        <v>40</v>
      </c>
      <c r="K127" s="23" t="s">
        <v>25</v>
      </c>
      <c r="L12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27" s="44">
        <f>IF(ISNUMBER(SEARCH("mph",Table13[[#This Row],[Max Speed]])),--_xlfn.TEXTBEFORE(Table13[[#This Row],[Max Speed]]," mph"),ROUND(--_xlfn.TEXTBEFORE(Table13[[#This Row],[Max Speed]]," km/h")*0.621371,0))</f>
        <v>150</v>
      </c>
      <c r="N127" s="23" t="s">
        <v>26</v>
      </c>
      <c r="O12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27" s="42" t="str">
        <f>TEXT(Table13[[#This Row],[Min Speed (km/h)]],"0")&amp;" - "&amp;TEXT(Table13[[#This Row],[Max Speed (km/h)]],"0")&amp;""</f>
        <v>64 - 241</v>
      </c>
      <c r="Q127" s="46">
        <f>IF(Table13[[#This Row],[Distance (km)]]="", AVERAGE(Table13[Distance (km)]), Table13[[#This Row],[Distance (km)]])</f>
        <v>482.80200000000002</v>
      </c>
      <c r="R127" s="23" t="s">
        <v>86</v>
      </c>
      <c r="S127" s="42" t="str" cm="1">
        <f t="array" ref="S127">TRIM(INDEX(_xlfn.TEXTSPLIT(Table13[[#This Row],[Shipping Address]],","),1))</f>
        <v>78 Church Lane</v>
      </c>
      <c r="T127" s="42" t="str" cm="1">
        <f t="array" ref="T127">TRIM(INDEX(_xlfn.TEXTSPLIT(Table13[[#This Row],[Shipping Address]],","),2))</f>
        <v>Birmingham</v>
      </c>
      <c r="U127" s="42" t="str" cm="1">
        <f t="array" ref="U127">TRIM(INDEX(_xlfn.TEXTSPLIT(Table13[[#This Row],[Shipping Address]],","),3))</f>
        <v>B1 1AA</v>
      </c>
      <c r="V127" s="23" t="s">
        <v>80</v>
      </c>
      <c r="W127" s="42" t="str" cm="1">
        <f t="array" ref="W127">_xlfn.XLOOKUP(Table13[[#This Row],[Country Code]],{"US","CA","MX","BR","GB","DE","FR","CN","IN","AU","ZA","JP"},{"United States","Canada","Mexico","Brazil","United Kingdom","Germany","France","China","India","Australia","South Africa","Japan"},"Other")</f>
        <v>United Kingdom</v>
      </c>
      <c r="X127" s="42" t="str" cm="1">
        <f t="array" ref="X127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27" s="23" t="s">
        <v>87</v>
      </c>
      <c r="Z127" s="33">
        <f>_xlfn.NUMBERVALUE(_xlfn.TEXTBEFORE(Table13[[#This Row],[Unit Price]]," "))</f>
        <v>234</v>
      </c>
      <c r="AA127" s="23" t="str">
        <f>RIGHT(Table13[[#This Row],[Unit Price]],LEN(Table13[[#This Row],[Unit Price]])-FIND(" ",Table13[[#This Row],[Unit Price]]))</f>
        <v>GBP</v>
      </c>
      <c r="AB127" s="33" cm="1">
        <f t="array" ref="AB127">Table13[[#This Row],[Unit Price Value]]*_xlfn.XLOOKUP(Table13[[#This Row],[Unit Price Currency]],{"EUR","USD","GBP","BRL","CAD","CNY","AUD","ZAR","MXN","JPY","INR"},{1,0.86,1.15,0.15,0.63,0.12,0.56,0.05,0.05,0.01,0.01},NA())</f>
        <v>269.09999999999997</v>
      </c>
      <c r="AC127" s="32">
        <v>9</v>
      </c>
      <c r="AD127" s="32">
        <v>15</v>
      </c>
      <c r="AE127" s="20">
        <f>IF(Table13[[#This Row],[Discount (%)]]="",CHOOSE(MATCH(MOD(Table13[[#This Row],[Sales Rep ID]],3)+1,{1,2,3},0),5,10,15),Table13[[#This Row],[Discount (%)]])</f>
        <v>15</v>
      </c>
      <c r="AF127" s="38">
        <f>Table13[[#This Row],[Unit Price (EUR)]]*Table13[[#This Row],[Units Sold]]</f>
        <v>2421.8999999999996</v>
      </c>
      <c r="AG127" s="38">
        <f>Table13[[#This Row],[Gross Price (Euro)]]*Table13[[#This Row],[Calc Discount (%)]]/100</f>
        <v>363.28499999999991</v>
      </c>
      <c r="AH127" s="39">
        <f>Table13[[#This Row],[Gross Price (Euro)]]-Table13[[#This Row],[Discount Value (Euro)]]</f>
        <v>2058.6149999999998</v>
      </c>
    </row>
    <row r="128" spans="1:34" x14ac:dyDescent="0.25">
      <c r="A128" s="43">
        <v>127</v>
      </c>
      <c r="B128" s="23" t="s">
        <v>45</v>
      </c>
      <c r="C128" s="23" t="s">
        <v>46</v>
      </c>
      <c r="D128" s="23" t="str">
        <f>_xlfn.TEXTJOIN(" ",,Table13[[#This Row],[Rep First Name]],Table13[[#This Row],[Rep Last Name]])</f>
        <v>Jonas Fischer</v>
      </c>
      <c r="E128" s="23" t="s">
        <v>37</v>
      </c>
      <c r="F128" s="23" t="str">
        <f>IF(LEN(Table13[[#This Row],[Month]]) &gt; 0, LEFT(Table13[[#This Row],[Month]], 3), "")</f>
        <v>Feb</v>
      </c>
      <c r="G128" s="23" t="s">
        <v>43</v>
      </c>
      <c r="H128" s="23" t="s">
        <v>24</v>
      </c>
      <c r="I128" s="44">
        <f>IF(ISNUMBER(SEARCH("km/h",Table13[[#This Row],[Min Speed]])),VALUE(_xlfn.TEXTBEFORE(Table13[[#This Row],[Min Speed]]," ")),ROUND(VALUE(_xlfn.TEXTBEFORE(Table13[[#This Row],[Min Speed]]," "))*1.60934,0))</f>
        <v>80</v>
      </c>
      <c r="J128" s="44">
        <f>ROUND(IF(ISNUMBER(SEARCH("km/h",Table13[[#This Row],[Min Speed]])),Table13[[#This Row],[Min Speed (km/h)]]*0.621371,VALUE(_xlfn.TEXTBEFORE(Table13[[#This Row],[Min Speed]]," "))),0)</f>
        <v>50</v>
      </c>
      <c r="K128" s="23" t="s">
        <v>44</v>
      </c>
      <c r="L128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28" s="44">
        <f>IF(ISNUMBER(SEARCH("mph",Table13[[#This Row],[Max Speed]])),--_xlfn.TEXTBEFORE(Table13[[#This Row],[Max Speed]]," mph"),ROUND(--_xlfn.TEXTBEFORE(Table13[[#This Row],[Max Speed]]," km/h")*0.621371,0))</f>
        <v>50</v>
      </c>
      <c r="N128" s="23" t="s">
        <v>28</v>
      </c>
      <c r="O12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28" s="42" t="str">
        <f>TEXT(Table13[[#This Row],[Min Speed (km/h)]],"0")&amp;" - "&amp;TEXT(Table13[[#This Row],[Max Speed (km/h)]],"0")&amp;""</f>
        <v>80 - 80</v>
      </c>
      <c r="Q128" s="46">
        <f>IF(Table13[[#This Row],[Distance (km)]]="", AVERAGE(Table13[Distance (km)]), Table13[[#This Row],[Distance (km)]])</f>
        <v>241.40100000000001</v>
      </c>
      <c r="R128" s="23" t="s">
        <v>88</v>
      </c>
      <c r="S128" s="42" t="str" cm="1">
        <f t="array" ref="S128">TRIM(INDEX(_xlfn.TEXTSPLIT(Table13[[#This Row],[Shipping Address]],","),1))</f>
        <v>123 Hauptstraße</v>
      </c>
      <c r="T128" s="42" t="str" cm="1">
        <f t="array" ref="T128">TRIM(INDEX(_xlfn.TEXTSPLIT(Table13[[#This Row],[Shipping Address]],","),2))</f>
        <v>Berlin</v>
      </c>
      <c r="U128" s="42" t="str" cm="1">
        <f t="array" ref="U128">TRIM(INDEX(_xlfn.TEXTSPLIT(Table13[[#This Row],[Shipping Address]],","),3))</f>
        <v>10115</v>
      </c>
      <c r="V128" s="23" t="s">
        <v>89</v>
      </c>
      <c r="W128" s="42" t="str" cm="1">
        <f t="array" ref="W128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128" s="42" t="str" cm="1">
        <f t="array" ref="X128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28" s="23" t="s">
        <v>90</v>
      </c>
      <c r="Z128" s="33">
        <f>_xlfn.NUMBERVALUE(_xlfn.TEXTBEFORE(Table13[[#This Row],[Unit Price]]," "))</f>
        <v>139</v>
      </c>
      <c r="AA128" s="23" t="str">
        <f>RIGHT(Table13[[#This Row],[Unit Price]],LEN(Table13[[#This Row],[Unit Price]])-FIND(" ",Table13[[#This Row],[Unit Price]]))</f>
        <v>EUR</v>
      </c>
      <c r="AB128" s="33" cm="1">
        <f t="array" ref="AB128">Table13[[#This Row],[Unit Price Value]]*_xlfn.XLOOKUP(Table13[[#This Row],[Unit Price Currency]],{"EUR","USD","GBP","BRL","CAD","CNY","AUD","ZAR","MXN","JPY","INR"},{1,0.86,1.15,0.15,0.63,0.12,0.56,0.05,0.05,0.01,0.01},NA())</f>
        <v>139</v>
      </c>
      <c r="AC128" s="32">
        <v>21</v>
      </c>
      <c r="AD128" s="32">
        <v>5</v>
      </c>
      <c r="AE128" s="20">
        <f>IF(Table13[[#This Row],[Discount (%)]]="",CHOOSE(MATCH(MOD(Table13[[#This Row],[Sales Rep ID]],3)+1,{1,2,3},0),5,10,15),Table13[[#This Row],[Discount (%)]])</f>
        <v>5</v>
      </c>
      <c r="AF128" s="38">
        <f>Table13[[#This Row],[Unit Price (EUR)]]*Table13[[#This Row],[Units Sold]]</f>
        <v>2919</v>
      </c>
      <c r="AG128" s="38">
        <f>Table13[[#This Row],[Gross Price (Euro)]]*Table13[[#This Row],[Calc Discount (%)]]/100</f>
        <v>145.94999999999999</v>
      </c>
      <c r="AH128" s="39">
        <f>Table13[[#This Row],[Gross Price (Euro)]]-Table13[[#This Row],[Discount Value (Euro)]]</f>
        <v>2773.05</v>
      </c>
    </row>
    <row r="129" spans="1:34" x14ac:dyDescent="0.25">
      <c r="A129" s="43">
        <v>128</v>
      </c>
      <c r="B129" s="23" t="s">
        <v>45</v>
      </c>
      <c r="C129" s="23" t="s">
        <v>46</v>
      </c>
      <c r="D129" s="23" t="str">
        <f>_xlfn.TEXTJOIN(" ",,Table13[[#This Row],[Rep First Name]],Table13[[#This Row],[Rep Last Name]])</f>
        <v>Jonas Fischer</v>
      </c>
      <c r="E129" s="23" t="s">
        <v>23</v>
      </c>
      <c r="F129" s="23" t="str">
        <f>IF(LEN(Table13[[#This Row],[Month]]) &gt; 0, LEFT(Table13[[#This Row],[Month]], 3), "")</f>
        <v>Mar</v>
      </c>
      <c r="G129" s="23" t="s">
        <v>27</v>
      </c>
      <c r="H129" s="23" t="s">
        <v>24</v>
      </c>
      <c r="I129" s="44">
        <f>IF(ISNUMBER(SEARCH("km/h",Table13[[#This Row],[Min Speed]])),VALUE(_xlfn.TEXTBEFORE(Table13[[#This Row],[Min Speed]]," ")),ROUND(VALUE(_xlfn.TEXTBEFORE(Table13[[#This Row],[Min Speed]]," "))*1.60934,0))</f>
        <v>80</v>
      </c>
      <c r="J129" s="44">
        <f>ROUND(IF(ISNUMBER(SEARCH("km/h",Table13[[#This Row],[Min Speed]])),Table13[[#This Row],[Min Speed (km/h)]]*0.621371,VALUE(_xlfn.TEXTBEFORE(Table13[[#This Row],[Min Speed]]," "))),0)</f>
        <v>50</v>
      </c>
      <c r="K129" s="23" t="s">
        <v>44</v>
      </c>
      <c r="L129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29" s="44">
        <f>IF(ISNUMBER(SEARCH("mph",Table13[[#This Row],[Max Speed]])),--_xlfn.TEXTBEFORE(Table13[[#This Row],[Max Speed]]," mph"),ROUND(--_xlfn.TEXTBEFORE(Table13[[#This Row],[Max Speed]]," km/h")*0.621371,0))</f>
        <v>50</v>
      </c>
      <c r="N129" s="23" t="s">
        <v>68</v>
      </c>
      <c r="O12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29" s="42" t="str">
        <f>TEXT(Table13[[#This Row],[Min Speed (km/h)]],"0")&amp;" - "&amp;TEXT(Table13[[#This Row],[Max Speed (km/h)]],"0")&amp;""</f>
        <v>80 - 80</v>
      </c>
      <c r="Q129" s="46">
        <f>IF(Table13[[#This Row],[Distance (km)]]="", AVERAGE(Table13[Distance (km)]), Table13[[#This Row],[Distance (km)]])</f>
        <v>600</v>
      </c>
      <c r="R129" s="23" t="s">
        <v>88</v>
      </c>
      <c r="S129" s="42" t="str" cm="1">
        <f t="array" ref="S129">TRIM(INDEX(_xlfn.TEXTSPLIT(Table13[[#This Row],[Shipping Address]],","),1))</f>
        <v>123 Hauptstraße</v>
      </c>
      <c r="T129" s="42" t="str" cm="1">
        <f t="array" ref="T129">TRIM(INDEX(_xlfn.TEXTSPLIT(Table13[[#This Row],[Shipping Address]],","),2))</f>
        <v>Berlin</v>
      </c>
      <c r="U129" s="42" t="str" cm="1">
        <f t="array" ref="U129">TRIM(INDEX(_xlfn.TEXTSPLIT(Table13[[#This Row],[Shipping Address]],","),3))</f>
        <v>10115</v>
      </c>
      <c r="V129" s="23" t="s">
        <v>89</v>
      </c>
      <c r="W129" s="42" t="str" cm="1">
        <f t="array" ref="W129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129" s="42" t="str" cm="1">
        <f t="array" ref="X129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29" s="23" t="s">
        <v>90</v>
      </c>
      <c r="Z129" s="33">
        <f>_xlfn.NUMBERVALUE(_xlfn.TEXTBEFORE(Table13[[#This Row],[Unit Price]]," "))</f>
        <v>139</v>
      </c>
      <c r="AA129" s="23" t="str">
        <f>RIGHT(Table13[[#This Row],[Unit Price]],LEN(Table13[[#This Row],[Unit Price]])-FIND(" ",Table13[[#This Row],[Unit Price]]))</f>
        <v>EUR</v>
      </c>
      <c r="AB129" s="33" cm="1">
        <f t="array" ref="AB129">Table13[[#This Row],[Unit Price Value]]*_xlfn.XLOOKUP(Table13[[#This Row],[Unit Price Currency]],{"EUR","USD","GBP","BRL","CAD","CNY","AUD","ZAR","MXN","JPY","INR"},{1,0.86,1.15,0.15,0.63,0.12,0.56,0.05,0.05,0.01,0.01},NA())</f>
        <v>139</v>
      </c>
      <c r="AC129" s="32">
        <v>21</v>
      </c>
      <c r="AD129" s="32">
        <v>15</v>
      </c>
      <c r="AE129" s="20">
        <f>IF(Table13[[#This Row],[Discount (%)]]="",CHOOSE(MATCH(MOD(Table13[[#This Row],[Sales Rep ID]],3)+1,{1,2,3},0),5,10,15),Table13[[#This Row],[Discount (%)]])</f>
        <v>15</v>
      </c>
      <c r="AF129" s="38">
        <f>Table13[[#This Row],[Unit Price (EUR)]]*Table13[[#This Row],[Units Sold]]</f>
        <v>2919</v>
      </c>
      <c r="AG129" s="38">
        <f>Table13[[#This Row],[Gross Price (Euro)]]*Table13[[#This Row],[Calc Discount (%)]]/100</f>
        <v>437.85</v>
      </c>
      <c r="AH129" s="39">
        <f>Table13[[#This Row],[Gross Price (Euro)]]-Table13[[#This Row],[Discount Value (Euro)]]</f>
        <v>2481.15</v>
      </c>
    </row>
    <row r="130" spans="1:34" x14ac:dyDescent="0.25">
      <c r="A130" s="43">
        <v>129</v>
      </c>
      <c r="B130" s="23" t="s">
        <v>45</v>
      </c>
      <c r="C130" s="23" t="s">
        <v>46</v>
      </c>
      <c r="D130" s="23" t="str">
        <f>_xlfn.TEXTJOIN(" ",,Table13[[#This Row],[Rep First Name]],Table13[[#This Row],[Rep Last Name]])</f>
        <v>Jonas Fischer</v>
      </c>
      <c r="E130" s="23" t="s">
        <v>23</v>
      </c>
      <c r="F130" s="23" t="str">
        <f>IF(LEN(Table13[[#This Row],[Month]]) &gt; 0, LEFT(Table13[[#This Row],[Month]], 3), "")</f>
        <v>Mar</v>
      </c>
      <c r="G130" s="23" t="s">
        <v>67</v>
      </c>
      <c r="H130" s="23" t="s">
        <v>24</v>
      </c>
      <c r="I130" s="44">
        <f>IF(ISNUMBER(SEARCH("km/h",Table13[[#This Row],[Min Speed]])),VALUE(_xlfn.TEXTBEFORE(Table13[[#This Row],[Min Speed]]," ")),ROUND(VALUE(_xlfn.TEXTBEFORE(Table13[[#This Row],[Min Speed]]," "))*1.60934,0))</f>
        <v>80</v>
      </c>
      <c r="J130" s="44">
        <f>ROUND(IF(ISNUMBER(SEARCH("km/h",Table13[[#This Row],[Min Speed]])),Table13[[#This Row],[Min Speed (km/h)]]*0.621371,VALUE(_xlfn.TEXTBEFORE(Table13[[#This Row],[Min Speed]]," "))),0)</f>
        <v>50</v>
      </c>
      <c r="K130" s="23" t="s">
        <v>55</v>
      </c>
      <c r="L130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30" s="44">
        <f>IF(ISNUMBER(SEARCH("mph",Table13[[#This Row],[Max Speed]])),--_xlfn.TEXTBEFORE(Table13[[#This Row],[Max Speed]]," mph"),ROUND(--_xlfn.TEXTBEFORE(Table13[[#This Row],[Max Speed]]," km/h")*0.621371,0))</f>
        <v>100</v>
      </c>
      <c r="N130" s="23" t="s">
        <v>28</v>
      </c>
      <c r="O13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30" s="42" t="str">
        <f>TEXT(Table13[[#This Row],[Min Speed (km/h)]],"0")&amp;" - "&amp;TEXT(Table13[[#This Row],[Max Speed (km/h)]],"0")&amp;""</f>
        <v>80 - 161</v>
      </c>
      <c r="Q130" s="46">
        <f>IF(Table13[[#This Row],[Distance (km)]]="", AVERAGE(Table13[Distance (km)]), Table13[[#This Row],[Distance (km)]])</f>
        <v>241.40100000000001</v>
      </c>
      <c r="R130" s="23" t="s">
        <v>91</v>
      </c>
      <c r="S130" s="42" t="str" cm="1">
        <f t="array" ref="S130">TRIM(INDEX(_xlfn.TEXTSPLIT(Table13[[#This Row],[Shipping Address]],","),1))</f>
        <v>456 Bahnhofstraße</v>
      </c>
      <c r="T130" s="42" t="str" cm="1">
        <f t="array" ref="T130">TRIM(INDEX(_xlfn.TEXTSPLIT(Table13[[#This Row],[Shipping Address]],","),2))</f>
        <v>Frankfurt</v>
      </c>
      <c r="U130" s="42" t="str" cm="1">
        <f t="array" ref="U130">TRIM(INDEX(_xlfn.TEXTSPLIT(Table13[[#This Row],[Shipping Address]],","),3))</f>
        <v>60329</v>
      </c>
      <c r="V130" s="23" t="s">
        <v>89</v>
      </c>
      <c r="W130" s="42" t="str" cm="1">
        <f t="array" ref="W130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130" s="42" t="str" cm="1">
        <f t="array" ref="X130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0" s="23" t="s">
        <v>92</v>
      </c>
      <c r="Z130" s="33">
        <f>_xlfn.NUMBERVALUE(_xlfn.TEXTBEFORE(Table13[[#This Row],[Unit Price]]," "))</f>
        <v>186</v>
      </c>
      <c r="AA130" s="23" t="str">
        <f>RIGHT(Table13[[#This Row],[Unit Price]],LEN(Table13[[#This Row],[Unit Price]])-FIND(" ",Table13[[#This Row],[Unit Price]]))</f>
        <v>EUR</v>
      </c>
      <c r="AB130" s="33" cm="1">
        <f t="array" ref="AB130">Table13[[#This Row],[Unit Price Value]]*_xlfn.XLOOKUP(Table13[[#This Row],[Unit Price Currency]],{"EUR","USD","GBP","BRL","CAD","CNY","AUD","ZAR","MXN","JPY","INR"},{1,0.86,1.15,0.15,0.63,0.12,0.56,0.05,0.05,0.01,0.01},NA())</f>
        <v>186</v>
      </c>
      <c r="AC130" s="32">
        <v>15</v>
      </c>
      <c r="AD130" s="32">
        <v>5</v>
      </c>
      <c r="AE130" s="20">
        <f>IF(Table13[[#This Row],[Discount (%)]]="",CHOOSE(MATCH(MOD(Table13[[#This Row],[Sales Rep ID]],3)+1,{1,2,3},0),5,10,15),Table13[[#This Row],[Discount (%)]])</f>
        <v>5</v>
      </c>
      <c r="AF130" s="38">
        <f>Table13[[#This Row],[Unit Price (EUR)]]*Table13[[#This Row],[Units Sold]]</f>
        <v>2790</v>
      </c>
      <c r="AG130" s="38">
        <f>Table13[[#This Row],[Gross Price (Euro)]]*Table13[[#This Row],[Calc Discount (%)]]/100</f>
        <v>139.5</v>
      </c>
      <c r="AH130" s="39">
        <f>Table13[[#This Row],[Gross Price (Euro)]]-Table13[[#This Row],[Discount Value (Euro)]]</f>
        <v>2650.5</v>
      </c>
    </row>
    <row r="131" spans="1:34" x14ac:dyDescent="0.25">
      <c r="A131" s="43">
        <v>130</v>
      </c>
      <c r="B131" s="23" t="s">
        <v>59</v>
      </c>
      <c r="C131" s="23" t="s">
        <v>60</v>
      </c>
      <c r="D131" s="23" t="str">
        <f>_xlfn.TEXTJOIN(" ",,Table13[[#This Row],[Rep First Name]],Table13[[#This Row],[Rep Last Name]])</f>
        <v>Théo Bernard</v>
      </c>
      <c r="E131" s="23" t="s">
        <v>23</v>
      </c>
      <c r="F131" s="23" t="str">
        <f>IF(LEN(Table13[[#This Row],[Month]]) &gt; 0, LEFT(Table13[[#This Row],[Month]], 3), "")</f>
        <v>Mar</v>
      </c>
      <c r="G131" s="23" t="s">
        <v>43</v>
      </c>
      <c r="H131" s="23" t="s">
        <v>48</v>
      </c>
      <c r="I131" s="44">
        <f>IF(ISNUMBER(SEARCH("km/h",Table13[[#This Row],[Min Speed]])),VALUE(_xlfn.TEXTBEFORE(Table13[[#This Row],[Min Speed]]," ")),ROUND(VALUE(_xlfn.TEXTBEFORE(Table13[[#This Row],[Min Speed]]," "))*1.60934,0))</f>
        <v>20</v>
      </c>
      <c r="J131" s="44">
        <f>ROUND(IF(ISNUMBER(SEARCH("km/h",Table13[[#This Row],[Min Speed]])),Table13[[#This Row],[Min Speed (km/h)]]*0.621371,VALUE(_xlfn.TEXTBEFORE(Table13[[#This Row],[Min Speed]]," "))),0)</f>
        <v>12</v>
      </c>
      <c r="K131" s="23" t="s">
        <v>44</v>
      </c>
      <c r="L131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31" s="44">
        <f>IF(ISNUMBER(SEARCH("mph",Table13[[#This Row],[Max Speed]])),--_xlfn.TEXTBEFORE(Table13[[#This Row],[Max Speed]]," mph"),ROUND(--_xlfn.TEXTBEFORE(Table13[[#This Row],[Max Speed]]," km/h")*0.621371,0))</f>
        <v>50</v>
      </c>
      <c r="N131" s="23" t="s">
        <v>26</v>
      </c>
      <c r="O13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31" s="42" t="str">
        <f>TEXT(Table13[[#This Row],[Min Speed (km/h)]],"0")&amp;" - "&amp;TEXT(Table13[[#This Row],[Max Speed (km/h)]],"0")&amp;""</f>
        <v>20 - 80</v>
      </c>
      <c r="Q131" s="46">
        <f>IF(Table13[[#This Row],[Distance (km)]]="", AVERAGE(Table13[Distance (km)]), Table13[[#This Row],[Distance (km)]])</f>
        <v>482.80200000000002</v>
      </c>
      <c r="R131" s="23" t="s">
        <v>93</v>
      </c>
      <c r="S131" s="42" t="str" cm="1">
        <f t="array" ref="S131">TRIM(INDEX(_xlfn.TEXTSPLIT(Table13[[#This Row],[Shipping Address]],","),1))</f>
        <v>789 Lindenweg</v>
      </c>
      <c r="T131" s="42" t="str" cm="1">
        <f t="array" ref="T131">TRIM(INDEX(_xlfn.TEXTSPLIT(Table13[[#This Row],[Shipping Address]],","),2))</f>
        <v>Munich</v>
      </c>
      <c r="U131" s="42" t="str" cm="1">
        <f t="array" ref="U131">TRIM(INDEX(_xlfn.TEXTSPLIT(Table13[[#This Row],[Shipping Address]],","),3))</f>
        <v>10179</v>
      </c>
      <c r="V131" s="23" t="s">
        <v>89</v>
      </c>
      <c r="W131" s="42" t="str" cm="1">
        <f t="array" ref="W131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131" s="42" t="str" cm="1">
        <f t="array" ref="X131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1" s="23" t="s">
        <v>94</v>
      </c>
      <c r="Z131" s="33">
        <f>_xlfn.NUMBERVALUE(_xlfn.TEXTBEFORE(Table13[[#This Row],[Unit Price]]," "))</f>
        <v>232</v>
      </c>
      <c r="AA131" s="23" t="str">
        <f>RIGHT(Table13[[#This Row],[Unit Price]],LEN(Table13[[#This Row],[Unit Price]])-FIND(" ",Table13[[#This Row],[Unit Price]]))</f>
        <v>EUR</v>
      </c>
      <c r="AB131" s="33" cm="1">
        <f t="array" ref="AB131">Table13[[#This Row],[Unit Price Value]]*_xlfn.XLOOKUP(Table13[[#This Row],[Unit Price Currency]],{"EUR","USD","GBP","BRL","CAD","CNY","AUD","ZAR","MXN","JPY","INR"},{1,0.86,1.15,0.15,0.63,0.12,0.56,0.05,0.05,0.01,0.01},NA())</f>
        <v>232</v>
      </c>
      <c r="AC131" s="32">
        <v>11</v>
      </c>
      <c r="AD131" s="32">
        <v>15</v>
      </c>
      <c r="AE131" s="20">
        <f>IF(Table13[[#This Row],[Discount (%)]]="",CHOOSE(MATCH(MOD(Table13[[#This Row],[Sales Rep ID]],3)+1,{1,2,3},0),5,10,15),Table13[[#This Row],[Discount (%)]])</f>
        <v>15</v>
      </c>
      <c r="AF131" s="38">
        <f>Table13[[#This Row],[Unit Price (EUR)]]*Table13[[#This Row],[Units Sold]]</f>
        <v>2552</v>
      </c>
      <c r="AG131" s="38">
        <f>Table13[[#This Row],[Gross Price (Euro)]]*Table13[[#This Row],[Calc Discount (%)]]/100</f>
        <v>382.8</v>
      </c>
      <c r="AH131" s="39">
        <f>Table13[[#This Row],[Gross Price (Euro)]]-Table13[[#This Row],[Discount Value (Euro)]]</f>
        <v>2169.1999999999998</v>
      </c>
    </row>
    <row r="132" spans="1:34" x14ac:dyDescent="0.25">
      <c r="A132" s="43">
        <v>131</v>
      </c>
      <c r="B132" s="23" t="s">
        <v>59</v>
      </c>
      <c r="C132" s="23" t="s">
        <v>60</v>
      </c>
      <c r="D132" s="23" t="str">
        <f>_xlfn.TEXTJOIN(" ",,Table13[[#This Row],[Rep First Name]],Table13[[#This Row],[Rep Last Name]])</f>
        <v>Théo Bernard</v>
      </c>
      <c r="E132" s="23" t="s">
        <v>37</v>
      </c>
      <c r="F132" s="23" t="str">
        <f>IF(LEN(Table13[[#This Row],[Month]]) &gt; 0, LEFT(Table13[[#This Row],[Month]], 3), "")</f>
        <v>Feb</v>
      </c>
      <c r="G132" s="23" t="s">
        <v>67</v>
      </c>
      <c r="H132" s="23" t="s">
        <v>32</v>
      </c>
      <c r="I132" s="44">
        <f>IF(ISNUMBER(SEARCH("km/h",Table13[[#This Row],[Min Speed]])),VALUE(_xlfn.TEXTBEFORE(Table13[[#This Row],[Min Speed]]," ")),ROUND(VALUE(_xlfn.TEXTBEFORE(Table13[[#This Row],[Min Speed]]," "))*1.60934,0))</f>
        <v>30</v>
      </c>
      <c r="J132" s="44">
        <f>ROUND(IF(ISNUMBER(SEARCH("km/h",Table13[[#This Row],[Min Speed]])),Table13[[#This Row],[Min Speed (km/h)]]*0.621371,VALUE(_xlfn.TEXTBEFORE(Table13[[#This Row],[Min Speed]]," "))),0)</f>
        <v>19</v>
      </c>
      <c r="K132" s="23" t="s">
        <v>18</v>
      </c>
      <c r="L132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32" s="44">
        <f>IF(ISNUMBER(SEARCH("mph",Table13[[#This Row],[Max Speed]])),--_xlfn.TEXTBEFORE(Table13[[#This Row],[Max Speed]]," mph"),ROUND(--_xlfn.TEXTBEFORE(Table13[[#This Row],[Max Speed]]," km/h")*0.621371,0))</f>
        <v>75</v>
      </c>
      <c r="N132" s="23" t="s">
        <v>19</v>
      </c>
      <c r="O13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32" s="42" t="str">
        <f>TEXT(Table13[[#This Row],[Min Speed (km/h)]],"0")&amp;" - "&amp;TEXT(Table13[[#This Row],[Max Speed (km/h)]],"0")&amp;""</f>
        <v>30 - 120</v>
      </c>
      <c r="Q132" s="46">
        <f>IF(Table13[[#This Row],[Distance (km)]]="", AVERAGE(Table13[Distance (km)]), Table13[[#This Row],[Distance (km)]])</f>
        <v>500</v>
      </c>
      <c r="R132" s="23" t="s">
        <v>95</v>
      </c>
      <c r="S132" s="42" t="str" cm="1">
        <f t="array" ref="S132">TRIM(INDEX(_xlfn.TEXTSPLIT(Table13[[#This Row],[Shipping Address]],","),1))</f>
        <v>321 Gartenstraße</v>
      </c>
      <c r="T132" s="42" t="str" cm="1">
        <f t="array" ref="T132">TRIM(INDEX(_xlfn.TEXTSPLIT(Table13[[#This Row],[Shipping Address]],","),2))</f>
        <v>Dresden</v>
      </c>
      <c r="U132" s="42" t="str" cm="1">
        <f t="array" ref="U132">TRIM(INDEX(_xlfn.TEXTSPLIT(Table13[[#This Row],[Shipping Address]],","),3))</f>
        <v>01067</v>
      </c>
      <c r="V132" s="23" t="s">
        <v>89</v>
      </c>
      <c r="W132" s="42" t="str" cm="1">
        <f t="array" ref="W132">_xlfn.XLOOKUP(Table13[[#This Row],[Country Code]],{"US","CA","MX","BR","GB","DE","FR","CN","IN","AU","ZA","JP"},{"United States","Canada","Mexico","Brazil","United Kingdom","Germany","France","China","India","Australia","South Africa","Japan"},"Other")</f>
        <v>Germany</v>
      </c>
      <c r="X132" s="42" t="str" cm="1">
        <f t="array" ref="X132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2" s="23" t="s">
        <v>96</v>
      </c>
      <c r="Z132" s="33">
        <f>_xlfn.NUMBERVALUE(_xlfn.TEXTBEFORE(Table13[[#This Row],[Unit Price]]," "))</f>
        <v>279</v>
      </c>
      <c r="AA132" s="23" t="str">
        <f>RIGHT(Table13[[#This Row],[Unit Price]],LEN(Table13[[#This Row],[Unit Price]])-FIND(" ",Table13[[#This Row],[Unit Price]]))</f>
        <v>EUR</v>
      </c>
      <c r="AB132" s="33" cm="1">
        <f t="array" ref="AB132">Table13[[#This Row],[Unit Price Value]]*_xlfn.XLOOKUP(Table13[[#This Row],[Unit Price Currency]],{"EUR","USD","GBP","BRL","CAD","CNY","AUD","ZAR","MXN","JPY","INR"},{1,0.86,1.15,0.15,0.63,0.12,0.56,0.05,0.05,0.01,0.01},NA())</f>
        <v>279</v>
      </c>
      <c r="AC132" s="32">
        <v>6</v>
      </c>
      <c r="AD132" s="32">
        <v>5</v>
      </c>
      <c r="AE132" s="20">
        <f>IF(Table13[[#This Row],[Discount (%)]]="",CHOOSE(MATCH(MOD(Table13[[#This Row],[Sales Rep ID]],3)+1,{1,2,3},0),5,10,15),Table13[[#This Row],[Discount (%)]])</f>
        <v>5</v>
      </c>
      <c r="AF132" s="38">
        <f>Table13[[#This Row],[Unit Price (EUR)]]*Table13[[#This Row],[Units Sold]]</f>
        <v>1674</v>
      </c>
      <c r="AG132" s="38">
        <f>Table13[[#This Row],[Gross Price (Euro)]]*Table13[[#This Row],[Calc Discount (%)]]/100</f>
        <v>83.7</v>
      </c>
      <c r="AH132" s="39">
        <f>Table13[[#This Row],[Gross Price (Euro)]]-Table13[[#This Row],[Discount Value (Euro)]]</f>
        <v>1590.3</v>
      </c>
    </row>
    <row r="133" spans="1:34" x14ac:dyDescent="0.25">
      <c r="A133" s="43">
        <v>132</v>
      </c>
      <c r="B133" s="23" t="s">
        <v>59</v>
      </c>
      <c r="C133" s="23" t="s">
        <v>60</v>
      </c>
      <c r="D133" s="23" t="str">
        <f>_xlfn.TEXTJOIN(" ",,Table13[[#This Row],[Rep First Name]],Table13[[#This Row],[Rep Last Name]])</f>
        <v>Théo Bernard</v>
      </c>
      <c r="E133" s="23" t="s">
        <v>37</v>
      </c>
      <c r="F133" s="23" t="str">
        <f>IF(LEN(Table13[[#This Row],[Month]]) &gt; 0, LEFT(Table13[[#This Row],[Month]], 3), "")</f>
        <v>Feb</v>
      </c>
      <c r="G133" s="23" t="s">
        <v>16</v>
      </c>
      <c r="H133" s="23" t="s">
        <v>48</v>
      </c>
      <c r="I133" s="44">
        <f>IF(ISNUMBER(SEARCH("km/h",Table13[[#This Row],[Min Speed]])),VALUE(_xlfn.TEXTBEFORE(Table13[[#This Row],[Min Speed]]," ")),ROUND(VALUE(_xlfn.TEXTBEFORE(Table13[[#This Row],[Min Speed]]," "))*1.60934,0))</f>
        <v>20</v>
      </c>
      <c r="J133" s="44">
        <f>ROUND(IF(ISNUMBER(SEARCH("km/h",Table13[[#This Row],[Min Speed]])),Table13[[#This Row],[Min Speed (km/h)]]*0.621371,VALUE(_xlfn.TEXTBEFORE(Table13[[#This Row],[Min Speed]]," "))),0)</f>
        <v>12</v>
      </c>
      <c r="K133" s="23" t="s">
        <v>25</v>
      </c>
      <c r="L133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33" s="44">
        <f>IF(ISNUMBER(SEARCH("mph",Table13[[#This Row],[Max Speed]])),--_xlfn.TEXTBEFORE(Table13[[#This Row],[Max Speed]]," mph"),ROUND(--_xlfn.TEXTBEFORE(Table13[[#This Row],[Max Speed]]," km/h")*0.621371,0))</f>
        <v>150</v>
      </c>
      <c r="N133" s="23" t="s">
        <v>19</v>
      </c>
      <c r="O13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33" s="42" t="str">
        <f>TEXT(Table13[[#This Row],[Min Speed (km/h)]],"0")&amp;" - "&amp;TEXT(Table13[[#This Row],[Max Speed (km/h)]],"0")&amp;""</f>
        <v>20 - 241</v>
      </c>
      <c r="Q133" s="46">
        <f>IF(Table13[[#This Row],[Distance (km)]]="", AVERAGE(Table13[Distance (km)]), Table13[[#This Row],[Distance (km)]])</f>
        <v>500</v>
      </c>
      <c r="R133" s="23" t="s">
        <v>97</v>
      </c>
      <c r="S133" s="42" t="str" cm="1">
        <f t="array" ref="S133">TRIM(INDEX(_xlfn.TEXTSPLIT(Table13[[#This Row],[Shipping Address]],","),1))</f>
        <v>123 Rue de la Paix</v>
      </c>
      <c r="T133" s="42" t="str" cm="1">
        <f t="array" ref="T133">TRIM(INDEX(_xlfn.TEXTSPLIT(Table13[[#This Row],[Shipping Address]],","),2))</f>
        <v>Paris</v>
      </c>
      <c r="U133" s="42" t="str" cm="1">
        <f t="array" ref="U133">TRIM(INDEX(_xlfn.TEXTSPLIT(Table13[[#This Row],[Shipping Address]],","),3))</f>
        <v>75002</v>
      </c>
      <c r="V133" s="23" t="s">
        <v>98</v>
      </c>
      <c r="W133" s="42" t="str" cm="1">
        <f t="array" ref="W133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133" s="42" t="str" cm="1">
        <f t="array" ref="X133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3" s="23" t="s">
        <v>90</v>
      </c>
      <c r="Z133" s="33">
        <f>_xlfn.NUMBERVALUE(_xlfn.TEXTBEFORE(Table13[[#This Row],[Unit Price]]," "))</f>
        <v>139</v>
      </c>
      <c r="AA133" s="23" t="str">
        <f>RIGHT(Table13[[#This Row],[Unit Price]],LEN(Table13[[#This Row],[Unit Price]])-FIND(" ",Table13[[#This Row],[Unit Price]]))</f>
        <v>EUR</v>
      </c>
      <c r="AB133" s="33" cm="1">
        <f t="array" ref="AB133">Table13[[#This Row],[Unit Price Value]]*_xlfn.XLOOKUP(Table13[[#This Row],[Unit Price Currency]],{"EUR","USD","GBP","BRL","CAD","CNY","AUD","ZAR","MXN","JPY","INR"},{1,0.86,1.15,0.15,0.63,0.12,0.56,0.05,0.05,0.01,0.01},NA())</f>
        <v>139</v>
      </c>
      <c r="AC133" s="32">
        <v>13</v>
      </c>
      <c r="AD133" s="32">
        <v>15</v>
      </c>
      <c r="AE133" s="20">
        <f>IF(Table13[[#This Row],[Discount (%)]]="",CHOOSE(MATCH(MOD(Table13[[#This Row],[Sales Rep ID]],3)+1,{1,2,3},0),5,10,15),Table13[[#This Row],[Discount (%)]])</f>
        <v>15</v>
      </c>
      <c r="AF133" s="38">
        <f>Table13[[#This Row],[Unit Price (EUR)]]*Table13[[#This Row],[Units Sold]]</f>
        <v>1807</v>
      </c>
      <c r="AG133" s="38">
        <f>Table13[[#This Row],[Gross Price (Euro)]]*Table13[[#This Row],[Calc Discount (%)]]/100</f>
        <v>271.05</v>
      </c>
      <c r="AH133" s="39">
        <f>Table13[[#This Row],[Gross Price (Euro)]]-Table13[[#This Row],[Discount Value (Euro)]]</f>
        <v>1535.95</v>
      </c>
    </row>
    <row r="134" spans="1:34" x14ac:dyDescent="0.25">
      <c r="A134" s="43">
        <v>133</v>
      </c>
      <c r="B134" s="23" t="s">
        <v>59</v>
      </c>
      <c r="C134" s="23" t="s">
        <v>60</v>
      </c>
      <c r="D134" s="23" t="str">
        <f>_xlfn.TEXTJOIN(" ",,Table13[[#This Row],[Rep First Name]],Table13[[#This Row],[Rep Last Name]])</f>
        <v>Théo Bernard</v>
      </c>
      <c r="E134" s="23" t="s">
        <v>76</v>
      </c>
      <c r="F134" s="23" t="str">
        <f>IF(LEN(Table13[[#This Row],[Month]]) &gt; 0, LEFT(Table13[[#This Row],[Month]], 3), "")</f>
        <v>May</v>
      </c>
      <c r="G134" s="23" t="s">
        <v>43</v>
      </c>
      <c r="H134" s="23" t="s">
        <v>48</v>
      </c>
      <c r="I134" s="44">
        <f>IF(ISNUMBER(SEARCH("km/h",Table13[[#This Row],[Min Speed]])),VALUE(_xlfn.TEXTBEFORE(Table13[[#This Row],[Min Speed]]," ")),ROUND(VALUE(_xlfn.TEXTBEFORE(Table13[[#This Row],[Min Speed]]," "))*1.60934,0))</f>
        <v>20</v>
      </c>
      <c r="J134" s="44">
        <f>ROUND(IF(ISNUMBER(SEARCH("km/h",Table13[[#This Row],[Min Speed]])),Table13[[#This Row],[Min Speed (km/h)]]*0.621371,VALUE(_xlfn.TEXTBEFORE(Table13[[#This Row],[Min Speed]]," "))),0)</f>
        <v>12</v>
      </c>
      <c r="K134" s="23" t="s">
        <v>25</v>
      </c>
      <c r="L134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34" s="44">
        <f>IF(ISNUMBER(SEARCH("mph",Table13[[#This Row],[Max Speed]])),--_xlfn.TEXTBEFORE(Table13[[#This Row],[Max Speed]]," mph"),ROUND(--_xlfn.TEXTBEFORE(Table13[[#This Row],[Max Speed]]," km/h")*0.621371,0))</f>
        <v>150</v>
      </c>
      <c r="N134" s="23" t="s">
        <v>19</v>
      </c>
      <c r="O13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34" s="42" t="str">
        <f>TEXT(Table13[[#This Row],[Min Speed (km/h)]],"0")&amp;" - "&amp;TEXT(Table13[[#This Row],[Max Speed (km/h)]],"0")&amp;""</f>
        <v>20 - 241</v>
      </c>
      <c r="Q134" s="46">
        <f>IF(Table13[[#This Row],[Distance (km)]]="", AVERAGE(Table13[Distance (km)]), Table13[[#This Row],[Distance (km)]])</f>
        <v>500</v>
      </c>
      <c r="R134" s="23" t="s">
        <v>99</v>
      </c>
      <c r="S134" s="42" t="str" cm="1">
        <f t="array" ref="S134">TRIM(INDEX(_xlfn.TEXTSPLIT(Table13[[#This Row],[Shipping Address]],","),1))</f>
        <v>456 Boulevard Saint-Germain</v>
      </c>
      <c r="T134" s="42" t="str" cm="1">
        <f t="array" ref="T134">TRIM(INDEX(_xlfn.TEXTSPLIT(Table13[[#This Row],[Shipping Address]],","),2))</f>
        <v>Lyon</v>
      </c>
      <c r="U134" s="42" t="str" cm="1">
        <f t="array" ref="U134">TRIM(INDEX(_xlfn.TEXTSPLIT(Table13[[#This Row],[Shipping Address]],","),3))</f>
        <v>75006</v>
      </c>
      <c r="V134" s="23" t="s">
        <v>98</v>
      </c>
      <c r="W134" s="42" t="str" cm="1">
        <f t="array" ref="W134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134" s="42" t="str" cm="1">
        <f t="array" ref="X134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4" s="23" t="s">
        <v>92</v>
      </c>
      <c r="Z134" s="33">
        <f>_xlfn.NUMBERVALUE(_xlfn.TEXTBEFORE(Table13[[#This Row],[Unit Price]]," "))</f>
        <v>186</v>
      </c>
      <c r="AA134" s="23" t="str">
        <f>RIGHT(Table13[[#This Row],[Unit Price]],LEN(Table13[[#This Row],[Unit Price]])-FIND(" ",Table13[[#This Row],[Unit Price]]))</f>
        <v>EUR</v>
      </c>
      <c r="AB134" s="33" cm="1">
        <f t="array" ref="AB134">Table13[[#This Row],[Unit Price Value]]*_xlfn.XLOOKUP(Table13[[#This Row],[Unit Price Currency]],{"EUR","USD","GBP","BRL","CAD","CNY","AUD","ZAR","MXN","JPY","INR"},{1,0.86,1.15,0.15,0.63,0.12,0.56,0.05,0.05,0.01,0.01},NA())</f>
        <v>186</v>
      </c>
      <c r="AC134" s="32">
        <v>10</v>
      </c>
      <c r="AD134" s="32">
        <v>10</v>
      </c>
      <c r="AE134" s="20">
        <f>IF(Table13[[#This Row],[Discount (%)]]="",CHOOSE(MATCH(MOD(Table13[[#This Row],[Sales Rep ID]],3)+1,{1,2,3},0),5,10,15),Table13[[#This Row],[Discount (%)]])</f>
        <v>10</v>
      </c>
      <c r="AF134" s="38">
        <f>Table13[[#This Row],[Unit Price (EUR)]]*Table13[[#This Row],[Units Sold]]</f>
        <v>1860</v>
      </c>
      <c r="AG134" s="38">
        <f>Table13[[#This Row],[Gross Price (Euro)]]*Table13[[#This Row],[Calc Discount (%)]]/100</f>
        <v>186</v>
      </c>
      <c r="AH134" s="39">
        <f>Table13[[#This Row],[Gross Price (Euro)]]-Table13[[#This Row],[Discount Value (Euro)]]</f>
        <v>1674</v>
      </c>
    </row>
    <row r="135" spans="1:34" x14ac:dyDescent="0.25">
      <c r="A135" s="43">
        <v>134</v>
      </c>
      <c r="B135" s="23" t="s">
        <v>13</v>
      </c>
      <c r="C135" s="23" t="s">
        <v>14</v>
      </c>
      <c r="D135" s="23" t="str">
        <f>_xlfn.TEXTJOIN(" ",,Table13[[#This Row],[Rep First Name]],Table13[[#This Row],[Rep Last Name]])</f>
        <v>Sanya Joshi</v>
      </c>
      <c r="E135" s="23" t="s">
        <v>76</v>
      </c>
      <c r="F135" s="23" t="str">
        <f>IF(LEN(Table13[[#This Row],[Month]]) &gt; 0, LEFT(Table13[[#This Row],[Month]], 3), "")</f>
        <v>May</v>
      </c>
      <c r="G135" s="23" t="s">
        <v>67</v>
      </c>
      <c r="H135" s="23" t="s">
        <v>17</v>
      </c>
      <c r="I135" s="44">
        <f>IF(ISNUMBER(SEARCH("km/h",Table13[[#This Row],[Min Speed]])),VALUE(_xlfn.TEXTBEFORE(Table13[[#This Row],[Min Speed]]," ")),ROUND(VALUE(_xlfn.TEXTBEFORE(Table13[[#This Row],[Min Speed]]," "))*1.60934,0))</f>
        <v>64</v>
      </c>
      <c r="J135" s="44">
        <f>ROUND(IF(ISNUMBER(SEARCH("km/h",Table13[[#This Row],[Min Speed]])),Table13[[#This Row],[Min Speed (km/h)]]*0.621371,VALUE(_xlfn.TEXTBEFORE(Table13[[#This Row],[Min Speed]]," "))),0)</f>
        <v>40</v>
      </c>
      <c r="K135" s="23" t="s">
        <v>18</v>
      </c>
      <c r="L135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35" s="44">
        <f>IF(ISNUMBER(SEARCH("mph",Table13[[#This Row],[Max Speed]])),--_xlfn.TEXTBEFORE(Table13[[#This Row],[Max Speed]]," mph"),ROUND(--_xlfn.TEXTBEFORE(Table13[[#This Row],[Max Speed]]," km/h")*0.621371,0))</f>
        <v>75</v>
      </c>
      <c r="N135" s="23" t="s">
        <v>68</v>
      </c>
      <c r="O13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35" s="42" t="str">
        <f>TEXT(Table13[[#This Row],[Min Speed (km/h)]],"0")&amp;" - "&amp;TEXT(Table13[[#This Row],[Max Speed (km/h)]],"0")&amp;""</f>
        <v>64 - 120</v>
      </c>
      <c r="Q135" s="46">
        <f>IF(Table13[[#This Row],[Distance (km)]]="", AVERAGE(Table13[Distance (km)]), Table13[[#This Row],[Distance (km)]])</f>
        <v>600</v>
      </c>
      <c r="R135" s="23" t="s">
        <v>100</v>
      </c>
      <c r="S135" s="42" t="str" cm="1">
        <f t="array" ref="S135">TRIM(INDEX(_xlfn.TEXTSPLIT(Table13[[#This Row],[Shipping Address]],","),1))</f>
        <v>789 Avenue des Champs-Élysées</v>
      </c>
      <c r="T135" s="42" t="str" cm="1">
        <f t="array" ref="T135">TRIM(INDEX(_xlfn.TEXTSPLIT(Table13[[#This Row],[Shipping Address]],","),2))</f>
        <v>Marseille</v>
      </c>
      <c r="U135" s="42" t="str" cm="1">
        <f t="array" ref="U135">TRIM(INDEX(_xlfn.TEXTSPLIT(Table13[[#This Row],[Shipping Address]],","),3))</f>
        <v>75008</v>
      </c>
      <c r="V135" s="23" t="s">
        <v>98</v>
      </c>
      <c r="W135" s="42" t="str" cm="1">
        <f t="array" ref="W135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135" s="42" t="str" cm="1">
        <f t="array" ref="X135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5" s="23" t="s">
        <v>94</v>
      </c>
      <c r="Z135" s="33">
        <f>_xlfn.NUMBERVALUE(_xlfn.TEXTBEFORE(Table13[[#This Row],[Unit Price]]," "))</f>
        <v>232</v>
      </c>
      <c r="AA135" s="23" t="str">
        <f>RIGHT(Table13[[#This Row],[Unit Price]],LEN(Table13[[#This Row],[Unit Price]])-FIND(" ",Table13[[#This Row],[Unit Price]]))</f>
        <v>EUR</v>
      </c>
      <c r="AB135" s="33" cm="1">
        <f t="array" ref="AB135">Table13[[#This Row],[Unit Price Value]]*_xlfn.XLOOKUP(Table13[[#This Row],[Unit Price Currency]],{"EUR","USD","GBP","BRL","CAD","CNY","AUD","ZAR","MXN","JPY","INR"},{1,0.86,1.15,0.15,0.63,0.12,0.56,0.05,0.05,0.01,0.01},NA())</f>
        <v>232</v>
      </c>
      <c r="AC135" s="32">
        <v>8</v>
      </c>
      <c r="AD135" s="32">
        <v>15</v>
      </c>
      <c r="AE135" s="20">
        <f>IF(Table13[[#This Row],[Discount (%)]]="",CHOOSE(MATCH(MOD(Table13[[#This Row],[Sales Rep ID]],3)+1,{1,2,3},0),5,10,15),Table13[[#This Row],[Discount (%)]])</f>
        <v>15</v>
      </c>
      <c r="AF135" s="38">
        <f>Table13[[#This Row],[Unit Price (EUR)]]*Table13[[#This Row],[Units Sold]]</f>
        <v>1856</v>
      </c>
      <c r="AG135" s="38">
        <f>Table13[[#This Row],[Gross Price (Euro)]]*Table13[[#This Row],[Calc Discount (%)]]/100</f>
        <v>278.39999999999998</v>
      </c>
      <c r="AH135" s="39">
        <f>Table13[[#This Row],[Gross Price (Euro)]]-Table13[[#This Row],[Discount Value (Euro)]]</f>
        <v>1577.6</v>
      </c>
    </row>
    <row r="136" spans="1:34" x14ac:dyDescent="0.25">
      <c r="A136" s="43">
        <v>135</v>
      </c>
      <c r="B136" s="23" t="s">
        <v>13</v>
      </c>
      <c r="C136" s="23" t="s">
        <v>14</v>
      </c>
      <c r="D136" s="23" t="str">
        <f>_xlfn.TEXTJOIN(" ",,Table13[[#This Row],[Rep First Name]],Table13[[#This Row],[Rep Last Name]])</f>
        <v>Sanya Joshi</v>
      </c>
      <c r="E136" s="23" t="s">
        <v>31</v>
      </c>
      <c r="F136" s="23" t="str">
        <f>IF(LEN(Table13[[#This Row],[Month]]) &gt; 0, LEFT(Table13[[#This Row],[Month]], 3), "")</f>
        <v>Jan</v>
      </c>
      <c r="G136" s="23" t="s">
        <v>16</v>
      </c>
      <c r="H136" s="23" t="s">
        <v>24</v>
      </c>
      <c r="I136" s="44">
        <f>IF(ISNUMBER(SEARCH("km/h",Table13[[#This Row],[Min Speed]])),VALUE(_xlfn.TEXTBEFORE(Table13[[#This Row],[Min Speed]]," ")),ROUND(VALUE(_xlfn.TEXTBEFORE(Table13[[#This Row],[Min Speed]]," "))*1.60934,0))</f>
        <v>80</v>
      </c>
      <c r="J136" s="44">
        <f>ROUND(IF(ISNUMBER(SEARCH("km/h",Table13[[#This Row],[Min Speed]])),Table13[[#This Row],[Min Speed (km/h)]]*0.621371,VALUE(_xlfn.TEXTBEFORE(Table13[[#This Row],[Min Speed]]," "))),0)</f>
        <v>50</v>
      </c>
      <c r="K136" s="23" t="s">
        <v>25</v>
      </c>
      <c r="L136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36" s="44">
        <f>IF(ISNUMBER(SEARCH("mph",Table13[[#This Row],[Max Speed]])),--_xlfn.TEXTBEFORE(Table13[[#This Row],[Max Speed]]," mph"),ROUND(--_xlfn.TEXTBEFORE(Table13[[#This Row],[Max Speed]]," km/h")*0.621371,0))</f>
        <v>150</v>
      </c>
      <c r="N136" s="23" t="s">
        <v>19</v>
      </c>
      <c r="O13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36" s="42" t="str">
        <f>TEXT(Table13[[#This Row],[Min Speed (km/h)]],"0")&amp;" - "&amp;TEXT(Table13[[#This Row],[Max Speed (km/h)]],"0")&amp;""</f>
        <v>80 - 241</v>
      </c>
      <c r="Q136" s="46">
        <f>IF(Table13[[#This Row],[Distance (km)]]="", AVERAGE(Table13[Distance (km)]), Table13[[#This Row],[Distance (km)]])</f>
        <v>500</v>
      </c>
      <c r="R136" s="23" t="s">
        <v>101</v>
      </c>
      <c r="S136" s="42" t="str" cm="1">
        <f t="array" ref="S136">TRIM(INDEX(_xlfn.TEXTSPLIT(Table13[[#This Row],[Shipping Address]],","),1))</f>
        <v>321 Rue du Faubourg</v>
      </c>
      <c r="T136" s="42" t="str" cm="1">
        <f t="array" ref="T136">TRIM(INDEX(_xlfn.TEXTSPLIT(Table13[[#This Row],[Shipping Address]],","),2))</f>
        <v>Toulouse</v>
      </c>
      <c r="U136" s="42" t="str" cm="1">
        <f t="array" ref="U136">TRIM(INDEX(_xlfn.TEXTSPLIT(Table13[[#This Row],[Shipping Address]],","),3))</f>
        <v>75010</v>
      </c>
      <c r="V136" s="23" t="s">
        <v>98</v>
      </c>
      <c r="W136" s="42" t="str" cm="1">
        <f t="array" ref="W136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136" s="42" t="str" cm="1">
        <f t="array" ref="X136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6" s="23" t="s">
        <v>96</v>
      </c>
      <c r="Z136" s="33">
        <f>_xlfn.NUMBERVALUE(_xlfn.TEXTBEFORE(Table13[[#This Row],[Unit Price]]," "))</f>
        <v>279</v>
      </c>
      <c r="AA136" s="23" t="str">
        <f>RIGHT(Table13[[#This Row],[Unit Price]],LEN(Table13[[#This Row],[Unit Price]])-FIND(" ",Table13[[#This Row],[Unit Price]]))</f>
        <v>EUR</v>
      </c>
      <c r="AB136" s="33" cm="1">
        <f t="array" ref="AB136">Table13[[#This Row],[Unit Price Value]]*_xlfn.XLOOKUP(Table13[[#This Row],[Unit Price Currency]],{"EUR","USD","GBP","BRL","CAD","CNY","AUD","ZAR","MXN","JPY","INR"},{1,0.86,1.15,0.15,0.63,0.12,0.56,0.05,0.05,0.01,0.01},NA())</f>
        <v>279</v>
      </c>
      <c r="AC136" s="32">
        <v>5</v>
      </c>
      <c r="AD136" s="32">
        <v>15</v>
      </c>
      <c r="AE136" s="20">
        <f>IF(Table13[[#This Row],[Discount (%)]]="",CHOOSE(MATCH(MOD(Table13[[#This Row],[Sales Rep ID]],3)+1,{1,2,3},0),5,10,15),Table13[[#This Row],[Discount (%)]])</f>
        <v>15</v>
      </c>
      <c r="AF136" s="38">
        <f>Table13[[#This Row],[Unit Price (EUR)]]*Table13[[#This Row],[Units Sold]]</f>
        <v>1395</v>
      </c>
      <c r="AG136" s="38">
        <f>Table13[[#This Row],[Gross Price (Euro)]]*Table13[[#This Row],[Calc Discount (%)]]/100</f>
        <v>209.25</v>
      </c>
      <c r="AH136" s="39">
        <f>Table13[[#This Row],[Gross Price (Euro)]]-Table13[[#This Row],[Discount Value (Euro)]]</f>
        <v>1185.75</v>
      </c>
    </row>
    <row r="137" spans="1:34" x14ac:dyDescent="0.25">
      <c r="A137" s="43">
        <v>136</v>
      </c>
      <c r="B137" s="23" t="s">
        <v>13</v>
      </c>
      <c r="C137" s="23" t="s">
        <v>14</v>
      </c>
      <c r="D137" s="23" t="str">
        <f>_xlfn.TEXTJOIN(" ",,Table13[[#This Row],[Rep First Name]],Table13[[#This Row],[Rep Last Name]])</f>
        <v>Sanya Joshi</v>
      </c>
      <c r="E137" s="23" t="s">
        <v>15</v>
      </c>
      <c r="F137" s="23" t="str">
        <f>IF(LEN(Table13[[#This Row],[Month]]) &gt; 0, LEFT(Table13[[#This Row],[Month]], 3), "")</f>
        <v>Jun</v>
      </c>
      <c r="G137" s="23" t="s">
        <v>43</v>
      </c>
      <c r="H137" s="23" t="s">
        <v>48</v>
      </c>
      <c r="I137" s="44">
        <f>IF(ISNUMBER(SEARCH("km/h",Table13[[#This Row],[Min Speed]])),VALUE(_xlfn.TEXTBEFORE(Table13[[#This Row],[Min Speed]]," ")),ROUND(VALUE(_xlfn.TEXTBEFORE(Table13[[#This Row],[Min Speed]]," "))*1.60934,0))</f>
        <v>20</v>
      </c>
      <c r="J137" s="44">
        <f>ROUND(IF(ISNUMBER(SEARCH("km/h",Table13[[#This Row],[Min Speed]])),Table13[[#This Row],[Min Speed (km/h)]]*0.621371,VALUE(_xlfn.TEXTBEFORE(Table13[[#This Row],[Min Speed]]," "))),0)</f>
        <v>12</v>
      </c>
      <c r="K137" s="23" t="s">
        <v>25</v>
      </c>
      <c r="L137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37" s="44">
        <f>IF(ISNUMBER(SEARCH("mph",Table13[[#This Row],[Max Speed]])),--_xlfn.TEXTBEFORE(Table13[[#This Row],[Max Speed]]," mph"),ROUND(--_xlfn.TEXTBEFORE(Table13[[#This Row],[Max Speed]]," km/h")*0.621371,0))</f>
        <v>150</v>
      </c>
      <c r="N137" s="23" t="s">
        <v>26</v>
      </c>
      <c r="O13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37" s="42" t="str">
        <f>TEXT(Table13[[#This Row],[Min Speed (km/h)]],"0")&amp;" - "&amp;TEXT(Table13[[#This Row],[Max Speed (km/h)]],"0")&amp;""</f>
        <v>20 - 241</v>
      </c>
      <c r="Q137" s="46">
        <f>IF(Table13[[#This Row],[Distance (km)]]="", AVERAGE(Table13[Distance (km)]), Table13[[#This Row],[Distance (km)]])</f>
        <v>482.80200000000002</v>
      </c>
      <c r="R137" s="23" t="s">
        <v>101</v>
      </c>
      <c r="S137" s="42" t="str" cm="1">
        <f t="array" ref="S137">TRIM(INDEX(_xlfn.TEXTSPLIT(Table13[[#This Row],[Shipping Address]],","),1))</f>
        <v>321 Rue du Faubourg</v>
      </c>
      <c r="T137" s="42" t="str" cm="1">
        <f t="array" ref="T137">TRIM(INDEX(_xlfn.TEXTSPLIT(Table13[[#This Row],[Shipping Address]],","),2))</f>
        <v>Toulouse</v>
      </c>
      <c r="U137" s="42" t="str" cm="1">
        <f t="array" ref="U137">TRIM(INDEX(_xlfn.TEXTSPLIT(Table13[[#This Row],[Shipping Address]],","),3))</f>
        <v>75010</v>
      </c>
      <c r="V137" s="23" t="s">
        <v>98</v>
      </c>
      <c r="W137" s="42" t="str" cm="1">
        <f t="array" ref="W137">_xlfn.XLOOKUP(Table13[[#This Row],[Country Code]],{"US","CA","MX","BR","GB","DE","FR","CN","IN","AU","ZA","JP"},{"United States","Canada","Mexico","Brazil","United Kingdom","Germany","France","China","India","Australia","South Africa","Japan"},"Other")</f>
        <v>France</v>
      </c>
      <c r="X137" s="42" t="str" cm="1">
        <f t="array" ref="X137">_xlfn.XLOOKUP(Table13[[#This Row],[Country Code]],{"US","CA","MX","BR","GB","DE","FR","CN","IN","AU","ZA","JP"},{"North America","North America","North America","South America","Europe","Europe","Europe","Asia","Asia","Oceania","Africa","Asia"},"Other")</f>
        <v>Europe</v>
      </c>
      <c r="Y137" s="23" t="s">
        <v>96</v>
      </c>
      <c r="Z137" s="33">
        <f>_xlfn.NUMBERVALUE(_xlfn.TEXTBEFORE(Table13[[#This Row],[Unit Price]]," "))</f>
        <v>279</v>
      </c>
      <c r="AA137" s="23" t="str">
        <f>RIGHT(Table13[[#This Row],[Unit Price]],LEN(Table13[[#This Row],[Unit Price]])-FIND(" ",Table13[[#This Row],[Unit Price]]))</f>
        <v>EUR</v>
      </c>
      <c r="AB137" s="33" cm="1">
        <f t="array" ref="AB137">Table13[[#This Row],[Unit Price Value]]*_xlfn.XLOOKUP(Table13[[#This Row],[Unit Price Currency]],{"EUR","USD","GBP","BRL","CAD","CNY","AUD","ZAR","MXN","JPY","INR"},{1,0.86,1.15,0.15,0.63,0.12,0.56,0.05,0.05,0.01,0.01},NA())</f>
        <v>279</v>
      </c>
      <c r="AC137" s="32">
        <v>5</v>
      </c>
      <c r="AD137" s="32">
        <v>10</v>
      </c>
      <c r="AE137" s="20">
        <f>IF(Table13[[#This Row],[Discount (%)]]="",CHOOSE(MATCH(MOD(Table13[[#This Row],[Sales Rep ID]],3)+1,{1,2,3},0),5,10,15),Table13[[#This Row],[Discount (%)]])</f>
        <v>10</v>
      </c>
      <c r="AF137" s="38">
        <f>Table13[[#This Row],[Unit Price (EUR)]]*Table13[[#This Row],[Units Sold]]</f>
        <v>1395</v>
      </c>
      <c r="AG137" s="38">
        <f>Table13[[#This Row],[Gross Price (Euro)]]*Table13[[#This Row],[Calc Discount (%)]]/100</f>
        <v>139.5</v>
      </c>
      <c r="AH137" s="39">
        <f>Table13[[#This Row],[Gross Price (Euro)]]-Table13[[#This Row],[Discount Value (Euro)]]</f>
        <v>1255.5</v>
      </c>
    </row>
    <row r="138" spans="1:34" x14ac:dyDescent="0.25">
      <c r="A138" s="43">
        <v>137</v>
      </c>
      <c r="B138" s="23" t="s">
        <v>35</v>
      </c>
      <c r="C138" s="23" t="s">
        <v>36</v>
      </c>
      <c r="D138" s="23" t="str">
        <f>_xlfn.TEXTJOIN(" ",,Table13[[#This Row],[Rep First Name]],Table13[[#This Row],[Rep Last Name]])</f>
        <v>Fang Liu</v>
      </c>
      <c r="E138" s="23" t="s">
        <v>23</v>
      </c>
      <c r="F138" s="23" t="str">
        <f>IF(LEN(Table13[[#This Row],[Month]]) &gt; 0, LEFT(Table13[[#This Row],[Month]], 3), "")</f>
        <v>Mar</v>
      </c>
      <c r="G138" s="23" t="s">
        <v>27</v>
      </c>
      <c r="H138" s="23" t="s">
        <v>32</v>
      </c>
      <c r="I138" s="44">
        <f>IF(ISNUMBER(SEARCH("km/h",Table13[[#This Row],[Min Speed]])),VALUE(_xlfn.TEXTBEFORE(Table13[[#This Row],[Min Speed]]," ")),ROUND(VALUE(_xlfn.TEXTBEFORE(Table13[[#This Row],[Min Speed]]," "))*1.60934,0))</f>
        <v>30</v>
      </c>
      <c r="J138" s="44">
        <f>ROUND(IF(ISNUMBER(SEARCH("km/h",Table13[[#This Row],[Min Speed]])),Table13[[#This Row],[Min Speed (km/h)]]*0.621371,VALUE(_xlfn.TEXTBEFORE(Table13[[#This Row],[Min Speed]]," "))),0)</f>
        <v>19</v>
      </c>
      <c r="K138" s="23" t="s">
        <v>25</v>
      </c>
      <c r="L138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38" s="44">
        <f>IF(ISNUMBER(SEARCH("mph",Table13[[#This Row],[Max Speed]])),--_xlfn.TEXTBEFORE(Table13[[#This Row],[Max Speed]]," mph"),ROUND(--_xlfn.TEXTBEFORE(Table13[[#This Row],[Max Speed]]," km/h")*0.621371,0))</f>
        <v>150</v>
      </c>
      <c r="N138" s="23" t="s">
        <v>28</v>
      </c>
      <c r="O13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38" s="42" t="str">
        <f>TEXT(Table13[[#This Row],[Min Speed (km/h)]],"0")&amp;" - "&amp;TEXT(Table13[[#This Row],[Max Speed (km/h)]],"0")&amp;""</f>
        <v>30 - 241</v>
      </c>
      <c r="Q138" s="46">
        <f>IF(Table13[[#This Row],[Distance (km)]]="", AVERAGE(Table13[Distance (km)]), Table13[[#This Row],[Distance (km)]])</f>
        <v>241.40100000000001</v>
      </c>
      <c r="R138" s="23" t="s">
        <v>102</v>
      </c>
      <c r="S138" s="42" t="str" cm="1">
        <f t="array" ref="S138">TRIM(INDEX(_xlfn.TEXTSPLIT(Table13[[#This Row],[Shipping Address]],","),1))</f>
        <v>123 Chang'an Avenue</v>
      </c>
      <c r="T138" s="42" t="str" cm="1">
        <f t="array" ref="T138">TRIM(INDEX(_xlfn.TEXTSPLIT(Table13[[#This Row],[Shipping Address]],","),2))</f>
        <v>Beijing</v>
      </c>
      <c r="U138" s="42" t="str" cm="1">
        <f t="array" ref="U138">TRIM(INDEX(_xlfn.TEXTSPLIT(Table13[[#This Row],[Shipping Address]],","),3))</f>
        <v>100001</v>
      </c>
      <c r="V138" s="23" t="s">
        <v>103</v>
      </c>
      <c r="W138" s="42" t="str" cm="1">
        <f t="array" ref="W138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138" s="42" t="str" cm="1">
        <f t="array" ref="X138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38" s="23" t="s">
        <v>104</v>
      </c>
      <c r="Z138" s="33">
        <f>_xlfn.NUMBERVALUE(_xlfn.TEXTBEFORE(Table13[[#This Row],[Unit Price]]," "))</f>
        <v>1083</v>
      </c>
      <c r="AA138" s="23" t="str">
        <f>RIGHT(Table13[[#This Row],[Unit Price]],LEN(Table13[[#This Row],[Unit Price]])-FIND(" ",Table13[[#This Row],[Unit Price]]))</f>
        <v>CNY</v>
      </c>
      <c r="AB138" s="33" cm="1">
        <f t="array" ref="AB138">Table13[[#This Row],[Unit Price Value]]*_xlfn.XLOOKUP(Table13[[#This Row],[Unit Price Currency]],{"EUR","USD","GBP","BRL","CAD","CNY","AUD","ZAR","MXN","JPY","INR"},{1,0.86,1.15,0.15,0.63,0.12,0.56,0.05,0.05,0.01,0.01},NA())</f>
        <v>129.96</v>
      </c>
      <c r="AC138" s="32">
        <v>16</v>
      </c>
      <c r="AD138" s="32">
        <v>15</v>
      </c>
      <c r="AE138" s="20">
        <f>IF(Table13[[#This Row],[Discount (%)]]="",CHOOSE(MATCH(MOD(Table13[[#This Row],[Sales Rep ID]],3)+1,{1,2,3},0),5,10,15),Table13[[#This Row],[Discount (%)]])</f>
        <v>15</v>
      </c>
      <c r="AF138" s="38">
        <f>Table13[[#This Row],[Unit Price (EUR)]]*Table13[[#This Row],[Units Sold]]</f>
        <v>2079.36</v>
      </c>
      <c r="AG138" s="38">
        <f>Table13[[#This Row],[Gross Price (Euro)]]*Table13[[#This Row],[Calc Discount (%)]]/100</f>
        <v>311.904</v>
      </c>
      <c r="AH138" s="39">
        <f>Table13[[#This Row],[Gross Price (Euro)]]-Table13[[#This Row],[Discount Value (Euro)]]</f>
        <v>1767.4560000000001</v>
      </c>
    </row>
    <row r="139" spans="1:34" x14ac:dyDescent="0.25">
      <c r="A139" s="43">
        <v>138</v>
      </c>
      <c r="B139" s="23" t="s">
        <v>35</v>
      </c>
      <c r="C139" s="23" t="s">
        <v>36</v>
      </c>
      <c r="D139" s="23" t="str">
        <f>_xlfn.TEXTJOIN(" ",,Table13[[#This Row],[Rep First Name]],Table13[[#This Row],[Rep Last Name]])</f>
        <v>Fang Liu</v>
      </c>
      <c r="E139" s="23" t="s">
        <v>15</v>
      </c>
      <c r="F139" s="23" t="str">
        <f>IF(LEN(Table13[[#This Row],[Month]]) &gt; 0, LEFT(Table13[[#This Row],[Month]], 3), "")</f>
        <v>Jun</v>
      </c>
      <c r="G139" s="23" t="s">
        <v>43</v>
      </c>
      <c r="H139" s="23" t="s">
        <v>32</v>
      </c>
      <c r="I139" s="44">
        <f>IF(ISNUMBER(SEARCH("km/h",Table13[[#This Row],[Min Speed]])),VALUE(_xlfn.TEXTBEFORE(Table13[[#This Row],[Min Speed]]," ")),ROUND(VALUE(_xlfn.TEXTBEFORE(Table13[[#This Row],[Min Speed]]," "))*1.60934,0))</f>
        <v>30</v>
      </c>
      <c r="J139" s="44">
        <f>ROUND(IF(ISNUMBER(SEARCH("km/h",Table13[[#This Row],[Min Speed]])),Table13[[#This Row],[Min Speed (km/h)]]*0.621371,VALUE(_xlfn.TEXTBEFORE(Table13[[#This Row],[Min Speed]]," "))),0)</f>
        <v>19</v>
      </c>
      <c r="K139" s="23" t="s">
        <v>55</v>
      </c>
      <c r="L139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39" s="44">
        <f>IF(ISNUMBER(SEARCH("mph",Table13[[#This Row],[Max Speed]])),--_xlfn.TEXTBEFORE(Table13[[#This Row],[Max Speed]]," mph"),ROUND(--_xlfn.TEXTBEFORE(Table13[[#This Row],[Max Speed]]," km/h")*0.621371,0))</f>
        <v>100</v>
      </c>
      <c r="N139" s="23" t="s">
        <v>19</v>
      </c>
      <c r="O13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39" s="42" t="str">
        <f>TEXT(Table13[[#This Row],[Min Speed (km/h)]],"0")&amp;" - "&amp;TEXT(Table13[[#This Row],[Max Speed (km/h)]],"0")&amp;""</f>
        <v>30 - 161</v>
      </c>
      <c r="Q139" s="46">
        <f>IF(Table13[[#This Row],[Distance (km)]]="", AVERAGE(Table13[Distance (km)]), Table13[[#This Row],[Distance (km)]])</f>
        <v>500</v>
      </c>
      <c r="R139" s="23" t="s">
        <v>105</v>
      </c>
      <c r="S139" s="42" t="str" cm="1">
        <f t="array" ref="S139">TRIM(INDEX(_xlfn.TEXTSPLIT(Table13[[#This Row],[Shipping Address]],","),1))</f>
        <v>456 Wangfujing Street</v>
      </c>
      <c r="T139" s="42" t="str" cm="1">
        <f t="array" ref="T139">TRIM(INDEX(_xlfn.TEXTSPLIT(Table13[[#This Row],[Shipping Address]],","),2))</f>
        <v>Shanghai</v>
      </c>
      <c r="U139" s="42" t="str" cm="1">
        <f t="array" ref="U139">TRIM(INDEX(_xlfn.TEXTSPLIT(Table13[[#This Row],[Shipping Address]],","),3))</f>
        <v>100006</v>
      </c>
      <c r="V139" s="23" t="s">
        <v>103</v>
      </c>
      <c r="W139" s="42" t="str" cm="1">
        <f t="array" ref="W139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139" s="42" t="str" cm="1">
        <f t="array" ref="X139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39" s="23" t="s">
        <v>106</v>
      </c>
      <c r="Z139" s="33">
        <f>_xlfn.NUMBERVALUE(_xlfn.TEXTBEFORE(Table13[[#This Row],[Unit Price]]," "))</f>
        <v>1445</v>
      </c>
      <c r="AA139" s="23" t="str">
        <f>RIGHT(Table13[[#This Row],[Unit Price]],LEN(Table13[[#This Row],[Unit Price]])-FIND(" ",Table13[[#This Row],[Unit Price]]))</f>
        <v>CNY</v>
      </c>
      <c r="AB139" s="33" cm="1">
        <f t="array" ref="AB139">Table13[[#This Row],[Unit Price Value]]*_xlfn.XLOOKUP(Table13[[#This Row],[Unit Price Currency]],{"EUR","USD","GBP","BRL","CAD","CNY","AUD","ZAR","MXN","JPY","INR"},{1,0.86,1.15,0.15,0.63,0.12,0.56,0.05,0.05,0.01,0.01},NA())</f>
        <v>173.4</v>
      </c>
      <c r="AC139" s="32">
        <v>20</v>
      </c>
      <c r="AD139" s="32"/>
      <c r="AE139" s="20">
        <f>IF(Table13[[#This Row],[Discount (%)]]="",CHOOSE(MATCH(MOD(Table13[[#This Row],[Sales Rep ID]],3)+1,{1,2,3},0),5,10,15),Table13[[#This Row],[Discount (%)]])</f>
        <v>5</v>
      </c>
      <c r="AF139" s="38">
        <f>Table13[[#This Row],[Unit Price (EUR)]]*Table13[[#This Row],[Units Sold]]</f>
        <v>3468</v>
      </c>
      <c r="AG139" s="38">
        <f>Table13[[#This Row],[Gross Price (Euro)]]*Table13[[#This Row],[Calc Discount (%)]]/100</f>
        <v>173.4</v>
      </c>
      <c r="AH139" s="39">
        <f>Table13[[#This Row],[Gross Price (Euro)]]-Table13[[#This Row],[Discount Value (Euro)]]</f>
        <v>3294.6</v>
      </c>
    </row>
    <row r="140" spans="1:34" x14ac:dyDescent="0.25">
      <c r="A140" s="43">
        <v>139</v>
      </c>
      <c r="B140" s="23" t="s">
        <v>35</v>
      </c>
      <c r="C140" s="23" t="s">
        <v>36</v>
      </c>
      <c r="D140" s="23" t="str">
        <f>_xlfn.TEXTJOIN(" ",,Table13[[#This Row],[Rep First Name]],Table13[[#This Row],[Rep Last Name]])</f>
        <v>Fang Liu</v>
      </c>
      <c r="E140" s="23" t="s">
        <v>15</v>
      </c>
      <c r="F140" s="23" t="str">
        <f>IF(LEN(Table13[[#This Row],[Month]]) &gt; 0, LEFT(Table13[[#This Row],[Month]], 3), "")</f>
        <v>Jun</v>
      </c>
      <c r="G140" s="23" t="s">
        <v>16</v>
      </c>
      <c r="H140" s="23" t="s">
        <v>32</v>
      </c>
      <c r="I140" s="44">
        <f>IF(ISNUMBER(SEARCH("km/h",Table13[[#This Row],[Min Speed]])),VALUE(_xlfn.TEXTBEFORE(Table13[[#This Row],[Min Speed]]," ")),ROUND(VALUE(_xlfn.TEXTBEFORE(Table13[[#This Row],[Min Speed]]," "))*1.60934,0))</f>
        <v>30</v>
      </c>
      <c r="J140" s="44">
        <f>ROUND(IF(ISNUMBER(SEARCH("km/h",Table13[[#This Row],[Min Speed]])),Table13[[#This Row],[Min Speed (km/h)]]*0.621371,VALUE(_xlfn.TEXTBEFORE(Table13[[#This Row],[Min Speed]]," "))),0)</f>
        <v>19</v>
      </c>
      <c r="K140" s="23" t="s">
        <v>55</v>
      </c>
      <c r="L140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40" s="44">
        <f>IF(ISNUMBER(SEARCH("mph",Table13[[#This Row],[Max Speed]])),--_xlfn.TEXTBEFORE(Table13[[#This Row],[Max Speed]]," mph"),ROUND(--_xlfn.TEXTBEFORE(Table13[[#This Row],[Max Speed]]," km/h")*0.621371,0))</f>
        <v>100</v>
      </c>
      <c r="N140" s="23" t="s">
        <v>19</v>
      </c>
      <c r="O14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500</v>
      </c>
      <c r="P140" s="42" t="str">
        <f>TEXT(Table13[[#This Row],[Min Speed (km/h)]],"0")&amp;" - "&amp;TEXT(Table13[[#This Row],[Max Speed (km/h)]],"0")&amp;""</f>
        <v>30 - 161</v>
      </c>
      <c r="Q140" s="46">
        <f>IF(Table13[[#This Row],[Distance (km)]]="", AVERAGE(Table13[Distance (km)]), Table13[[#This Row],[Distance (km)]])</f>
        <v>500</v>
      </c>
      <c r="R140" s="23" t="s">
        <v>107</v>
      </c>
      <c r="S140" s="42" t="str" cm="1">
        <f t="array" ref="S140">TRIM(INDEX(_xlfn.TEXTSPLIT(Table13[[#This Row],[Shipping Address]],","),1))</f>
        <v>789 Nanjing Road</v>
      </c>
      <c r="T140" s="42" t="str" cm="1">
        <f t="array" ref="T140">TRIM(INDEX(_xlfn.TEXTSPLIT(Table13[[#This Row],[Shipping Address]],","),2))</f>
        <v>Shenzhen</v>
      </c>
      <c r="U140" s="42" t="str" cm="1">
        <f t="array" ref="U140">TRIM(INDEX(_xlfn.TEXTSPLIT(Table13[[#This Row],[Shipping Address]],","),3))</f>
        <v>200001</v>
      </c>
      <c r="V140" s="23" t="s">
        <v>103</v>
      </c>
      <c r="W140" s="42" t="str" cm="1">
        <f t="array" ref="W140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140" s="42" t="str" cm="1">
        <f t="array" ref="X140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40" s="23" t="s">
        <v>108</v>
      </c>
      <c r="Z140" s="33">
        <f>_xlfn.NUMBERVALUE(_xlfn.TEXTBEFORE(Table13[[#This Row],[Unit Price]]," "))</f>
        <v>1807</v>
      </c>
      <c r="AA140" s="23" t="str">
        <f>RIGHT(Table13[[#This Row],[Unit Price]],LEN(Table13[[#This Row],[Unit Price]])-FIND(" ",Table13[[#This Row],[Unit Price]]))</f>
        <v>CNY</v>
      </c>
      <c r="AB140" s="33" cm="1">
        <f t="array" ref="AB140">Table13[[#This Row],[Unit Price Value]]*_xlfn.XLOOKUP(Table13[[#This Row],[Unit Price Currency]],{"EUR","USD","GBP","BRL","CAD","CNY","AUD","ZAR","MXN","JPY","INR"},{1,0.86,1.15,0.15,0.63,0.12,0.56,0.05,0.05,0.01,0.01},NA())</f>
        <v>216.84</v>
      </c>
      <c r="AC140" s="32">
        <v>12</v>
      </c>
      <c r="AD140" s="32">
        <v>15</v>
      </c>
      <c r="AE140" s="20">
        <f>IF(Table13[[#This Row],[Discount (%)]]="",CHOOSE(MATCH(MOD(Table13[[#This Row],[Sales Rep ID]],3)+1,{1,2,3},0),5,10,15),Table13[[#This Row],[Discount (%)]])</f>
        <v>15</v>
      </c>
      <c r="AF140" s="38">
        <f>Table13[[#This Row],[Unit Price (EUR)]]*Table13[[#This Row],[Units Sold]]</f>
        <v>2602.08</v>
      </c>
      <c r="AG140" s="38">
        <f>Table13[[#This Row],[Gross Price (Euro)]]*Table13[[#This Row],[Calc Discount (%)]]/100</f>
        <v>390.31199999999995</v>
      </c>
      <c r="AH140" s="39">
        <f>Table13[[#This Row],[Gross Price (Euro)]]-Table13[[#This Row],[Discount Value (Euro)]]</f>
        <v>2211.768</v>
      </c>
    </row>
    <row r="141" spans="1:34" x14ac:dyDescent="0.25">
      <c r="A141" s="43">
        <v>140</v>
      </c>
      <c r="B141" s="23" t="s">
        <v>45</v>
      </c>
      <c r="C141" s="23" t="s">
        <v>46</v>
      </c>
      <c r="D141" s="23" t="str">
        <f>_xlfn.TEXTJOIN(" ",,Table13[[#This Row],[Rep First Name]],Table13[[#This Row],[Rep Last Name]])</f>
        <v>Jonas Fischer</v>
      </c>
      <c r="E141" s="23" t="s">
        <v>47</v>
      </c>
      <c r="F141" s="23" t="str">
        <f>IF(LEN(Table13[[#This Row],[Month]]) &gt; 0, LEFT(Table13[[#This Row],[Month]], 3), "")</f>
        <v>Apr</v>
      </c>
      <c r="G141" s="23" t="s">
        <v>27</v>
      </c>
      <c r="H141" s="23" t="s">
        <v>24</v>
      </c>
      <c r="I141" s="44">
        <f>IF(ISNUMBER(SEARCH("km/h",Table13[[#This Row],[Min Speed]])),VALUE(_xlfn.TEXTBEFORE(Table13[[#This Row],[Min Speed]]," ")),ROUND(VALUE(_xlfn.TEXTBEFORE(Table13[[#This Row],[Min Speed]]," "))*1.60934,0))</f>
        <v>80</v>
      </c>
      <c r="J141" s="44">
        <f>ROUND(IF(ISNUMBER(SEARCH("km/h",Table13[[#This Row],[Min Speed]])),Table13[[#This Row],[Min Speed (km/h)]]*0.621371,VALUE(_xlfn.TEXTBEFORE(Table13[[#This Row],[Min Speed]]," "))),0)</f>
        <v>50</v>
      </c>
      <c r="K141" s="23" t="s">
        <v>25</v>
      </c>
      <c r="L141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41" s="44">
        <f>IF(ISNUMBER(SEARCH("mph",Table13[[#This Row],[Max Speed]])),--_xlfn.TEXTBEFORE(Table13[[#This Row],[Max Speed]]," mph"),ROUND(--_xlfn.TEXTBEFORE(Table13[[#This Row],[Max Speed]]," km/h")*0.621371,0))</f>
        <v>150</v>
      </c>
      <c r="N141" s="23" t="s">
        <v>26</v>
      </c>
      <c r="O141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41" s="42" t="str">
        <f>TEXT(Table13[[#This Row],[Min Speed (km/h)]],"0")&amp;" - "&amp;TEXT(Table13[[#This Row],[Max Speed (km/h)]],"0")&amp;""</f>
        <v>80 - 241</v>
      </c>
      <c r="Q141" s="46">
        <f>IF(Table13[[#This Row],[Distance (km)]]="", AVERAGE(Table13[Distance (km)]), Table13[[#This Row],[Distance (km)]])</f>
        <v>482.80200000000002</v>
      </c>
      <c r="R141" s="23" t="s">
        <v>109</v>
      </c>
      <c r="S141" s="42" t="str" cm="1">
        <f t="array" ref="S141">TRIM(INDEX(_xlfn.TEXTSPLIT(Table13[[#This Row],[Shipping Address]],","),1))</f>
        <v>321 Huaihai Road</v>
      </c>
      <c r="T141" s="42" t="str" cm="1">
        <f t="array" ref="T141">TRIM(INDEX(_xlfn.TEXTSPLIT(Table13[[#This Row],[Shipping Address]],","),2))</f>
        <v>Guangzhou</v>
      </c>
      <c r="U141" s="42" t="str" cm="1">
        <f t="array" ref="U141">TRIM(INDEX(_xlfn.TEXTSPLIT(Table13[[#This Row],[Shipping Address]],","),3))</f>
        <v>200020</v>
      </c>
      <c r="V141" s="23" t="s">
        <v>103</v>
      </c>
      <c r="W141" s="42" t="str" cm="1">
        <f t="array" ref="W141">_xlfn.XLOOKUP(Table13[[#This Row],[Country Code]],{"US","CA","MX","BR","GB","DE","FR","CN","IN","AU","ZA","JP"},{"United States","Canada","Mexico","Brazil","United Kingdom","Germany","France","China","India","Australia","South Africa","Japan"},"Other")</f>
        <v>China</v>
      </c>
      <c r="X141" s="42" t="str" cm="1">
        <f t="array" ref="X141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41" s="23" t="s">
        <v>110</v>
      </c>
      <c r="Z141" s="33">
        <f>_xlfn.NUMBERVALUE(_xlfn.TEXTBEFORE(Table13[[#This Row],[Unit Price]]," "))</f>
        <v>2069</v>
      </c>
      <c r="AA141" s="23" t="str">
        <f>RIGHT(Table13[[#This Row],[Unit Price]],LEN(Table13[[#This Row],[Unit Price]])-FIND(" ",Table13[[#This Row],[Unit Price]]))</f>
        <v>CNY</v>
      </c>
      <c r="AB141" s="33" cm="1">
        <f t="array" ref="AB141">Table13[[#This Row],[Unit Price Value]]*_xlfn.XLOOKUP(Table13[[#This Row],[Unit Price Currency]],{"EUR","USD","GBP","BRL","CAD","CNY","AUD","ZAR","MXN","JPY","INR"},{1,0.86,1.15,0.15,0.63,0.12,0.56,0.05,0.05,0.01,0.01},NA())</f>
        <v>248.28</v>
      </c>
      <c r="AC141" s="32">
        <v>7</v>
      </c>
      <c r="AD141" s="32">
        <v>5</v>
      </c>
      <c r="AE141" s="20">
        <f>IF(Table13[[#This Row],[Discount (%)]]="",CHOOSE(MATCH(MOD(Table13[[#This Row],[Sales Rep ID]],3)+1,{1,2,3},0),5,10,15),Table13[[#This Row],[Discount (%)]])</f>
        <v>5</v>
      </c>
      <c r="AF141" s="38">
        <f>Table13[[#This Row],[Unit Price (EUR)]]*Table13[[#This Row],[Units Sold]]</f>
        <v>1737.96</v>
      </c>
      <c r="AG141" s="38">
        <f>Table13[[#This Row],[Gross Price (Euro)]]*Table13[[#This Row],[Calc Discount (%)]]/100</f>
        <v>86.897999999999996</v>
      </c>
      <c r="AH141" s="39">
        <f>Table13[[#This Row],[Gross Price (Euro)]]-Table13[[#This Row],[Discount Value (Euro)]]</f>
        <v>1651.0620000000001</v>
      </c>
    </row>
    <row r="142" spans="1:34" x14ac:dyDescent="0.25">
      <c r="A142" s="43">
        <v>141</v>
      </c>
      <c r="B142" s="23" t="s">
        <v>45</v>
      </c>
      <c r="C142" s="23" t="s">
        <v>46</v>
      </c>
      <c r="D142" s="23" t="str">
        <f>_xlfn.TEXTJOIN(" ",,Table13[[#This Row],[Rep First Name]],Table13[[#This Row],[Rep Last Name]])</f>
        <v>Jonas Fischer</v>
      </c>
      <c r="E142" s="23" t="s">
        <v>76</v>
      </c>
      <c r="F142" s="23" t="str">
        <f>IF(LEN(Table13[[#This Row],[Month]]) &gt; 0, LEFT(Table13[[#This Row],[Month]], 3), "")</f>
        <v>May</v>
      </c>
      <c r="G142" s="23" t="s">
        <v>16</v>
      </c>
      <c r="H142" s="23" t="s">
        <v>24</v>
      </c>
      <c r="I142" s="44">
        <f>IF(ISNUMBER(SEARCH("km/h",Table13[[#This Row],[Min Speed]])),VALUE(_xlfn.TEXTBEFORE(Table13[[#This Row],[Min Speed]]," ")),ROUND(VALUE(_xlfn.TEXTBEFORE(Table13[[#This Row],[Min Speed]]," "))*1.60934,0))</f>
        <v>80</v>
      </c>
      <c r="J142" s="44">
        <f>ROUND(IF(ISNUMBER(SEARCH("km/h",Table13[[#This Row],[Min Speed]])),Table13[[#This Row],[Min Speed (km/h)]]*0.621371,VALUE(_xlfn.TEXTBEFORE(Table13[[#This Row],[Min Speed]]," "))),0)</f>
        <v>50</v>
      </c>
      <c r="K142" s="23" t="s">
        <v>55</v>
      </c>
      <c r="L142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42" s="44">
        <f>IF(ISNUMBER(SEARCH("mph",Table13[[#This Row],[Max Speed]])),--_xlfn.TEXTBEFORE(Table13[[#This Row],[Max Speed]]," mph"),ROUND(--_xlfn.TEXTBEFORE(Table13[[#This Row],[Max Speed]]," km/h")*0.621371,0))</f>
        <v>100</v>
      </c>
      <c r="N142" s="23" t="s">
        <v>28</v>
      </c>
      <c r="O142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42" s="42" t="str">
        <f>TEXT(Table13[[#This Row],[Min Speed (km/h)]],"0")&amp;" - "&amp;TEXT(Table13[[#This Row],[Max Speed (km/h)]],"0")&amp;""</f>
        <v>80 - 161</v>
      </c>
      <c r="Q142" s="46">
        <f>IF(Table13[[#This Row],[Distance (km)]]="", AVERAGE(Table13[Distance (km)]), Table13[[#This Row],[Distance (km)]])</f>
        <v>241.40100000000001</v>
      </c>
      <c r="R142" s="23" t="s">
        <v>111</v>
      </c>
      <c r="S142" s="42" t="str" cm="1">
        <f t="array" ref="S142">TRIM(INDEX(_xlfn.TEXTSPLIT(Table13[[#This Row],[Shipping Address]],","),1))</f>
        <v>123 MG Road</v>
      </c>
      <c r="T142" s="42" t="str" cm="1">
        <f t="array" ref="T142">TRIM(INDEX(_xlfn.TEXTSPLIT(Table13[[#This Row],[Shipping Address]],","),2))</f>
        <v>Bangalore</v>
      </c>
      <c r="U142" s="42" t="str" cm="1">
        <f t="array" ref="U142">TRIM(INDEX(_xlfn.TEXTSPLIT(Table13[[#This Row],[Shipping Address]],","),3))</f>
        <v>560001</v>
      </c>
      <c r="V142" s="23" t="s">
        <v>112</v>
      </c>
      <c r="W142" s="42" t="str" cm="1">
        <f t="array" ref="W142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142" s="42" t="str" cm="1">
        <f t="array" ref="X142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42" s="23" t="s">
        <v>113</v>
      </c>
      <c r="Z142" s="33">
        <f>_xlfn.NUMBERVALUE(_xlfn.TEXTBEFORE(Table13[[#This Row],[Unit Price]]," "))</f>
        <v>12348</v>
      </c>
      <c r="AA142" s="23" t="str">
        <f>RIGHT(Table13[[#This Row],[Unit Price]],LEN(Table13[[#This Row],[Unit Price]])-FIND(" ",Table13[[#This Row],[Unit Price]]))</f>
        <v>INR</v>
      </c>
      <c r="AB142" s="33" cm="1">
        <f t="array" ref="AB142">Table13[[#This Row],[Unit Price Value]]*_xlfn.XLOOKUP(Table13[[#This Row],[Unit Price Currency]],{"EUR","USD","GBP","BRL","CAD","CNY","AUD","ZAR","MXN","JPY","INR"},{1,0.86,1.15,0.15,0.63,0.12,0.56,0.05,0.05,0.01,0.01},NA())</f>
        <v>123.48</v>
      </c>
      <c r="AC142" s="32">
        <v>11</v>
      </c>
      <c r="AD142" s="32">
        <v>5</v>
      </c>
      <c r="AE142" s="20">
        <f>IF(Table13[[#This Row],[Discount (%)]]="",CHOOSE(MATCH(MOD(Table13[[#This Row],[Sales Rep ID]],3)+1,{1,2,3},0),5,10,15),Table13[[#This Row],[Discount (%)]])</f>
        <v>5</v>
      </c>
      <c r="AF142" s="38">
        <f>Table13[[#This Row],[Unit Price (EUR)]]*Table13[[#This Row],[Units Sold]]</f>
        <v>1358.28</v>
      </c>
      <c r="AG142" s="38">
        <f>Table13[[#This Row],[Gross Price (Euro)]]*Table13[[#This Row],[Calc Discount (%)]]/100</f>
        <v>67.914000000000001</v>
      </c>
      <c r="AH142" s="39">
        <f>Table13[[#This Row],[Gross Price (Euro)]]-Table13[[#This Row],[Discount Value (Euro)]]</f>
        <v>1290.366</v>
      </c>
    </row>
    <row r="143" spans="1:34" x14ac:dyDescent="0.25">
      <c r="A143" s="43">
        <v>142</v>
      </c>
      <c r="B143" s="23" t="s">
        <v>45</v>
      </c>
      <c r="C143" s="23" t="s">
        <v>46</v>
      </c>
      <c r="D143" s="23" t="str">
        <f>_xlfn.TEXTJOIN(" ",,Table13[[#This Row],[Rep First Name]],Table13[[#This Row],[Rep Last Name]])</f>
        <v>Jonas Fischer</v>
      </c>
      <c r="E143" s="23" t="s">
        <v>76</v>
      </c>
      <c r="F143" s="23" t="str">
        <f>IF(LEN(Table13[[#This Row],[Month]]) &gt; 0, LEFT(Table13[[#This Row],[Month]], 3), "")</f>
        <v>May</v>
      </c>
      <c r="G143" s="23" t="s">
        <v>67</v>
      </c>
      <c r="H143" s="23" t="s">
        <v>24</v>
      </c>
      <c r="I143" s="44">
        <f>IF(ISNUMBER(SEARCH("km/h",Table13[[#This Row],[Min Speed]])),VALUE(_xlfn.TEXTBEFORE(Table13[[#This Row],[Min Speed]]," ")),ROUND(VALUE(_xlfn.TEXTBEFORE(Table13[[#This Row],[Min Speed]]," "))*1.60934,0))</f>
        <v>80</v>
      </c>
      <c r="J143" s="44">
        <f>ROUND(IF(ISNUMBER(SEARCH("km/h",Table13[[#This Row],[Min Speed]])),Table13[[#This Row],[Min Speed (km/h)]]*0.621371,VALUE(_xlfn.TEXTBEFORE(Table13[[#This Row],[Min Speed]]," "))),0)</f>
        <v>50</v>
      </c>
      <c r="K143" s="23" t="s">
        <v>18</v>
      </c>
      <c r="L143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43" s="44">
        <f>IF(ISNUMBER(SEARCH("mph",Table13[[#This Row],[Max Speed]])),--_xlfn.TEXTBEFORE(Table13[[#This Row],[Max Speed]]," mph"),ROUND(--_xlfn.TEXTBEFORE(Table13[[#This Row],[Max Speed]]," km/h")*0.621371,0))</f>
        <v>75</v>
      </c>
      <c r="N143" s="23" t="s">
        <v>26</v>
      </c>
      <c r="O143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43" s="42" t="str">
        <f>TEXT(Table13[[#This Row],[Min Speed (km/h)]],"0")&amp;" - "&amp;TEXT(Table13[[#This Row],[Max Speed (km/h)]],"0")&amp;""</f>
        <v>80 - 120</v>
      </c>
      <c r="Q143" s="46">
        <f>IF(Table13[[#This Row],[Distance (km)]]="", AVERAGE(Table13[Distance (km)]), Table13[[#This Row],[Distance (km)]])</f>
        <v>482.80200000000002</v>
      </c>
      <c r="R143" s="23" t="s">
        <v>114</v>
      </c>
      <c r="S143" s="42" t="str" cm="1">
        <f t="array" ref="S143">TRIM(INDEX(_xlfn.TEXTSPLIT(Table13[[#This Row],[Shipping Address]],","),1))</f>
        <v>456 Connaught Place</v>
      </c>
      <c r="T143" s="42" t="str" cm="1">
        <f t="array" ref="T143">TRIM(INDEX(_xlfn.TEXTSPLIT(Table13[[#This Row],[Shipping Address]],","),2))</f>
        <v>New Delhi</v>
      </c>
      <c r="U143" s="42" t="str" cm="1">
        <f t="array" ref="U143">TRIM(INDEX(_xlfn.TEXTSPLIT(Table13[[#This Row],[Shipping Address]],","),3))</f>
        <v>110001</v>
      </c>
      <c r="V143" s="23" t="s">
        <v>112</v>
      </c>
      <c r="W143" s="42" t="str" cm="1">
        <f t="array" ref="W143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143" s="42" t="str" cm="1">
        <f t="array" ref="X143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43" s="23" t="s">
        <v>115</v>
      </c>
      <c r="Z143" s="33">
        <f>_xlfn.NUMBERVALUE(_xlfn.TEXTBEFORE(Table13[[#This Row],[Unit Price]]," "))</f>
        <v>16456</v>
      </c>
      <c r="AA143" s="23" t="str">
        <f>RIGHT(Table13[[#This Row],[Unit Price]],LEN(Table13[[#This Row],[Unit Price]])-FIND(" ",Table13[[#This Row],[Unit Price]]))</f>
        <v>INR</v>
      </c>
      <c r="AB143" s="33" cm="1">
        <f t="array" ref="AB143">Table13[[#This Row],[Unit Price Value]]*_xlfn.XLOOKUP(Table13[[#This Row],[Unit Price Currency]],{"EUR","USD","GBP","BRL","CAD","CNY","AUD","ZAR","MXN","JPY","INR"},{1,0.86,1.15,0.15,0.63,0.12,0.56,0.05,0.05,0.01,0.01},NA())</f>
        <v>164.56</v>
      </c>
      <c r="AC143" s="32">
        <v>9</v>
      </c>
      <c r="AD143" s="32">
        <v>5</v>
      </c>
      <c r="AE143" s="20">
        <f>IF(Table13[[#This Row],[Discount (%)]]="",CHOOSE(MATCH(MOD(Table13[[#This Row],[Sales Rep ID]],3)+1,{1,2,3},0),5,10,15),Table13[[#This Row],[Discount (%)]])</f>
        <v>5</v>
      </c>
      <c r="AF143" s="38">
        <f>Table13[[#This Row],[Unit Price (EUR)]]*Table13[[#This Row],[Units Sold]]</f>
        <v>1481.04</v>
      </c>
      <c r="AG143" s="38">
        <f>Table13[[#This Row],[Gross Price (Euro)]]*Table13[[#This Row],[Calc Discount (%)]]/100</f>
        <v>74.051999999999992</v>
      </c>
      <c r="AH143" s="39">
        <f>Table13[[#This Row],[Gross Price (Euro)]]-Table13[[#This Row],[Discount Value (Euro)]]</f>
        <v>1406.9880000000001</v>
      </c>
    </row>
    <row r="144" spans="1:34" x14ac:dyDescent="0.25">
      <c r="A144" s="43">
        <v>143</v>
      </c>
      <c r="B144" s="23" t="s">
        <v>59</v>
      </c>
      <c r="C144" s="23" t="s">
        <v>60</v>
      </c>
      <c r="D144" s="23" t="str">
        <f>_xlfn.TEXTJOIN(" ",,Table13[[#This Row],[Rep First Name]],Table13[[#This Row],[Rep Last Name]])</f>
        <v>Théo Bernard</v>
      </c>
      <c r="E144" s="23" t="s">
        <v>76</v>
      </c>
      <c r="F144" s="23" t="str">
        <f>IF(LEN(Table13[[#This Row],[Month]]) &gt; 0, LEFT(Table13[[#This Row],[Month]], 3), "")</f>
        <v>May</v>
      </c>
      <c r="G144" s="23" t="s">
        <v>27</v>
      </c>
      <c r="H144" s="23" t="s">
        <v>32</v>
      </c>
      <c r="I144" s="44">
        <f>IF(ISNUMBER(SEARCH("km/h",Table13[[#This Row],[Min Speed]])),VALUE(_xlfn.TEXTBEFORE(Table13[[#This Row],[Min Speed]]," ")),ROUND(VALUE(_xlfn.TEXTBEFORE(Table13[[#This Row],[Min Speed]]," "))*1.60934,0))</f>
        <v>30</v>
      </c>
      <c r="J144" s="44">
        <f>ROUND(IF(ISNUMBER(SEARCH("km/h",Table13[[#This Row],[Min Speed]])),Table13[[#This Row],[Min Speed (km/h)]]*0.621371,VALUE(_xlfn.TEXTBEFORE(Table13[[#This Row],[Min Speed]]," "))),0)</f>
        <v>19</v>
      </c>
      <c r="K144" s="23" t="s">
        <v>44</v>
      </c>
      <c r="L144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44" s="44">
        <f>IF(ISNUMBER(SEARCH("mph",Table13[[#This Row],[Max Speed]])),--_xlfn.TEXTBEFORE(Table13[[#This Row],[Max Speed]]," mph"),ROUND(--_xlfn.TEXTBEFORE(Table13[[#This Row],[Max Speed]]," km/h")*0.621371,0))</f>
        <v>50</v>
      </c>
      <c r="N144" s="23" t="s">
        <v>28</v>
      </c>
      <c r="O144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44" s="42" t="str">
        <f>TEXT(Table13[[#This Row],[Min Speed (km/h)]],"0")&amp;" - "&amp;TEXT(Table13[[#This Row],[Max Speed (km/h)]],"0")&amp;""</f>
        <v>30 - 80</v>
      </c>
      <c r="Q144" s="46">
        <f>IF(Table13[[#This Row],[Distance (km)]]="", AVERAGE(Table13[Distance (km)]), Table13[[#This Row],[Distance (km)]])</f>
        <v>241.40100000000001</v>
      </c>
      <c r="R144" s="23" t="s">
        <v>116</v>
      </c>
      <c r="S144" s="42" t="str" cm="1">
        <f t="array" ref="S144">TRIM(INDEX(_xlfn.TEXTSPLIT(Table13[[#This Row],[Shipping Address]],","),1))</f>
        <v>789 Brigade Road</v>
      </c>
      <c r="T144" s="42" t="str" cm="1">
        <f t="array" ref="T144">TRIM(INDEX(_xlfn.TEXTSPLIT(Table13[[#This Row],[Shipping Address]],","),2))</f>
        <v>Mumbai</v>
      </c>
      <c r="U144" s="42" t="str" cm="1">
        <f t="array" ref="U144">TRIM(INDEX(_xlfn.TEXTSPLIT(Table13[[#This Row],[Shipping Address]],","),3))</f>
        <v>560025</v>
      </c>
      <c r="V144" s="23" t="s">
        <v>112</v>
      </c>
      <c r="W144" s="42" t="str" cm="1">
        <f t="array" ref="W144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144" s="42" t="str" cm="1">
        <f t="array" ref="X144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44" s="23" t="s">
        <v>117</v>
      </c>
      <c r="Z144" s="33">
        <f>_xlfn.NUMBERVALUE(_xlfn.TEXTBEFORE(Table13[[#This Row],[Unit Price]]," "))</f>
        <v>20565</v>
      </c>
      <c r="AA144" s="23" t="str">
        <f>RIGHT(Table13[[#This Row],[Unit Price]],LEN(Table13[[#This Row],[Unit Price]])-FIND(" ",Table13[[#This Row],[Unit Price]]))</f>
        <v>INR</v>
      </c>
      <c r="AB144" s="33" cm="1">
        <f t="array" ref="AB144">Table13[[#This Row],[Unit Price Value]]*_xlfn.XLOOKUP(Table13[[#This Row],[Unit Price Currency]],{"EUR","USD","GBP","BRL","CAD","CNY","AUD","ZAR","MXN","JPY","INR"},{1,0.86,1.15,0.15,0.63,0.12,0.56,0.05,0.05,0.01,0.01},NA())</f>
        <v>205.65</v>
      </c>
      <c r="AC144" s="32">
        <v>6</v>
      </c>
      <c r="AD144" s="32">
        <v>15</v>
      </c>
      <c r="AE144" s="20">
        <f>IF(Table13[[#This Row],[Discount (%)]]="",CHOOSE(MATCH(MOD(Table13[[#This Row],[Sales Rep ID]],3)+1,{1,2,3},0),5,10,15),Table13[[#This Row],[Discount (%)]])</f>
        <v>15</v>
      </c>
      <c r="AF144" s="38">
        <f>Table13[[#This Row],[Unit Price (EUR)]]*Table13[[#This Row],[Units Sold]]</f>
        <v>1233.9000000000001</v>
      </c>
      <c r="AG144" s="38">
        <f>Table13[[#This Row],[Gross Price (Euro)]]*Table13[[#This Row],[Calc Discount (%)]]/100</f>
        <v>185.08500000000001</v>
      </c>
      <c r="AH144" s="39">
        <f>Table13[[#This Row],[Gross Price (Euro)]]-Table13[[#This Row],[Discount Value (Euro)]]</f>
        <v>1048.8150000000001</v>
      </c>
    </row>
    <row r="145" spans="1:43" x14ac:dyDescent="0.25">
      <c r="A145" s="43">
        <v>144</v>
      </c>
      <c r="B145" s="23" t="s">
        <v>59</v>
      </c>
      <c r="C145" s="23" t="s">
        <v>60</v>
      </c>
      <c r="D145" s="23" t="str">
        <f>_xlfn.TEXTJOIN(" ",,Table13[[#This Row],[Rep First Name]],Table13[[#This Row],[Rep Last Name]])</f>
        <v>Théo Bernard</v>
      </c>
      <c r="E145" s="23" t="s">
        <v>15</v>
      </c>
      <c r="F145" s="23" t="str">
        <f>IF(LEN(Table13[[#This Row],[Month]]) &gt; 0, LEFT(Table13[[#This Row],[Month]], 3), "")</f>
        <v>Jun</v>
      </c>
      <c r="G145" s="23" t="s">
        <v>67</v>
      </c>
      <c r="H145" s="23" t="s">
        <v>24</v>
      </c>
      <c r="I145" s="44">
        <f>IF(ISNUMBER(SEARCH("km/h",Table13[[#This Row],[Min Speed]])),VALUE(_xlfn.TEXTBEFORE(Table13[[#This Row],[Min Speed]]," ")),ROUND(VALUE(_xlfn.TEXTBEFORE(Table13[[#This Row],[Min Speed]]," "))*1.60934,0))</f>
        <v>80</v>
      </c>
      <c r="J145" s="44">
        <f>ROUND(IF(ISNUMBER(SEARCH("km/h",Table13[[#This Row],[Min Speed]])),Table13[[#This Row],[Min Speed (km/h)]]*0.621371,VALUE(_xlfn.TEXTBEFORE(Table13[[#This Row],[Min Speed]]," "))),0)</f>
        <v>50</v>
      </c>
      <c r="K145" s="23" t="s">
        <v>18</v>
      </c>
      <c r="L145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45" s="44">
        <f>IF(ISNUMBER(SEARCH("mph",Table13[[#This Row],[Max Speed]])),--_xlfn.TEXTBEFORE(Table13[[#This Row],[Max Speed]]," mph"),ROUND(--_xlfn.TEXTBEFORE(Table13[[#This Row],[Max Speed]]," km/h")*0.621371,0))</f>
        <v>75</v>
      </c>
      <c r="N145" s="23" t="s">
        <v>26</v>
      </c>
      <c r="O145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45" s="42" t="str">
        <f>TEXT(Table13[[#This Row],[Min Speed (km/h)]],"0")&amp;" - "&amp;TEXT(Table13[[#This Row],[Max Speed (km/h)]],"0")&amp;""</f>
        <v>80 - 120</v>
      </c>
      <c r="Q145" s="46">
        <f>IF(Table13[[#This Row],[Distance (km)]]="", AVERAGE(Table13[Distance (km)]), Table13[[#This Row],[Distance (km)]])</f>
        <v>482.80200000000002</v>
      </c>
      <c r="R145" s="23" t="s">
        <v>118</v>
      </c>
      <c r="S145" s="42" t="str" cm="1">
        <f t="array" ref="S145">TRIM(INDEX(_xlfn.TEXTSPLIT(Table13[[#This Row],[Shipping Address]],","),1))</f>
        <v>321 Jayanagar</v>
      </c>
      <c r="T145" s="42" t="str" cm="1">
        <f t="array" ref="T145">TRIM(INDEX(_xlfn.TEXTSPLIT(Table13[[#This Row],[Shipping Address]],","),2))</f>
        <v>Kolkata</v>
      </c>
      <c r="U145" s="42" t="str" cm="1">
        <f t="array" ref="U145">TRIM(INDEX(_xlfn.TEXTSPLIT(Table13[[#This Row],[Shipping Address]],","),3))</f>
        <v>560041</v>
      </c>
      <c r="V145" s="23" t="s">
        <v>112</v>
      </c>
      <c r="W145" s="42" t="str" cm="1">
        <f t="array" ref="W145">_xlfn.XLOOKUP(Table13[[#This Row],[Country Code]],{"US","CA","MX","BR","GB","DE","FR","CN","IN","AU","ZA","JP"},{"United States","Canada","Mexico","Brazil","United Kingdom","Germany","France","China","India","Australia","South Africa","Japan"},"Other")</f>
        <v>India</v>
      </c>
      <c r="X145" s="42" t="str" cm="1">
        <f t="array" ref="X145">_xlfn.XLOOKUP(Table13[[#This Row],[Country Code]],{"US","CA","MX","BR","GB","DE","FR","CN","IN","AU","ZA","JP"},{"North America","North America","North America","South America","Europe","Europe","Europe","Asia","Asia","Oceania","Africa","Asia"},"Other")</f>
        <v>Asia</v>
      </c>
      <c r="Y145" s="23" t="s">
        <v>119</v>
      </c>
      <c r="Z145" s="33">
        <f>_xlfn.NUMBERVALUE(_xlfn.TEXTBEFORE(Table13[[#This Row],[Unit Price]]," "))</f>
        <v>24673</v>
      </c>
      <c r="AA145" s="23" t="str">
        <f>RIGHT(Table13[[#This Row],[Unit Price]],LEN(Table13[[#This Row],[Unit Price]])-FIND(" ",Table13[[#This Row],[Unit Price]]))</f>
        <v>INR</v>
      </c>
      <c r="AB145" s="33" cm="1">
        <f t="array" ref="AB145">Table13[[#This Row],[Unit Price Value]]*_xlfn.XLOOKUP(Table13[[#This Row],[Unit Price Currency]],{"EUR","USD","GBP","BRL","CAD","CNY","AUD","ZAR","MXN","JPY","INR"},{1,0.86,1.15,0.15,0.63,0.12,0.56,0.05,0.05,0.01,0.01},NA())</f>
        <v>246.73000000000002</v>
      </c>
      <c r="AC145" s="32">
        <v>5</v>
      </c>
      <c r="AD145" s="32">
        <v>5</v>
      </c>
      <c r="AE145" s="20">
        <f>IF(Table13[[#This Row],[Discount (%)]]="",CHOOSE(MATCH(MOD(Table13[[#This Row],[Sales Rep ID]],3)+1,{1,2,3},0),5,10,15),Table13[[#This Row],[Discount (%)]])</f>
        <v>5</v>
      </c>
      <c r="AF145" s="38">
        <f>Table13[[#This Row],[Unit Price (EUR)]]*Table13[[#This Row],[Units Sold]]</f>
        <v>1233.6500000000001</v>
      </c>
      <c r="AG145" s="38">
        <f>Table13[[#This Row],[Gross Price (Euro)]]*Table13[[#This Row],[Calc Discount (%)]]/100</f>
        <v>61.682499999999997</v>
      </c>
      <c r="AH145" s="39">
        <f>Table13[[#This Row],[Gross Price (Euro)]]-Table13[[#This Row],[Discount Value (Euro)]]</f>
        <v>1171.9675000000002</v>
      </c>
    </row>
    <row r="146" spans="1:43" x14ac:dyDescent="0.25">
      <c r="A146" s="43">
        <v>145</v>
      </c>
      <c r="B146" s="23" t="s">
        <v>59</v>
      </c>
      <c r="C146" s="23" t="s">
        <v>60</v>
      </c>
      <c r="D146" s="23" t="str">
        <f>_xlfn.TEXTJOIN(" ",,Table13[[#This Row],[Rep First Name]],Table13[[#This Row],[Rep Last Name]])</f>
        <v>Théo Bernard</v>
      </c>
      <c r="E146" s="23" t="s">
        <v>76</v>
      </c>
      <c r="F146" s="23" t="str">
        <f>IF(LEN(Table13[[#This Row],[Month]]) &gt; 0, LEFT(Table13[[#This Row],[Month]], 3), "")</f>
        <v>May</v>
      </c>
      <c r="G146" s="23" t="s">
        <v>67</v>
      </c>
      <c r="H146" s="23" t="s">
        <v>17</v>
      </c>
      <c r="I146" s="44">
        <f>IF(ISNUMBER(SEARCH("km/h",Table13[[#This Row],[Min Speed]])),VALUE(_xlfn.TEXTBEFORE(Table13[[#This Row],[Min Speed]]," ")),ROUND(VALUE(_xlfn.TEXTBEFORE(Table13[[#This Row],[Min Speed]]," "))*1.60934,0))</f>
        <v>64</v>
      </c>
      <c r="J146" s="44">
        <f>ROUND(IF(ISNUMBER(SEARCH("km/h",Table13[[#This Row],[Min Speed]])),Table13[[#This Row],[Min Speed (km/h)]]*0.621371,VALUE(_xlfn.TEXTBEFORE(Table13[[#This Row],[Min Speed]]," "))),0)</f>
        <v>40</v>
      </c>
      <c r="K146" s="23" t="s">
        <v>44</v>
      </c>
      <c r="L146" s="44">
        <f>_xlfn.LET(_xlpm.val, --_xlfn.TEXTBEFORE(Table13[[#This Row],[Max Speed]]," "), _xlpm.unit, TRIM(_xlfn.TEXTAFTER(Table13[[#This Row],[Max Speed]]," ")), IF(_xlpm.unit="km/h", _xlpm.val, ROUND(_xlpm.val*1.60934,0)))</f>
        <v>80</v>
      </c>
      <c r="M146" s="44">
        <f>IF(ISNUMBER(SEARCH("mph",Table13[[#This Row],[Max Speed]])),--_xlfn.TEXTBEFORE(Table13[[#This Row],[Max Speed]]," mph"),ROUND(--_xlfn.TEXTBEFORE(Table13[[#This Row],[Max Speed]]," km/h")*0.621371,0))</f>
        <v>50</v>
      </c>
      <c r="N146" s="23" t="s">
        <v>68</v>
      </c>
      <c r="O146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46" s="42" t="str">
        <f>TEXT(Table13[[#This Row],[Min Speed (km/h)]],"0")&amp;" - "&amp;TEXT(Table13[[#This Row],[Max Speed (km/h)]],"0")&amp;""</f>
        <v>64 - 80</v>
      </c>
      <c r="Q146" s="46">
        <f>IF(Table13[[#This Row],[Distance (km)]]="", AVERAGE(Table13[Distance (km)]), Table13[[#This Row],[Distance (km)]])</f>
        <v>600</v>
      </c>
      <c r="R146" s="23" t="s">
        <v>120</v>
      </c>
      <c r="S146" s="42" t="str" cm="1">
        <f t="array" ref="S146">TRIM(INDEX(_xlfn.TEXTSPLIT(Table13[[#This Row],[Shipping Address]],","),1))</f>
        <v>123 George Street</v>
      </c>
      <c r="T146" s="42" t="str" cm="1">
        <f t="array" ref="T146">TRIM(INDEX(_xlfn.TEXTSPLIT(Table13[[#This Row],[Shipping Address]],","),2))</f>
        <v>Sydney</v>
      </c>
      <c r="U146" s="42" t="str" cm="1">
        <f t="array" ref="U146">TRIM(INDEX(_xlfn.TEXTSPLIT(Table13[[#This Row],[Shipping Address]],","),3))</f>
        <v>2000</v>
      </c>
      <c r="V146" s="23" t="s">
        <v>121</v>
      </c>
      <c r="W146" s="42" t="str" cm="1">
        <f t="array" ref="W146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146" s="42" t="str" cm="1">
        <f t="array" ref="X146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146" s="23" t="s">
        <v>122</v>
      </c>
      <c r="Z146" s="33">
        <f>_xlfn.NUMBERVALUE(_xlfn.TEXTBEFORE(Table13[[#This Row],[Unit Price]]," "))</f>
        <v>222</v>
      </c>
      <c r="AA146" s="23" t="str">
        <f>RIGHT(Table13[[#This Row],[Unit Price]],LEN(Table13[[#This Row],[Unit Price]])-FIND(" ",Table13[[#This Row],[Unit Price]]))</f>
        <v>AUD</v>
      </c>
      <c r="AB146" s="33" cm="1">
        <f t="array" ref="AB146">Table13[[#This Row],[Unit Price Value]]*_xlfn.XLOOKUP(Table13[[#This Row],[Unit Price Currency]],{"EUR","USD","GBP","BRL","CAD","CNY","AUD","ZAR","MXN","JPY","INR"},{1,0.86,1.15,0.15,0.63,0.12,0.56,0.05,0.05,0.01,0.01},NA())</f>
        <v>124.32000000000001</v>
      </c>
      <c r="AC146" s="32">
        <v>15</v>
      </c>
      <c r="AD146" s="32">
        <v>15</v>
      </c>
      <c r="AE146" s="20">
        <f>IF(Table13[[#This Row],[Discount (%)]]="",CHOOSE(MATCH(MOD(Table13[[#This Row],[Sales Rep ID]],3)+1,{1,2,3},0),5,10,15),Table13[[#This Row],[Discount (%)]])</f>
        <v>15</v>
      </c>
      <c r="AF146" s="38">
        <f>Table13[[#This Row],[Unit Price (EUR)]]*Table13[[#This Row],[Units Sold]]</f>
        <v>1864.8000000000002</v>
      </c>
      <c r="AG146" s="38">
        <f>Table13[[#This Row],[Gross Price (Euro)]]*Table13[[#This Row],[Calc Discount (%)]]/100</f>
        <v>279.72000000000003</v>
      </c>
      <c r="AH146" s="39">
        <f>Table13[[#This Row],[Gross Price (Euro)]]-Table13[[#This Row],[Discount Value (Euro)]]</f>
        <v>1585.0800000000002</v>
      </c>
    </row>
    <row r="147" spans="1:43" x14ac:dyDescent="0.25">
      <c r="A147" s="43">
        <v>146</v>
      </c>
      <c r="B147" s="23" t="s">
        <v>59</v>
      </c>
      <c r="C147" s="23" t="s">
        <v>60</v>
      </c>
      <c r="D147" s="23" t="str">
        <f>_xlfn.TEXTJOIN(" ",,Table13[[#This Row],[Rep First Name]],Table13[[#This Row],[Rep Last Name]])</f>
        <v>Théo Bernard</v>
      </c>
      <c r="E147" s="23" t="s">
        <v>15</v>
      </c>
      <c r="F147" s="23" t="str">
        <f>IF(LEN(Table13[[#This Row],[Month]]) &gt; 0, LEFT(Table13[[#This Row],[Month]], 3), "")</f>
        <v>Jun</v>
      </c>
      <c r="G147" s="23" t="s">
        <v>67</v>
      </c>
      <c r="H147" s="23" t="s">
        <v>32</v>
      </c>
      <c r="I147" s="44">
        <f>IF(ISNUMBER(SEARCH("km/h",Table13[[#This Row],[Min Speed]])),VALUE(_xlfn.TEXTBEFORE(Table13[[#This Row],[Min Speed]]," ")),ROUND(VALUE(_xlfn.TEXTBEFORE(Table13[[#This Row],[Min Speed]]," "))*1.60934,0))</f>
        <v>30</v>
      </c>
      <c r="J147" s="44">
        <f>ROUND(IF(ISNUMBER(SEARCH("km/h",Table13[[#This Row],[Min Speed]])),Table13[[#This Row],[Min Speed (km/h)]]*0.621371,VALUE(_xlfn.TEXTBEFORE(Table13[[#This Row],[Min Speed]]," "))),0)</f>
        <v>19</v>
      </c>
      <c r="K147" s="23" t="s">
        <v>55</v>
      </c>
      <c r="L147" s="44">
        <f>_xlfn.LET(_xlpm.val, --_xlfn.TEXTBEFORE(Table13[[#This Row],[Max Speed]]," "), _xlpm.unit, TRIM(_xlfn.TEXTAFTER(Table13[[#This Row],[Max Speed]]," ")), IF(_xlpm.unit="km/h", _xlpm.val, ROUND(_xlpm.val*1.60934,0)))</f>
        <v>161</v>
      </c>
      <c r="M147" s="44">
        <f>IF(ISNUMBER(SEARCH("mph",Table13[[#This Row],[Max Speed]])),--_xlfn.TEXTBEFORE(Table13[[#This Row],[Max Speed]]," mph"),ROUND(--_xlfn.TEXTBEFORE(Table13[[#This Row],[Max Speed]]," km/h")*0.621371,0))</f>
        <v>100</v>
      </c>
      <c r="N147" s="23" t="s">
        <v>26</v>
      </c>
      <c r="O147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482.80200000000002</v>
      </c>
      <c r="P147" s="42" t="str">
        <f>TEXT(Table13[[#This Row],[Min Speed (km/h)]],"0")&amp;" - "&amp;TEXT(Table13[[#This Row],[Max Speed (km/h)]],"0")&amp;""</f>
        <v>30 - 161</v>
      </c>
      <c r="Q147" s="46">
        <f>IF(Table13[[#This Row],[Distance (km)]]="", AVERAGE(Table13[Distance (km)]), Table13[[#This Row],[Distance (km)]])</f>
        <v>482.80200000000002</v>
      </c>
      <c r="R147" s="23" t="s">
        <v>123</v>
      </c>
      <c r="S147" s="42" t="str" cm="1">
        <f t="array" ref="S147">TRIM(INDEX(_xlfn.TEXTSPLIT(Table13[[#This Row],[Shipping Address]],","),1))</f>
        <v>456 King Street</v>
      </c>
      <c r="T147" s="42" t="str" cm="1">
        <f t="array" ref="T147">TRIM(INDEX(_xlfn.TEXTSPLIT(Table13[[#This Row],[Shipping Address]],","),2))</f>
        <v>Melbourne</v>
      </c>
      <c r="U147" s="42" t="str" cm="1">
        <f t="array" ref="U147">TRIM(INDEX(_xlfn.TEXTSPLIT(Table13[[#This Row],[Shipping Address]],","),3))</f>
        <v>3000</v>
      </c>
      <c r="V147" s="23" t="s">
        <v>121</v>
      </c>
      <c r="W147" s="42" t="str" cm="1">
        <f t="array" ref="W147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147" s="42" t="str" cm="1">
        <f t="array" ref="X147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147" s="23" t="s">
        <v>124</v>
      </c>
      <c r="Z147" s="33">
        <f>_xlfn.NUMBERVALUE(_xlfn.TEXTBEFORE(Table13[[#This Row],[Unit Price]]," "))</f>
        <v>296</v>
      </c>
      <c r="AA147" s="23" t="str">
        <f>RIGHT(Table13[[#This Row],[Unit Price]],LEN(Table13[[#This Row],[Unit Price]])-FIND(" ",Table13[[#This Row],[Unit Price]]))</f>
        <v>AUD</v>
      </c>
      <c r="AB147" s="33" cm="1">
        <f t="array" ref="AB147">Table13[[#This Row],[Unit Price Value]]*_xlfn.XLOOKUP(Table13[[#This Row],[Unit Price Currency]],{"EUR","USD","GBP","BRL","CAD","CNY","AUD","ZAR","MXN","JPY","INR"},{1,0.86,1.15,0.15,0.63,0.12,0.56,0.05,0.05,0.01,0.01},NA())</f>
        <v>165.76000000000002</v>
      </c>
      <c r="AC147" s="32">
        <v>14</v>
      </c>
      <c r="AD147" s="32"/>
      <c r="AE147" s="20">
        <f>IF(Table13[[#This Row],[Discount (%)]]="",CHOOSE(MATCH(MOD(Table13[[#This Row],[Sales Rep ID]],3)+1,{1,2,3},0),5,10,15),Table13[[#This Row],[Discount (%)]])</f>
        <v>15</v>
      </c>
      <c r="AF147" s="38">
        <f>Table13[[#This Row],[Unit Price (EUR)]]*Table13[[#This Row],[Units Sold]]</f>
        <v>2320.6400000000003</v>
      </c>
      <c r="AG147" s="38">
        <f>Table13[[#This Row],[Gross Price (Euro)]]*Table13[[#This Row],[Calc Discount (%)]]/100</f>
        <v>348.09600000000006</v>
      </c>
      <c r="AH147" s="39">
        <f>Table13[[#This Row],[Gross Price (Euro)]]-Table13[[#This Row],[Discount Value (Euro)]]</f>
        <v>1972.5440000000003</v>
      </c>
    </row>
    <row r="148" spans="1:43" x14ac:dyDescent="0.25">
      <c r="A148" s="43">
        <v>147</v>
      </c>
      <c r="B148" s="23" t="s">
        <v>13</v>
      </c>
      <c r="C148" s="23" t="s">
        <v>14</v>
      </c>
      <c r="D148" s="23" t="str">
        <f>_xlfn.TEXTJOIN(" ",,Table13[[#This Row],[Rep First Name]],Table13[[#This Row],[Rep Last Name]])</f>
        <v>Sanya Joshi</v>
      </c>
      <c r="E148" s="23" t="s">
        <v>31</v>
      </c>
      <c r="F148" s="23" t="str">
        <f>IF(LEN(Table13[[#This Row],[Month]]) &gt; 0, LEFT(Table13[[#This Row],[Month]], 3), "")</f>
        <v>Jan</v>
      </c>
      <c r="G148" s="23" t="s">
        <v>67</v>
      </c>
      <c r="H148" s="23" t="s">
        <v>17</v>
      </c>
      <c r="I148" s="44">
        <f>IF(ISNUMBER(SEARCH("km/h",Table13[[#This Row],[Min Speed]])),VALUE(_xlfn.TEXTBEFORE(Table13[[#This Row],[Min Speed]]," ")),ROUND(VALUE(_xlfn.TEXTBEFORE(Table13[[#This Row],[Min Speed]]," "))*1.60934,0))</f>
        <v>64</v>
      </c>
      <c r="J148" s="44">
        <f>ROUND(IF(ISNUMBER(SEARCH("km/h",Table13[[#This Row],[Min Speed]])),Table13[[#This Row],[Min Speed (km/h)]]*0.621371,VALUE(_xlfn.TEXTBEFORE(Table13[[#This Row],[Min Speed]]," "))),0)</f>
        <v>40</v>
      </c>
      <c r="K148" s="23" t="s">
        <v>18</v>
      </c>
      <c r="L148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48" s="44">
        <f>IF(ISNUMBER(SEARCH("mph",Table13[[#This Row],[Max Speed]])),--_xlfn.TEXTBEFORE(Table13[[#This Row],[Max Speed]]," mph"),ROUND(--_xlfn.TEXTBEFORE(Table13[[#This Row],[Max Speed]]," km/h")*0.621371,0))</f>
        <v>75</v>
      </c>
      <c r="N148" s="23" t="s">
        <v>68</v>
      </c>
      <c r="O148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48" s="42" t="str">
        <f>TEXT(Table13[[#This Row],[Min Speed (km/h)]],"0")&amp;" - "&amp;TEXT(Table13[[#This Row],[Max Speed (km/h)]],"0")&amp;""</f>
        <v>64 - 120</v>
      </c>
      <c r="Q148" s="46">
        <f>IF(Table13[[#This Row],[Distance (km)]]="", AVERAGE(Table13[Distance (km)]), Table13[[#This Row],[Distance (km)]])</f>
        <v>600</v>
      </c>
      <c r="R148" s="23" t="s">
        <v>125</v>
      </c>
      <c r="S148" s="42" t="str" cm="1">
        <f t="array" ref="S148">TRIM(INDEX(_xlfn.TEXTSPLIT(Table13[[#This Row],[Shipping Address]],","),1))</f>
        <v>789 Victoria Road</v>
      </c>
      <c r="T148" s="42" t="str" cm="1">
        <f t="array" ref="T148">TRIM(INDEX(_xlfn.TEXTSPLIT(Table13[[#This Row],[Shipping Address]],","),2))</f>
        <v>Brisbane</v>
      </c>
      <c r="U148" s="42" t="str" cm="1">
        <f t="array" ref="U148">TRIM(INDEX(_xlfn.TEXTSPLIT(Table13[[#This Row],[Shipping Address]],","),3))</f>
        <v>2048</v>
      </c>
      <c r="V148" s="23" t="s">
        <v>121</v>
      </c>
      <c r="W148" s="42" t="str" cm="1">
        <f t="array" ref="W148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148" s="42" t="str" cm="1">
        <f t="array" ref="X148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148" s="23" t="s">
        <v>126</v>
      </c>
      <c r="Z148" s="33">
        <f>_xlfn.NUMBERVALUE(_xlfn.TEXTBEFORE(Table13[[#This Row],[Unit Price]]," "))</f>
        <v>370</v>
      </c>
      <c r="AA148" s="23" t="str">
        <f>RIGHT(Table13[[#This Row],[Unit Price]],LEN(Table13[[#This Row],[Unit Price]])-FIND(" ",Table13[[#This Row],[Unit Price]]))</f>
        <v>AUD</v>
      </c>
      <c r="AB148" s="33" cm="1">
        <f t="array" ref="AB148">Table13[[#This Row],[Unit Price Value]]*_xlfn.XLOOKUP(Table13[[#This Row],[Unit Price Currency]],{"EUR","USD","GBP","BRL","CAD","CNY","AUD","ZAR","MXN","JPY","INR"},{1,0.86,1.15,0.15,0.63,0.12,0.56,0.05,0.05,0.01,0.01},NA())</f>
        <v>207.20000000000002</v>
      </c>
      <c r="AC148" s="32">
        <v>10</v>
      </c>
      <c r="AD148" s="32">
        <v>5</v>
      </c>
      <c r="AE148" s="20">
        <f>IF(Table13[[#This Row],[Discount (%)]]="",CHOOSE(MATCH(MOD(Table13[[#This Row],[Sales Rep ID]],3)+1,{1,2,3},0),5,10,15),Table13[[#This Row],[Discount (%)]])</f>
        <v>5</v>
      </c>
      <c r="AF148" s="38">
        <f>Table13[[#This Row],[Unit Price (EUR)]]*Table13[[#This Row],[Units Sold]]</f>
        <v>2072</v>
      </c>
      <c r="AG148" s="38">
        <f>Table13[[#This Row],[Gross Price (Euro)]]*Table13[[#This Row],[Calc Discount (%)]]/100</f>
        <v>103.6</v>
      </c>
      <c r="AH148" s="39">
        <f>Table13[[#This Row],[Gross Price (Euro)]]-Table13[[#This Row],[Discount Value (Euro)]]</f>
        <v>1968.4</v>
      </c>
    </row>
    <row r="149" spans="1:43" x14ac:dyDescent="0.25">
      <c r="A149" s="43">
        <v>148</v>
      </c>
      <c r="B149" s="23" t="s">
        <v>13</v>
      </c>
      <c r="C149" s="23" t="s">
        <v>14</v>
      </c>
      <c r="D149" s="23" t="str">
        <f>_xlfn.TEXTJOIN(" ",,Table13[[#This Row],[Rep First Name]],Table13[[#This Row],[Rep Last Name]])</f>
        <v>Sanya Joshi</v>
      </c>
      <c r="E149" s="23" t="s">
        <v>37</v>
      </c>
      <c r="F149" s="23" t="str">
        <f>IF(LEN(Table13[[#This Row],[Month]]) &gt; 0, LEFT(Table13[[#This Row],[Month]], 3), "")</f>
        <v>Feb</v>
      </c>
      <c r="G149" s="23" t="s">
        <v>67</v>
      </c>
      <c r="H149" s="23" t="s">
        <v>48</v>
      </c>
      <c r="I149" s="44">
        <f>IF(ISNUMBER(SEARCH("km/h",Table13[[#This Row],[Min Speed]])),VALUE(_xlfn.TEXTBEFORE(Table13[[#This Row],[Min Speed]]," ")),ROUND(VALUE(_xlfn.TEXTBEFORE(Table13[[#This Row],[Min Speed]]," "))*1.60934,0))</f>
        <v>20</v>
      </c>
      <c r="J149" s="44">
        <f>ROUND(IF(ISNUMBER(SEARCH("km/h",Table13[[#This Row],[Min Speed]])),Table13[[#This Row],[Min Speed (km/h)]]*0.621371,VALUE(_xlfn.TEXTBEFORE(Table13[[#This Row],[Min Speed]]," "))),0)</f>
        <v>12</v>
      </c>
      <c r="K149" s="23" t="s">
        <v>25</v>
      </c>
      <c r="L149" s="44">
        <f>_xlfn.LET(_xlpm.val, --_xlfn.TEXTBEFORE(Table13[[#This Row],[Max Speed]]," "), _xlpm.unit, TRIM(_xlfn.TEXTAFTER(Table13[[#This Row],[Max Speed]]," ")), IF(_xlpm.unit="km/h", _xlpm.val, ROUND(_xlpm.val*1.60934,0)))</f>
        <v>241</v>
      </c>
      <c r="M149" s="44">
        <f>IF(ISNUMBER(SEARCH("mph",Table13[[#This Row],[Max Speed]])),--_xlfn.TEXTBEFORE(Table13[[#This Row],[Max Speed]]," mph"),ROUND(--_xlfn.TEXTBEFORE(Table13[[#This Row],[Max Speed]]," km/h")*0.621371,0))</f>
        <v>150</v>
      </c>
      <c r="N149" s="23" t="s">
        <v>28</v>
      </c>
      <c r="O149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241.40100000000001</v>
      </c>
      <c r="P149" s="42" t="str">
        <f>TEXT(Table13[[#This Row],[Min Speed (km/h)]],"0")&amp;" - "&amp;TEXT(Table13[[#This Row],[Max Speed (km/h)]],"0")&amp;""</f>
        <v>20 - 241</v>
      </c>
      <c r="Q149" s="46">
        <f>IF(Table13[[#This Row],[Distance (km)]]="", AVERAGE(Table13[Distance (km)]), Table13[[#This Row],[Distance (km)]])</f>
        <v>241.40100000000001</v>
      </c>
      <c r="R149" s="23" t="s">
        <v>125</v>
      </c>
      <c r="S149" s="42" t="str" cm="1">
        <f t="array" ref="S149">TRIM(INDEX(_xlfn.TEXTSPLIT(Table13[[#This Row],[Shipping Address]],","),1))</f>
        <v>789 Victoria Road</v>
      </c>
      <c r="T149" s="42" t="str" cm="1">
        <f t="array" ref="T149">TRIM(INDEX(_xlfn.TEXTSPLIT(Table13[[#This Row],[Shipping Address]],","),2))</f>
        <v>Brisbane</v>
      </c>
      <c r="U149" s="42" t="str" cm="1">
        <f t="array" ref="U149">TRIM(INDEX(_xlfn.TEXTSPLIT(Table13[[#This Row],[Shipping Address]],","),3))</f>
        <v>2048</v>
      </c>
      <c r="V149" s="23" t="s">
        <v>121</v>
      </c>
      <c r="W149" s="42" t="str" cm="1">
        <f t="array" ref="W149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149" s="42" t="str" cm="1">
        <f t="array" ref="X149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149" s="23" t="s">
        <v>126</v>
      </c>
      <c r="Z149" s="33">
        <f>_xlfn.NUMBERVALUE(_xlfn.TEXTBEFORE(Table13[[#This Row],[Unit Price]]," "))</f>
        <v>370</v>
      </c>
      <c r="AA149" s="23" t="str">
        <f>RIGHT(Table13[[#This Row],[Unit Price]],LEN(Table13[[#This Row],[Unit Price]])-FIND(" ",Table13[[#This Row],[Unit Price]]))</f>
        <v>AUD</v>
      </c>
      <c r="AB149" s="33" cm="1">
        <f t="array" ref="AB149">Table13[[#This Row],[Unit Price Value]]*_xlfn.XLOOKUP(Table13[[#This Row],[Unit Price Currency]],{"EUR","USD","GBP","BRL","CAD","CNY","AUD","ZAR","MXN","JPY","INR"},{1,0.86,1.15,0.15,0.63,0.12,0.56,0.05,0.05,0.01,0.01},NA())</f>
        <v>207.20000000000002</v>
      </c>
      <c r="AC149" s="32">
        <v>10</v>
      </c>
      <c r="AD149" s="32"/>
      <c r="AE149" s="20">
        <f>IF(Table13[[#This Row],[Discount (%)]]="",CHOOSE(MATCH(MOD(Table13[[#This Row],[Sales Rep ID]],3)+1,{1,2,3},0),5,10,15),Table13[[#This Row],[Discount (%)]])</f>
        <v>10</v>
      </c>
      <c r="AF149" s="38">
        <f>Table13[[#This Row],[Unit Price (EUR)]]*Table13[[#This Row],[Units Sold]]</f>
        <v>2072</v>
      </c>
      <c r="AG149" s="38">
        <f>Table13[[#This Row],[Gross Price (Euro)]]*Table13[[#This Row],[Calc Discount (%)]]/100</f>
        <v>207.2</v>
      </c>
      <c r="AH149" s="39">
        <f>Table13[[#This Row],[Gross Price (Euro)]]-Table13[[#This Row],[Discount Value (Euro)]]</f>
        <v>1864.8</v>
      </c>
    </row>
    <row r="150" spans="1:43" x14ac:dyDescent="0.25">
      <c r="A150" s="43">
        <v>149</v>
      </c>
      <c r="B150" s="23" t="s">
        <v>13</v>
      </c>
      <c r="C150" s="23" t="s">
        <v>14</v>
      </c>
      <c r="D150" s="23" t="str">
        <f>_xlfn.TEXTJOIN(" ",,Table13[[#This Row],[Rep First Name]],Table13[[#This Row],[Rep Last Name]])</f>
        <v>Sanya Joshi</v>
      </c>
      <c r="E150" s="23" t="s">
        <v>76</v>
      </c>
      <c r="F150" s="23" t="str">
        <f>IF(LEN(Table13[[#This Row],[Month]]) &gt; 0, LEFT(Table13[[#This Row],[Month]], 3), "")</f>
        <v>May</v>
      </c>
      <c r="G150" s="23" t="s">
        <v>27</v>
      </c>
      <c r="H150" s="23" t="s">
        <v>17</v>
      </c>
      <c r="I150" s="44">
        <f>IF(ISNUMBER(SEARCH("km/h",Table13[[#This Row],[Min Speed]])),VALUE(_xlfn.TEXTBEFORE(Table13[[#This Row],[Min Speed]]," ")),ROUND(VALUE(_xlfn.TEXTBEFORE(Table13[[#This Row],[Min Speed]]," "))*1.60934,0))</f>
        <v>64</v>
      </c>
      <c r="J150" s="44">
        <f>ROUND(IF(ISNUMBER(SEARCH("km/h",Table13[[#This Row],[Min Speed]])),Table13[[#This Row],[Min Speed (km/h)]]*0.621371,VALUE(_xlfn.TEXTBEFORE(Table13[[#This Row],[Min Speed]]," "))),0)</f>
        <v>40</v>
      </c>
      <c r="K150" s="23" t="s">
        <v>18</v>
      </c>
      <c r="L150" s="44">
        <f>_xlfn.LET(_xlpm.val, --_xlfn.TEXTBEFORE(Table13[[#This Row],[Max Speed]]," "), _xlpm.unit, TRIM(_xlfn.TEXTAFTER(Table13[[#This Row],[Max Speed]]," ")), IF(_xlpm.unit="km/h", _xlpm.val, ROUND(_xlpm.val*1.60934,0)))</f>
        <v>120</v>
      </c>
      <c r="M150" s="44">
        <f>IF(ISNUMBER(SEARCH("mph",Table13[[#This Row],[Max Speed]])),--_xlfn.TEXTBEFORE(Table13[[#This Row],[Max Speed]]," mph"),ROUND(--_xlfn.TEXTBEFORE(Table13[[#This Row],[Max Speed]]," km/h")*0.621371,0))</f>
        <v>75</v>
      </c>
      <c r="N150" s="23" t="s">
        <v>68</v>
      </c>
      <c r="O150" s="45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50" s="42" t="str">
        <f>TEXT(Table13[[#This Row],[Min Speed (km/h)]],"0")&amp;" - "&amp;TEXT(Table13[[#This Row],[Max Speed (km/h)]],"0")&amp;""</f>
        <v>64 - 120</v>
      </c>
      <c r="Q150" s="46">
        <f>IF(Table13[[#This Row],[Distance (km)]]="", AVERAGE(Table13[Distance (km)]), Table13[[#This Row],[Distance (km)]])</f>
        <v>600</v>
      </c>
      <c r="R150" s="23" t="s">
        <v>127</v>
      </c>
      <c r="S150" s="42" t="str" cm="1">
        <f t="array" ref="S150">TRIM(INDEX(_xlfn.TEXTSPLIT(Table13[[#This Row],[Shipping Address]],","),1))</f>
        <v>321 Oxford Street</v>
      </c>
      <c r="T150" s="42" t="str" cm="1">
        <f t="array" ref="T150">TRIM(INDEX(_xlfn.TEXTSPLIT(Table13[[#This Row],[Shipping Address]],","),2))</f>
        <v>Perth</v>
      </c>
      <c r="U150" s="42" t="str" cm="1">
        <f t="array" ref="U150">TRIM(INDEX(_xlfn.TEXTSPLIT(Table13[[#This Row],[Shipping Address]],","),3))</f>
        <v>2011</v>
      </c>
      <c r="V150" s="23" t="s">
        <v>121</v>
      </c>
      <c r="W150" s="42" t="str" cm="1">
        <f t="array" ref="W150">_xlfn.XLOOKUP(Table13[[#This Row],[Country Code]],{"US","CA","MX","BR","GB","DE","FR","CN","IN","AU","ZA","JP"},{"United States","Canada","Mexico","Brazil","United Kingdom","Germany","France","China","India","Australia","South Africa","Japan"},"Other")</f>
        <v>Australia</v>
      </c>
      <c r="X150" s="42" t="str" cm="1">
        <f t="array" ref="X150">_xlfn.XLOOKUP(Table13[[#This Row],[Country Code]],{"US","CA","MX","BR","GB","DE","FR","CN","IN","AU","ZA","JP"},{"North America","North America","North America","South America","Europe","Europe","Europe","Asia","Asia","Oceania","Africa","Asia"},"Other")</f>
        <v>Oceania</v>
      </c>
      <c r="Y150" s="23" t="s">
        <v>128</v>
      </c>
      <c r="Z150" s="33">
        <f>_xlfn.NUMBERVALUE(_xlfn.TEXTBEFORE(Table13[[#This Row],[Unit Price]]," "))</f>
        <v>444</v>
      </c>
      <c r="AA150" s="23" t="str">
        <f>RIGHT(Table13[[#This Row],[Unit Price]],LEN(Table13[[#This Row],[Unit Price]])-FIND(" ",Table13[[#This Row],[Unit Price]]))</f>
        <v>AUD</v>
      </c>
      <c r="AB150" s="33" cm="1">
        <f t="array" ref="AB150">Table13[[#This Row],[Unit Price Value]]*_xlfn.XLOOKUP(Table13[[#This Row],[Unit Price Currency]],{"EUR","USD","GBP","BRL","CAD","CNY","AUD","ZAR","MXN","JPY","INR"},{1,0.86,1.15,0.15,0.63,0.12,0.56,0.05,0.05,0.01,0.01},NA())</f>
        <v>248.64000000000001</v>
      </c>
      <c r="AC150" s="32">
        <v>8</v>
      </c>
      <c r="AD150" s="32">
        <v>5</v>
      </c>
      <c r="AE150" s="20">
        <f>IF(Table13[[#This Row],[Discount (%)]]="",CHOOSE(MATCH(MOD(Table13[[#This Row],[Sales Rep ID]],3)+1,{1,2,3},0),5,10,15),Table13[[#This Row],[Discount (%)]])</f>
        <v>5</v>
      </c>
      <c r="AF150" s="38">
        <f>Table13[[#This Row],[Unit Price (EUR)]]*Table13[[#This Row],[Units Sold]]</f>
        <v>1989.1200000000001</v>
      </c>
      <c r="AG150" s="38">
        <f>Table13[[#This Row],[Gross Price (Euro)]]*Table13[[#This Row],[Calc Discount (%)]]/100</f>
        <v>99.456000000000003</v>
      </c>
      <c r="AH150" s="39">
        <f>Table13[[#This Row],[Gross Price (Euro)]]-Table13[[#This Row],[Discount Value (Euro)]]</f>
        <v>1889.6640000000002</v>
      </c>
    </row>
    <row r="151" spans="1:43" x14ac:dyDescent="0.25">
      <c r="A151" s="47">
        <v>150</v>
      </c>
      <c r="B151" s="35" t="s">
        <v>13</v>
      </c>
      <c r="C151" s="35" t="s">
        <v>14</v>
      </c>
      <c r="D151" s="35" t="str">
        <f>_xlfn.TEXTJOIN(" ",,Table13[[#This Row],[Rep First Name]],Table13[[#This Row],[Rep Last Name]])</f>
        <v>Sanya Joshi</v>
      </c>
      <c r="E151" s="35" t="s">
        <v>15</v>
      </c>
      <c r="F151" s="35" t="str">
        <f>IF(LEN(Table13[[#This Row],[Month]]) &gt; 0, LEFT(Table13[[#This Row],[Month]], 3), "")</f>
        <v>Jun</v>
      </c>
      <c r="G151" s="35" t="s">
        <v>67</v>
      </c>
      <c r="H151" s="35" t="s">
        <v>48</v>
      </c>
      <c r="I151" s="48">
        <f>IF(ISNUMBER(SEARCH("km/h",Table13[[#This Row],[Min Speed]])),VALUE(_xlfn.TEXTBEFORE(Table13[[#This Row],[Min Speed]]," ")),ROUND(VALUE(_xlfn.TEXTBEFORE(Table13[[#This Row],[Min Speed]]," "))*1.60934,0))</f>
        <v>20</v>
      </c>
      <c r="J151" s="48">
        <f>ROUND(IF(ISNUMBER(SEARCH("km/h",Table13[[#This Row],[Min Speed]])),Table13[[#This Row],[Min Speed (km/h)]]*0.621371,VALUE(_xlfn.TEXTBEFORE(Table13[[#This Row],[Min Speed]]," "))),0)</f>
        <v>12</v>
      </c>
      <c r="K151" s="35" t="s">
        <v>18</v>
      </c>
      <c r="L151" s="48">
        <f>_xlfn.LET(_xlpm.val, --_xlfn.TEXTBEFORE(Table13[[#This Row],[Max Speed]]," "), _xlpm.unit, TRIM(_xlfn.TEXTAFTER(Table13[[#This Row],[Max Speed]]," ")), IF(_xlpm.unit="km/h", _xlpm.val, ROUND(_xlpm.val*1.60934,0)))</f>
        <v>120</v>
      </c>
      <c r="M151" s="48">
        <f>IF(ISNUMBER(SEARCH("mph",Table13[[#This Row],[Max Speed]])),--_xlfn.TEXTBEFORE(Table13[[#This Row],[Max Speed]]," mph"),ROUND(--_xlfn.TEXTBEFORE(Table13[[#This Row],[Max Speed]]," km/h")*0.621371,0))</f>
        <v>75</v>
      </c>
      <c r="N151" s="35" t="s">
        <v>68</v>
      </c>
      <c r="O151" s="49">
        <f>IF(ISNUMBER(SEARCH("km",Table13[[#This Row],[Distance]])),VALUE(_xlfn.TEXTBEFORE(Table13[[#This Row],[Distance]]," km")),IF(ISNUMBER(SEARCH("mile",Table13[[#This Row],[Distance]])),VALUE(_xlfn.TEXTBEFORE(Table13[[#This Row],[Distance]]," mile"))*1.60934,""))</f>
        <v>600</v>
      </c>
      <c r="P151" s="42" t="str">
        <f>TEXT(Table13[[#This Row],[Min Speed (km/h)]],"0")&amp;" - "&amp;TEXT(Table13[[#This Row],[Max Speed (km/h)]],"0")&amp;""</f>
        <v>20 - 120</v>
      </c>
      <c r="Q151" s="50">
        <f>IF(Table13[[#This Row],[Distance (km)]]="", AVERAGE(Table13[Distance (km)]), Table13[[#This Row],[Distance (km)]])</f>
        <v>600</v>
      </c>
      <c r="R151" s="35" t="s">
        <v>129</v>
      </c>
      <c r="S151" s="42" t="str" cm="1">
        <f t="array" ref="S151">TRIM(INDEX(_xlfn.TEXTSPLIT(Table13[[#This Row],[Shipping Address]],","),1))</f>
        <v>123 Long Street</v>
      </c>
      <c r="T151" s="42" t="str" cm="1">
        <f t="array" ref="T151">TRIM(INDEX(_xlfn.TEXTSPLIT(Table13[[#This Row],[Shipping Address]],","),2))</f>
        <v>Cape Town</v>
      </c>
      <c r="U151" s="42" t="str" cm="1">
        <f t="array" ref="U151">TRIM(INDEX(_xlfn.TEXTSPLIT(Table13[[#This Row],[Shipping Address]],","),3))</f>
        <v>8001</v>
      </c>
      <c r="V151" s="35" t="s">
        <v>130</v>
      </c>
      <c r="W151" s="42" t="str" cm="1">
        <f t="array" ref="W151">_xlfn.XLOOKUP(Table13[[#This Row],[Country Code]],{"US","CA","MX","BR","GB","DE","FR","CN","IN","AU","ZA","JP"},{"United States","Canada","Mexico","Brazil","United Kingdom","Germany","France","China","India","Australia","South Africa","Japan"},"Other")</f>
        <v>South Africa</v>
      </c>
      <c r="X151" s="42" t="str" cm="1">
        <f t="array" ref="X151">_xlfn.XLOOKUP(Table13[[#This Row],[Country Code]],{"US","CA","MX","BR","GB","DE","FR","CN","IN","AU","ZA","JP"},{"North America","North America","North America","South America","Europe","Europe","Europe","Asia","Asia","Oceania","Africa","Asia"},"Other")</f>
        <v>Africa</v>
      </c>
      <c r="Y151" s="35" t="s">
        <v>131</v>
      </c>
      <c r="Z151" s="37">
        <f>_xlfn.NUMBERVALUE(_xlfn.TEXTBEFORE(Table13[[#This Row],[Unit Price]]," "))</f>
        <v>2743</v>
      </c>
      <c r="AA151" s="35" t="str">
        <f>RIGHT(Table13[[#This Row],[Unit Price]],LEN(Table13[[#This Row],[Unit Price]])-FIND(" ",Table13[[#This Row],[Unit Price]]))</f>
        <v>ZAR</v>
      </c>
      <c r="AB151" s="37" cm="1">
        <f t="array" ref="AB151">Table13[[#This Row],[Unit Price Value]]*_xlfn.XLOOKUP(Table13[[#This Row],[Unit Price Currency]],{"EUR","USD","GBP","BRL","CAD","CNY","AUD","ZAR","MXN","JPY","INR"},{1,0.86,1.15,0.15,0.63,0.12,0.56,0.05,0.05,0.01,0.01},NA())</f>
        <v>137.15</v>
      </c>
      <c r="AC151" s="36">
        <v>25</v>
      </c>
      <c r="AD151" s="36"/>
      <c r="AE151" s="20">
        <f>IF(Table13[[#This Row],[Discount (%)]]="",CHOOSE(MATCH(MOD(Table13[[#This Row],[Sales Rep ID]],3)+1,{1,2,3},0),5,10,15),Table13[[#This Row],[Discount (%)]])</f>
        <v>5</v>
      </c>
      <c r="AF151" s="40">
        <f>Table13[[#This Row],[Unit Price (EUR)]]*Table13[[#This Row],[Units Sold]]</f>
        <v>3428.75</v>
      </c>
      <c r="AG151" s="40">
        <f>Table13[[#This Row],[Gross Price (Euro)]]*Table13[[#This Row],[Calc Discount (%)]]/100</f>
        <v>171.4375</v>
      </c>
      <c r="AH151" s="41">
        <f>Table13[[#This Row],[Gross Price (Euro)]]-Table13[[#This Row],[Discount Value (Euro)]]</f>
        <v>3257.3125</v>
      </c>
    </row>
    <row r="152" spans="1:43" x14ac:dyDescent="0.25">
      <c r="A152" s="2"/>
      <c r="B152" s="13"/>
      <c r="C152" s="18"/>
      <c r="E152" s="2"/>
      <c r="G152" s="2"/>
      <c r="H152" s="2"/>
      <c r="J152" s="2"/>
      <c r="K152" s="2"/>
      <c r="N152" s="2"/>
      <c r="R152" s="2"/>
      <c r="V152" s="2"/>
      <c r="Y152" s="2"/>
      <c r="AC152" s="2"/>
    </row>
    <row r="153" spans="1:43" x14ac:dyDescent="0.25">
      <c r="AQ153" s="21"/>
    </row>
    <row r="154" spans="1:43" x14ac:dyDescent="0.25">
      <c r="AQ154" s="21"/>
    </row>
    <row r="155" spans="1:43" x14ac:dyDescent="0.25">
      <c r="AQ155" s="21"/>
    </row>
    <row r="156" spans="1:43" x14ac:dyDescent="0.25">
      <c r="AQ156" s="21"/>
    </row>
    <row r="157" spans="1:43" x14ac:dyDescent="0.25">
      <c r="AQ157" s="21"/>
    </row>
    <row r="158" spans="1:43" x14ac:dyDescent="0.25">
      <c r="AQ158" s="21"/>
    </row>
  </sheetData>
  <phoneticPr fontId="4" type="noConversion"/>
  <conditionalFormatting sqref="A2:A151">
    <cfRule type="duplicateValues" dxfId="1" priority="1"/>
  </conditionalFormatting>
  <conditionalFormatting sqref="A2:AE151">
    <cfRule type="containsBlanks" dxfId="0" priority="4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6AD4-17DF-459D-9BEC-126A64130DB9}">
  <dimension ref="A1:I84"/>
  <sheetViews>
    <sheetView showGridLines="0" workbookViewId="0">
      <selection activeCell="H20" sqref="H20:H22"/>
    </sheetView>
  </sheetViews>
  <sheetFormatPr defaultRowHeight="15" x14ac:dyDescent="0.25"/>
  <cols>
    <col min="1" max="1" width="14.7109375" bestFit="1" customWidth="1"/>
    <col min="2" max="2" width="9.28515625" bestFit="1" customWidth="1"/>
    <col min="3" max="3" width="5.7109375" bestFit="1" customWidth="1"/>
    <col min="4" max="5" width="22" bestFit="1" customWidth="1"/>
    <col min="6" max="6" width="19" bestFit="1" customWidth="1"/>
    <col min="7" max="7" width="15.42578125" bestFit="1" customWidth="1"/>
    <col min="8" max="9" width="15.140625" bestFit="1" customWidth="1"/>
    <col min="10" max="10" width="7.5703125" bestFit="1" customWidth="1"/>
    <col min="11" max="11" width="11.7109375" bestFit="1" customWidth="1"/>
    <col min="12" max="12" width="15.5703125" bestFit="1" customWidth="1"/>
    <col min="13" max="13" width="13.140625" bestFit="1" customWidth="1"/>
    <col min="14" max="16" width="11.28515625" bestFit="1" customWidth="1"/>
  </cols>
  <sheetData>
    <row r="1" spans="1:9" x14ac:dyDescent="0.25">
      <c r="A1" s="26" t="s">
        <v>159</v>
      </c>
      <c r="B1" s="26" t="s">
        <v>158</v>
      </c>
      <c r="C1" t="s">
        <v>178</v>
      </c>
      <c r="D1" t="s">
        <v>167</v>
      </c>
    </row>
    <row r="2" spans="1:9" x14ac:dyDescent="0.25">
      <c r="A2" t="s">
        <v>176</v>
      </c>
      <c r="B2" t="s">
        <v>183</v>
      </c>
      <c r="C2">
        <v>128</v>
      </c>
      <c r="D2" s="27">
        <v>20533.330000000002</v>
      </c>
      <c r="F2" s="86" t="s">
        <v>211</v>
      </c>
      <c r="G2" s="86"/>
      <c r="H2" s="2"/>
      <c r="I2" s="2"/>
    </row>
    <row r="3" spans="1:9" x14ac:dyDescent="0.25">
      <c r="A3" t="s">
        <v>184</v>
      </c>
      <c r="C3">
        <v>128</v>
      </c>
      <c r="D3" s="27">
        <v>20533.330000000002</v>
      </c>
      <c r="F3" s="69" t="s">
        <v>159</v>
      </c>
      <c r="G3" s="69" t="s">
        <v>158</v>
      </c>
      <c r="H3" s="69" t="s">
        <v>178</v>
      </c>
      <c r="I3" s="69" t="s">
        <v>165</v>
      </c>
    </row>
    <row r="4" spans="1:9" x14ac:dyDescent="0.25">
      <c r="A4" t="s">
        <v>174</v>
      </c>
      <c r="B4" t="s">
        <v>185</v>
      </c>
      <c r="C4">
        <v>127</v>
      </c>
      <c r="D4" s="27">
        <v>20387.016000000003</v>
      </c>
      <c r="F4" s="61" t="s">
        <v>212</v>
      </c>
      <c r="G4" s="84" t="s">
        <v>189</v>
      </c>
      <c r="H4" s="84">
        <v>169</v>
      </c>
      <c r="I4" s="85">
        <v>28816.3</v>
      </c>
    </row>
    <row r="5" spans="1:9" x14ac:dyDescent="0.25">
      <c r="B5" t="s">
        <v>186</v>
      </c>
      <c r="C5">
        <v>113</v>
      </c>
      <c r="D5" s="27">
        <v>17543.8145</v>
      </c>
      <c r="F5" s="61"/>
      <c r="G5" s="67" t="s">
        <v>190</v>
      </c>
      <c r="H5" s="67">
        <v>250</v>
      </c>
      <c r="I5" s="68">
        <v>41883.700000000004</v>
      </c>
    </row>
    <row r="6" spans="1:9" x14ac:dyDescent="0.25">
      <c r="B6" t="s">
        <v>187</v>
      </c>
      <c r="C6">
        <v>122</v>
      </c>
      <c r="D6" s="27">
        <v>34718.588000000003</v>
      </c>
      <c r="F6" s="61"/>
      <c r="G6" s="59" t="s">
        <v>191</v>
      </c>
      <c r="H6" s="59">
        <v>223</v>
      </c>
      <c r="I6" s="60">
        <v>37144.76999999999</v>
      </c>
    </row>
    <row r="7" spans="1:9" x14ac:dyDescent="0.25">
      <c r="A7" t="s">
        <v>188</v>
      </c>
      <c r="C7">
        <v>362</v>
      </c>
      <c r="D7" s="27">
        <v>72649.4185</v>
      </c>
      <c r="F7" s="61" t="s">
        <v>192</v>
      </c>
      <c r="G7" s="61"/>
      <c r="H7" s="61">
        <v>642</v>
      </c>
      <c r="I7" s="62">
        <v>107844.76999999999</v>
      </c>
    </row>
    <row r="8" spans="1:9" x14ac:dyDescent="0.25">
      <c r="A8" t="s">
        <v>173</v>
      </c>
      <c r="B8" t="s">
        <v>189</v>
      </c>
      <c r="C8">
        <v>169</v>
      </c>
      <c r="D8" s="27">
        <v>28816.3</v>
      </c>
      <c r="F8" s="61" t="s">
        <v>213</v>
      </c>
      <c r="G8" s="84" t="s">
        <v>193</v>
      </c>
      <c r="H8" s="84">
        <v>144</v>
      </c>
      <c r="I8" s="85">
        <v>22056.174000000003</v>
      </c>
    </row>
    <row r="9" spans="1:9" x14ac:dyDescent="0.25">
      <c r="B9" t="s">
        <v>190</v>
      </c>
      <c r="C9">
        <v>250</v>
      </c>
      <c r="D9" s="27">
        <v>41883.700000000004</v>
      </c>
      <c r="F9" s="61"/>
      <c r="G9" s="84" t="s">
        <v>194</v>
      </c>
      <c r="H9" s="84">
        <v>175</v>
      </c>
      <c r="I9" s="85">
        <v>28840.577499999999</v>
      </c>
    </row>
    <row r="10" spans="1:9" x14ac:dyDescent="0.25">
      <c r="B10" t="s">
        <v>191</v>
      </c>
      <c r="C10">
        <v>223</v>
      </c>
      <c r="D10" s="27">
        <v>37144.76999999999</v>
      </c>
      <c r="F10" s="61"/>
      <c r="G10" s="84" t="s">
        <v>195</v>
      </c>
      <c r="H10" s="84">
        <v>146</v>
      </c>
      <c r="I10" s="85">
        <v>22166.5</v>
      </c>
    </row>
    <row r="11" spans="1:9" x14ac:dyDescent="0.25">
      <c r="A11" t="s">
        <v>192</v>
      </c>
      <c r="C11">
        <v>642</v>
      </c>
      <c r="D11" s="27">
        <v>107844.76999999999</v>
      </c>
      <c r="F11" s="61" t="s">
        <v>196</v>
      </c>
      <c r="G11" s="61"/>
      <c r="H11" s="61">
        <v>465</v>
      </c>
      <c r="I11" s="62">
        <v>73063.251499999998</v>
      </c>
    </row>
    <row r="12" spans="1:9" x14ac:dyDescent="0.25">
      <c r="A12" t="s">
        <v>171</v>
      </c>
      <c r="B12" t="s">
        <v>193</v>
      </c>
      <c r="C12">
        <v>144</v>
      </c>
      <c r="D12" s="27">
        <v>22056.174000000003</v>
      </c>
      <c r="F12" s="61" t="s">
        <v>214</v>
      </c>
      <c r="G12" s="84" t="s">
        <v>185</v>
      </c>
      <c r="H12" s="84">
        <v>127</v>
      </c>
      <c r="I12" s="85">
        <v>20387.016000000003</v>
      </c>
    </row>
    <row r="13" spans="1:9" x14ac:dyDescent="0.25">
      <c r="B13" t="s">
        <v>194</v>
      </c>
      <c r="C13">
        <v>175</v>
      </c>
      <c r="D13" s="27">
        <v>28840.577499999999</v>
      </c>
      <c r="F13" s="61"/>
      <c r="G13" s="84" t="s">
        <v>186</v>
      </c>
      <c r="H13" s="84">
        <v>113</v>
      </c>
      <c r="I13" s="85">
        <v>17543.8145</v>
      </c>
    </row>
    <row r="14" spans="1:9" x14ac:dyDescent="0.25">
      <c r="B14" t="s">
        <v>195</v>
      </c>
      <c r="C14">
        <v>146</v>
      </c>
      <c r="D14" s="27">
        <v>22166.5</v>
      </c>
      <c r="F14" s="61"/>
      <c r="G14" s="63" t="s">
        <v>187</v>
      </c>
      <c r="H14" s="63">
        <v>122</v>
      </c>
      <c r="I14" s="64">
        <v>34718.588000000003</v>
      </c>
    </row>
    <row r="15" spans="1:9" x14ac:dyDescent="0.25">
      <c r="A15" t="s">
        <v>196</v>
      </c>
      <c r="C15">
        <v>465</v>
      </c>
      <c r="D15" s="27">
        <v>73063.251499999998</v>
      </c>
      <c r="F15" s="61" t="s">
        <v>188</v>
      </c>
      <c r="G15" s="61"/>
      <c r="H15" s="61">
        <v>362</v>
      </c>
      <c r="I15" s="62">
        <v>72649.4185</v>
      </c>
    </row>
    <row r="16" spans="1:9" x14ac:dyDescent="0.25">
      <c r="A16" t="s">
        <v>175</v>
      </c>
      <c r="B16" t="s">
        <v>197</v>
      </c>
      <c r="C16">
        <v>136</v>
      </c>
      <c r="D16" s="27">
        <v>21327.096000000005</v>
      </c>
    </row>
    <row r="17" spans="1:8" x14ac:dyDescent="0.25">
      <c r="A17" t="s">
        <v>198</v>
      </c>
      <c r="C17">
        <v>136</v>
      </c>
      <c r="D17" s="27">
        <v>21327.096000000005</v>
      </c>
    </row>
    <row r="18" spans="1:8" x14ac:dyDescent="0.25">
      <c r="A18" t="s">
        <v>172</v>
      </c>
      <c r="B18" t="s">
        <v>199</v>
      </c>
      <c r="C18">
        <v>159</v>
      </c>
      <c r="D18" s="27">
        <v>20903.2425</v>
      </c>
      <c r="F18" s="74" t="s">
        <v>215</v>
      </c>
      <c r="G18" s="71"/>
      <c r="H18" s="71"/>
    </row>
    <row r="19" spans="1:8" x14ac:dyDescent="0.25">
      <c r="A19" t="s">
        <v>200</v>
      </c>
      <c r="C19">
        <v>159</v>
      </c>
      <c r="D19" s="27">
        <v>20903.2425</v>
      </c>
      <c r="F19" s="72" t="s">
        <v>158</v>
      </c>
      <c r="G19" s="72" t="s">
        <v>178</v>
      </c>
      <c r="H19" s="73" t="s">
        <v>165</v>
      </c>
    </row>
    <row r="20" spans="1:8" x14ac:dyDescent="0.25">
      <c r="A20" t="s">
        <v>166</v>
      </c>
      <c r="C20" s="27">
        <v>1892</v>
      </c>
      <c r="D20" s="27">
        <v>316321.10850000003</v>
      </c>
      <c r="F20" s="79" t="s">
        <v>216</v>
      </c>
      <c r="G20" s="83">
        <v>250</v>
      </c>
      <c r="H20" s="80">
        <v>41883.700000000004</v>
      </c>
    </row>
    <row r="21" spans="1:8" x14ac:dyDescent="0.25">
      <c r="F21" s="79" t="s">
        <v>217</v>
      </c>
      <c r="G21" s="83">
        <v>223</v>
      </c>
      <c r="H21" s="80">
        <v>37144.76999999999</v>
      </c>
    </row>
    <row r="22" spans="1:8" x14ac:dyDescent="0.25">
      <c r="F22" s="79" t="s">
        <v>218</v>
      </c>
      <c r="G22" s="83">
        <v>122</v>
      </c>
      <c r="H22" s="80">
        <v>34718.588000000003</v>
      </c>
    </row>
    <row r="23" spans="1:8" x14ac:dyDescent="0.25">
      <c r="A23" s="26" t="s">
        <v>201</v>
      </c>
      <c r="B23" s="26" t="s">
        <v>3</v>
      </c>
      <c r="C23" t="s">
        <v>178</v>
      </c>
      <c r="D23" t="s">
        <v>167</v>
      </c>
    </row>
    <row r="24" spans="1:8" x14ac:dyDescent="0.25">
      <c r="A24" t="s">
        <v>179</v>
      </c>
      <c r="B24" t="s">
        <v>31</v>
      </c>
      <c r="C24">
        <v>267</v>
      </c>
      <c r="D24" s="27">
        <v>40550.740499999993</v>
      </c>
    </row>
    <row r="25" spans="1:8" x14ac:dyDescent="0.25">
      <c r="B25" t="s">
        <v>37</v>
      </c>
      <c r="C25">
        <v>373</v>
      </c>
      <c r="D25" s="27">
        <v>62344.798999999999</v>
      </c>
    </row>
    <row r="26" spans="1:8" x14ac:dyDescent="0.25">
      <c r="B26" t="s">
        <v>23</v>
      </c>
      <c r="C26">
        <v>285</v>
      </c>
      <c r="D26" s="27">
        <v>47816.029499999997</v>
      </c>
    </row>
    <row r="27" spans="1:8" x14ac:dyDescent="0.25">
      <c r="A27" t="s">
        <v>180</v>
      </c>
      <c r="C27">
        <v>925</v>
      </c>
      <c r="D27" s="27">
        <v>150711.56899999999</v>
      </c>
    </row>
    <row r="28" spans="1:8" x14ac:dyDescent="0.25">
      <c r="A28" t="s">
        <v>181</v>
      </c>
      <c r="B28" t="s">
        <v>47</v>
      </c>
      <c r="C28">
        <v>194</v>
      </c>
      <c r="D28" s="27">
        <v>30233.394000000004</v>
      </c>
    </row>
    <row r="29" spans="1:8" x14ac:dyDescent="0.25">
      <c r="B29" t="s">
        <v>76</v>
      </c>
      <c r="C29">
        <v>357</v>
      </c>
      <c r="D29" s="27">
        <v>64128.572</v>
      </c>
    </row>
    <row r="30" spans="1:8" x14ac:dyDescent="0.25">
      <c r="B30" t="s">
        <v>15</v>
      </c>
      <c r="C30">
        <v>416</v>
      </c>
      <c r="D30" s="27">
        <v>71247.573499999999</v>
      </c>
    </row>
    <row r="31" spans="1:8" x14ac:dyDescent="0.25">
      <c r="A31" t="s">
        <v>182</v>
      </c>
      <c r="C31">
        <v>967</v>
      </c>
      <c r="D31" s="27">
        <v>165609.53950000001</v>
      </c>
    </row>
    <row r="32" spans="1:8" x14ac:dyDescent="0.25">
      <c r="A32" t="s">
        <v>166</v>
      </c>
      <c r="C32" s="27">
        <v>1892</v>
      </c>
      <c r="D32" s="27">
        <v>316321.10849999997</v>
      </c>
    </row>
    <row r="35" spans="1:5" x14ac:dyDescent="0.25">
      <c r="A35" s="26" t="s">
        <v>204</v>
      </c>
      <c r="B35" s="26" t="s">
        <v>3</v>
      </c>
      <c r="C35" t="s">
        <v>202</v>
      </c>
      <c r="D35" t="s">
        <v>203</v>
      </c>
      <c r="E35" t="s">
        <v>167</v>
      </c>
    </row>
    <row r="36" spans="1:5" x14ac:dyDescent="0.25">
      <c r="A36" t="s">
        <v>179</v>
      </c>
      <c r="B36" t="s">
        <v>31</v>
      </c>
      <c r="C36" s="27">
        <v>45058.6</v>
      </c>
      <c r="D36" s="27">
        <v>4507.8595000000005</v>
      </c>
      <c r="E36" s="27">
        <v>40550.740499999993</v>
      </c>
    </row>
    <row r="37" spans="1:5" x14ac:dyDescent="0.25">
      <c r="B37" s="65" t="s">
        <v>37</v>
      </c>
      <c r="C37" s="66">
        <v>69481.959999999992</v>
      </c>
      <c r="D37" s="66">
        <v>7137.161000000001</v>
      </c>
      <c r="E37" s="66">
        <v>62344.798999999999</v>
      </c>
    </row>
    <row r="38" spans="1:5" x14ac:dyDescent="0.25">
      <c r="B38" t="s">
        <v>23</v>
      </c>
      <c r="C38" s="27">
        <v>54080.49</v>
      </c>
      <c r="D38" s="27">
        <v>6264.460500000001</v>
      </c>
      <c r="E38" s="27">
        <v>47816.029499999997</v>
      </c>
    </row>
    <row r="39" spans="1:5" x14ac:dyDescent="0.25">
      <c r="A39" t="s">
        <v>180</v>
      </c>
      <c r="C39" s="27">
        <v>168621.05</v>
      </c>
      <c r="D39" s="27">
        <v>17909.481000000003</v>
      </c>
      <c r="E39" s="27">
        <v>150711.56899999999</v>
      </c>
    </row>
    <row r="40" spans="1:5" x14ac:dyDescent="0.25">
      <c r="A40" t="s">
        <v>181</v>
      </c>
      <c r="B40" t="s">
        <v>47</v>
      </c>
      <c r="C40" s="27">
        <v>33706.950000000004</v>
      </c>
      <c r="D40" s="27">
        <v>3473.5559999999996</v>
      </c>
      <c r="E40" s="27">
        <v>30233.394000000004</v>
      </c>
    </row>
    <row r="41" spans="1:5" x14ac:dyDescent="0.25">
      <c r="B41" s="65" t="s">
        <v>76</v>
      </c>
      <c r="C41" s="66">
        <v>72354.049999999988</v>
      </c>
      <c r="D41" s="66">
        <v>8225.4779999999973</v>
      </c>
      <c r="E41" s="66">
        <v>64128.572</v>
      </c>
    </row>
    <row r="42" spans="1:5" x14ac:dyDescent="0.25">
      <c r="B42" s="65" t="s">
        <v>15</v>
      </c>
      <c r="C42" s="66">
        <v>78339.09</v>
      </c>
      <c r="D42" s="66">
        <v>7091.5164999999988</v>
      </c>
      <c r="E42" s="66">
        <v>71247.573499999999</v>
      </c>
    </row>
    <row r="43" spans="1:5" x14ac:dyDescent="0.25">
      <c r="A43" t="s">
        <v>182</v>
      </c>
      <c r="C43" s="27">
        <v>184400.09</v>
      </c>
      <c r="D43" s="27">
        <v>18790.550499999994</v>
      </c>
      <c r="E43" s="27">
        <v>165609.53950000001</v>
      </c>
    </row>
    <row r="44" spans="1:5" x14ac:dyDescent="0.25">
      <c r="A44" t="s">
        <v>166</v>
      </c>
      <c r="C44" s="27">
        <v>353021.14</v>
      </c>
      <c r="D44" s="27">
        <v>36700.031499999997</v>
      </c>
      <c r="E44" s="27">
        <v>316321.10849999997</v>
      </c>
    </row>
    <row r="47" spans="1:5" x14ac:dyDescent="0.25">
      <c r="A47" s="26" t="s">
        <v>205</v>
      </c>
      <c r="B47" t="s">
        <v>167</v>
      </c>
      <c r="D47" s="70" t="s">
        <v>210</v>
      </c>
    </row>
    <row r="48" spans="1:5" x14ac:dyDescent="0.25">
      <c r="A48" s="53" t="s">
        <v>206</v>
      </c>
      <c r="B48" s="54">
        <v>72649.069499999983</v>
      </c>
      <c r="D48" s="55" t="s">
        <v>206</v>
      </c>
      <c r="E48" s="56">
        <v>72649.069499999998</v>
      </c>
    </row>
    <row r="49" spans="1:7" x14ac:dyDescent="0.25">
      <c r="A49" s="51" t="s">
        <v>207</v>
      </c>
      <c r="B49" s="27">
        <v>79582.799999999988</v>
      </c>
    </row>
    <row r="50" spans="1:7" x14ac:dyDescent="0.25">
      <c r="A50" s="51" t="s">
        <v>208</v>
      </c>
      <c r="B50" s="27">
        <v>74255.070500000016</v>
      </c>
    </row>
    <row r="51" spans="1:7" x14ac:dyDescent="0.25">
      <c r="A51" s="51" t="s">
        <v>209</v>
      </c>
      <c r="B51" s="27">
        <v>89834.168500000014</v>
      </c>
    </row>
    <row r="52" spans="1:7" x14ac:dyDescent="0.25">
      <c r="A52" s="51" t="s">
        <v>166</v>
      </c>
      <c r="B52" s="27">
        <v>316321.10850000003</v>
      </c>
    </row>
    <row r="55" spans="1:7" x14ac:dyDescent="0.25">
      <c r="A55" s="26" t="s">
        <v>205</v>
      </c>
      <c r="B55" t="s">
        <v>167</v>
      </c>
      <c r="D55" s="81" t="s">
        <v>219</v>
      </c>
    </row>
    <row r="56" spans="1:7" x14ac:dyDescent="0.25">
      <c r="A56" s="76" t="s">
        <v>43</v>
      </c>
      <c r="B56" s="58">
        <v>89248.059500000018</v>
      </c>
      <c r="D56" s="82" t="s">
        <v>220</v>
      </c>
      <c r="E56" s="82" t="s">
        <v>221</v>
      </c>
      <c r="F56" s="82" t="s">
        <v>222</v>
      </c>
      <c r="G56" s="57"/>
    </row>
    <row r="57" spans="1:7" x14ac:dyDescent="0.25">
      <c r="A57" s="52" t="s">
        <v>176</v>
      </c>
      <c r="B57" s="27">
        <v>1301.0250000000003</v>
      </c>
      <c r="D57" s="79" t="s">
        <v>223</v>
      </c>
      <c r="E57" s="79" t="s">
        <v>173</v>
      </c>
      <c r="F57" s="80">
        <v>37097</v>
      </c>
    </row>
    <row r="58" spans="1:7" x14ac:dyDescent="0.25">
      <c r="A58" s="52" t="s">
        <v>174</v>
      </c>
      <c r="B58" s="27">
        <v>11707.137000000001</v>
      </c>
      <c r="D58" s="79" t="s">
        <v>224</v>
      </c>
      <c r="E58" s="79" t="s">
        <v>171</v>
      </c>
      <c r="F58" s="80">
        <v>33180</v>
      </c>
    </row>
    <row r="59" spans="1:7" x14ac:dyDescent="0.25">
      <c r="A59" s="78" t="s">
        <v>173</v>
      </c>
      <c r="B59" s="58">
        <v>30223.942499999997</v>
      </c>
      <c r="D59" s="79" t="s">
        <v>225</v>
      </c>
      <c r="E59" s="79" t="s">
        <v>173</v>
      </c>
      <c r="F59" s="80">
        <v>30224</v>
      </c>
    </row>
    <row r="60" spans="1:7" x14ac:dyDescent="0.25">
      <c r="A60" s="78" t="s">
        <v>171</v>
      </c>
      <c r="B60" s="58">
        <v>33179.647000000004</v>
      </c>
    </row>
    <row r="61" spans="1:7" x14ac:dyDescent="0.25">
      <c r="A61" s="52" t="s">
        <v>175</v>
      </c>
      <c r="B61" s="27">
        <v>6338.2480000000005</v>
      </c>
    </row>
    <row r="62" spans="1:7" x14ac:dyDescent="0.25">
      <c r="A62" s="52" t="s">
        <v>172</v>
      </c>
      <c r="B62" s="27">
        <v>6498.0599999999995</v>
      </c>
    </row>
    <row r="63" spans="1:7" x14ac:dyDescent="0.25">
      <c r="A63" s="75" t="s">
        <v>67</v>
      </c>
      <c r="B63" s="66">
        <v>91592.915999999997</v>
      </c>
    </row>
    <row r="64" spans="1:7" x14ac:dyDescent="0.25">
      <c r="A64" s="52" t="s">
        <v>176</v>
      </c>
      <c r="B64" s="27">
        <v>8067.6774999999998</v>
      </c>
    </row>
    <row r="65" spans="1:2" x14ac:dyDescent="0.25">
      <c r="A65" s="52" t="s">
        <v>174</v>
      </c>
      <c r="B65" s="27">
        <v>19708.997500000001</v>
      </c>
    </row>
    <row r="66" spans="1:2" x14ac:dyDescent="0.25">
      <c r="A66" s="77" t="s">
        <v>173</v>
      </c>
      <c r="B66" s="66">
        <v>37097.35</v>
      </c>
    </row>
    <row r="67" spans="1:2" x14ac:dyDescent="0.25">
      <c r="A67" s="52" t="s">
        <v>171</v>
      </c>
      <c r="B67" s="27">
        <v>13022.895</v>
      </c>
    </row>
    <row r="68" spans="1:2" x14ac:dyDescent="0.25">
      <c r="A68" s="52" t="s">
        <v>175</v>
      </c>
      <c r="B68" s="27">
        <v>8957.2559999999994</v>
      </c>
    </row>
    <row r="69" spans="1:2" x14ac:dyDescent="0.25">
      <c r="A69" s="52" t="s">
        <v>172</v>
      </c>
      <c r="B69" s="27">
        <v>4738.74</v>
      </c>
    </row>
    <row r="70" spans="1:2" x14ac:dyDescent="0.25">
      <c r="A70" s="51" t="s">
        <v>16</v>
      </c>
      <c r="B70" s="27">
        <v>75485.049500000008</v>
      </c>
    </row>
    <row r="71" spans="1:2" x14ac:dyDescent="0.25">
      <c r="A71" s="52" t="s">
        <v>176</v>
      </c>
      <c r="B71" s="27">
        <v>7914.420000000001</v>
      </c>
    </row>
    <row r="72" spans="1:2" x14ac:dyDescent="0.25">
      <c r="A72" s="52" t="s">
        <v>174</v>
      </c>
      <c r="B72" s="27">
        <v>24145.800000000003</v>
      </c>
    </row>
    <row r="73" spans="1:2" x14ac:dyDescent="0.25">
      <c r="A73" s="52" t="s">
        <v>173</v>
      </c>
      <c r="B73" s="27">
        <v>21756.405000000002</v>
      </c>
    </row>
    <row r="74" spans="1:2" x14ac:dyDescent="0.25">
      <c r="A74" s="52" t="s">
        <v>171</v>
      </c>
      <c r="B74" s="27">
        <v>15986.592000000001</v>
      </c>
    </row>
    <row r="75" spans="1:2" x14ac:dyDescent="0.25">
      <c r="A75" s="52" t="s">
        <v>175</v>
      </c>
      <c r="B75" s="27">
        <v>2351.7200000000003</v>
      </c>
    </row>
    <row r="76" spans="1:2" x14ac:dyDescent="0.25">
      <c r="A76" s="52" t="s">
        <v>172</v>
      </c>
      <c r="B76" s="27">
        <v>3330.1125000000002</v>
      </c>
    </row>
    <row r="77" spans="1:2" x14ac:dyDescent="0.25">
      <c r="A77" s="51" t="s">
        <v>27</v>
      </c>
      <c r="B77" s="27">
        <v>59995.083500000001</v>
      </c>
    </row>
    <row r="78" spans="1:2" x14ac:dyDescent="0.25">
      <c r="A78" s="52" t="s">
        <v>176</v>
      </c>
      <c r="B78" s="27">
        <v>3250.2075000000004</v>
      </c>
    </row>
    <row r="79" spans="1:2" x14ac:dyDescent="0.25">
      <c r="A79" s="52" t="s">
        <v>174</v>
      </c>
      <c r="B79" s="27">
        <v>17087.484</v>
      </c>
    </row>
    <row r="80" spans="1:2" x14ac:dyDescent="0.25">
      <c r="A80" s="52" t="s">
        <v>173</v>
      </c>
      <c r="B80" s="27">
        <v>18767.072499999998</v>
      </c>
    </row>
    <row r="81" spans="1:2" x14ac:dyDescent="0.25">
      <c r="A81" s="52" t="s">
        <v>171</v>
      </c>
      <c r="B81" s="27">
        <v>10874.117499999998</v>
      </c>
    </row>
    <row r="82" spans="1:2" x14ac:dyDescent="0.25">
      <c r="A82" s="52" t="s">
        <v>175</v>
      </c>
      <c r="B82" s="27">
        <v>3679.8720000000003</v>
      </c>
    </row>
    <row r="83" spans="1:2" x14ac:dyDescent="0.25">
      <c r="A83" s="52" t="s">
        <v>172</v>
      </c>
      <c r="B83" s="27">
        <v>6336.33</v>
      </c>
    </row>
    <row r="84" spans="1:2" x14ac:dyDescent="0.25">
      <c r="A84" s="51" t="s">
        <v>166</v>
      </c>
      <c r="B84" s="27">
        <v>316321.10850000003</v>
      </c>
    </row>
  </sheetData>
  <mergeCells count="1">
    <mergeCell ref="F2:G2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E8A6270632B74CA44318185654C11B" ma:contentTypeVersion="8" ma:contentTypeDescription="Create a new document." ma:contentTypeScope="" ma:versionID="77481fac2354b095101de9f20f93c7b9">
  <xsd:schema xmlns:xsd="http://www.w3.org/2001/XMLSchema" xmlns:xs="http://www.w3.org/2001/XMLSchema" xmlns:p="http://schemas.microsoft.com/office/2006/metadata/properties" xmlns:ns2="597a32d3-74d6-450e-99f4-564de56639a2" targetNamespace="http://schemas.microsoft.com/office/2006/metadata/properties" ma:root="true" ma:fieldsID="1cb477133849e8d412a41ccf963e1286" ns2:_="">
    <xsd:import namespace="597a32d3-74d6-450e-99f4-564de5663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a32d3-74d6-450e-99f4-564de5663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9159AC-73EB-44FC-B748-16F8B37E7E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a32d3-74d6-450e-99f4-564de5663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024BC6-1871-4204-814B-7BCB790B96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39A191-F9D0-4F4B-BACA-D9E1B95ABD6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 Vehicles Raw</vt:lpstr>
      <vt:lpstr>Electric Vehicles Processed</vt:lpstr>
      <vt:lpstr>Electric Vehicles 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Ackerl</dc:creator>
  <cp:keywords/>
  <dc:description/>
  <cp:lastModifiedBy>Sriram P</cp:lastModifiedBy>
  <cp:revision/>
  <dcterms:created xsi:type="dcterms:W3CDTF">2024-10-29T02:24:53Z</dcterms:created>
  <dcterms:modified xsi:type="dcterms:W3CDTF">2025-08-12T16:06:56Z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0x010100D5E8A6270632B74CA44318185654C11B</vt:lpwstr>
  </property>
</Properties>
</file>
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0d41073232aeadf/Documents/Coursera/Excel with CoPilot/Graded Projects/"/>
    </mc:Choice>
  </mc:AlternateContent>
  <xr:revisionPtr revIDLastSave="949" documentId="8_{573F83A2-3AF9-43AF-B0B3-CF2841A07739}" xr6:coauthVersionLast="47" xr6:coauthVersionMax="47" xr10:uidLastSave="{69D761AA-5D28-41F2-B1DB-4E5F21B2CFEC}"/>
  <bookViews>
    <workbookView xWindow="-120" yWindow="-120" windowWidth="29040" windowHeight="15840" xr2:uid="{00000000-000D-0000-FFFF-FFFF00000000}"/>
  </bookViews>
  <sheets>
    <sheet name="Attendance Tracker" sheetId="4" r:id="rId1"/>
    <sheet name="List1_ContactInfo" sheetId="1" r:id="rId2"/>
    <sheet name="List2_Department" sheetId="2" r:id="rId3"/>
    <sheet name="List3_Details" sheetId="3" r:id="rId4"/>
  </sheets>
  <definedNames>
    <definedName name="_xlnm._FilterDatabase" localSheetId="3" hidden="1">List3_Details!$H$14:$K$19</definedName>
  </definedName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7JcSuCf8WfZF+A/26XW/K9KHR8dYL5bVLXI1qpjaOU="/>
    </ext>
  </extLst>
</workbook>
</file>

<file path=xl/calcChain.xml><?xml version="1.0" encoding="utf-8"?>
<calcChain xmlns="http://schemas.openxmlformats.org/spreadsheetml/2006/main">
  <c r="C45" i="4" l="1"/>
  <c r="C46" i="4"/>
  <c r="C47" i="4"/>
  <c r="C48" i="4"/>
  <c r="C49" i="4"/>
  <c r="C50" i="4"/>
  <c r="C51" i="4"/>
  <c r="D45" i="4"/>
  <c r="D46" i="4"/>
  <c r="D47" i="4"/>
  <c r="D48" i="4"/>
  <c r="D49" i="4"/>
  <c r="D50" i="4"/>
  <c r="D51" i="4"/>
  <c r="E45" i="4"/>
  <c r="G45" i="4" s="1"/>
  <c r="H45" i="4" s="1"/>
  <c r="E46" i="4"/>
  <c r="E47" i="4"/>
  <c r="G47" i="4" s="1"/>
  <c r="H47" i="4" s="1"/>
  <c r="E48" i="4"/>
  <c r="E49" i="4"/>
  <c r="E50" i="4"/>
  <c r="G50" i="4" s="1"/>
  <c r="H50" i="4" s="1"/>
  <c r="E51" i="4"/>
  <c r="G51" i="4" s="1"/>
  <c r="H51" i="4" s="1"/>
  <c r="F45" i="4"/>
  <c r="F46" i="4"/>
  <c r="F47" i="4"/>
  <c r="F48" i="4"/>
  <c r="F49" i="4"/>
  <c r="F50" i="4"/>
  <c r="F51" i="4"/>
  <c r="G46" i="4"/>
  <c r="G48" i="4"/>
  <c r="G49" i="4"/>
  <c r="H49" i="4" s="1"/>
  <c r="H46" i="4"/>
  <c r="H48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F42" i="4"/>
  <c r="F43" i="4"/>
  <c r="F44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K16" i="3" l="1"/>
  <c r="K17" i="3"/>
  <c r="K18" i="3"/>
  <c r="K19" i="3"/>
  <c r="K15" i="3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D53" i="3"/>
  <c r="E53" i="3" s="1"/>
  <c r="D54" i="3"/>
  <c r="E5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E114" i="3" s="1"/>
  <c r="D115" i="3"/>
  <c r="E115" i="3" s="1"/>
  <c r="D116" i="3"/>
  <c r="E116" i="3" s="1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45" i="3"/>
  <c r="E145" i="3" s="1"/>
  <c r="D146" i="3"/>
  <c r="E146" i="3" s="1"/>
  <c r="D147" i="3"/>
  <c r="E147" i="3" s="1"/>
  <c r="D148" i="3"/>
  <c r="E148" i="3" s="1"/>
  <c r="D149" i="3"/>
  <c r="E149" i="3" s="1"/>
  <c r="D150" i="3"/>
  <c r="E150" i="3" s="1"/>
  <c r="D151" i="3"/>
  <c r="E151" i="3" s="1"/>
  <c r="D152" i="3"/>
  <c r="D153" i="3"/>
  <c r="E153" i="3" s="1"/>
  <c r="D154" i="3"/>
  <c r="E154" i="3" s="1"/>
  <c r="D155" i="3"/>
  <c r="E155" i="3" s="1"/>
  <c r="D156" i="3"/>
  <c r="E156" i="3" s="1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94" i="3"/>
  <c r="E194" i="3" s="1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D203" i="3"/>
  <c r="E203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E210" i="3" s="1"/>
  <c r="D211" i="3"/>
  <c r="E211" i="3" s="1"/>
  <c r="D212" i="3"/>
  <c r="E212" i="3" s="1"/>
  <c r="D213" i="3"/>
  <c r="E213" i="3" s="1"/>
  <c r="D214" i="3"/>
  <c r="E214" i="3" s="1"/>
  <c r="D215" i="3"/>
  <c r="E215" i="3" s="1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" i="3"/>
  <c r="E38" i="4" l="1"/>
  <c r="G38" i="4" s="1"/>
  <c r="H38" i="4" s="1"/>
  <c r="E30" i="4"/>
  <c r="G30" i="4" s="1"/>
  <c r="H30" i="4" s="1"/>
  <c r="E22" i="4"/>
  <c r="G22" i="4" s="1"/>
  <c r="H22" i="4" s="1"/>
  <c r="E17" i="4"/>
  <c r="G17" i="4" s="1"/>
  <c r="H17" i="4" s="1"/>
  <c r="E13" i="4"/>
  <c r="G13" i="4" s="1"/>
  <c r="H13" i="4" s="1"/>
  <c r="E9" i="4"/>
  <c r="G9" i="4" s="1"/>
  <c r="H9" i="4" s="1"/>
  <c r="E41" i="4"/>
  <c r="G41" i="4" s="1"/>
  <c r="H41" i="4" s="1"/>
  <c r="E37" i="4"/>
  <c r="G37" i="4" s="1"/>
  <c r="H37" i="4" s="1"/>
  <c r="E33" i="4"/>
  <c r="G33" i="4" s="1"/>
  <c r="H33" i="4" s="1"/>
  <c r="E29" i="4"/>
  <c r="G29" i="4" s="1"/>
  <c r="H29" i="4" s="1"/>
  <c r="E25" i="4"/>
  <c r="G25" i="4" s="1"/>
  <c r="H25" i="4" s="1"/>
  <c r="E20" i="4"/>
  <c r="G20" i="4" s="1"/>
  <c r="H20" i="4" s="1"/>
  <c r="E16" i="4"/>
  <c r="G16" i="4" s="1"/>
  <c r="H16" i="4" s="1"/>
  <c r="E12" i="4"/>
  <c r="G12" i="4" s="1"/>
  <c r="H12" i="4" s="1"/>
  <c r="E8" i="4"/>
  <c r="G8" i="4" s="1"/>
  <c r="H8" i="4" s="1"/>
  <c r="E4" i="4"/>
  <c r="G4" i="4" s="1"/>
  <c r="H4" i="4" s="1"/>
  <c r="E42" i="4"/>
  <c r="G42" i="4" s="1"/>
  <c r="H42" i="4" s="1"/>
  <c r="E34" i="4"/>
  <c r="G34" i="4" s="1"/>
  <c r="H34" i="4" s="1"/>
  <c r="E26" i="4"/>
  <c r="G26" i="4" s="1"/>
  <c r="H26" i="4" s="1"/>
  <c r="E21" i="4"/>
  <c r="G21" i="4" s="1"/>
  <c r="H21" i="4" s="1"/>
  <c r="E5" i="4"/>
  <c r="G5" i="4" s="1"/>
  <c r="H5" i="4" s="1"/>
  <c r="E44" i="4"/>
  <c r="G44" i="4" s="1"/>
  <c r="H44" i="4" s="1"/>
  <c r="E40" i="4"/>
  <c r="G40" i="4" s="1"/>
  <c r="H40" i="4" s="1"/>
  <c r="E36" i="4"/>
  <c r="G36" i="4" s="1"/>
  <c r="H36" i="4" s="1"/>
  <c r="E32" i="4"/>
  <c r="G32" i="4" s="1"/>
  <c r="H32" i="4" s="1"/>
  <c r="E28" i="4"/>
  <c r="G28" i="4" s="1"/>
  <c r="H28" i="4" s="1"/>
  <c r="E24" i="4"/>
  <c r="G24" i="4" s="1"/>
  <c r="H24" i="4" s="1"/>
  <c r="E19" i="4"/>
  <c r="G19" i="4" s="1"/>
  <c r="H19" i="4" s="1"/>
  <c r="E15" i="4"/>
  <c r="G15" i="4" s="1"/>
  <c r="H15" i="4" s="1"/>
  <c r="E11" i="4"/>
  <c r="G11" i="4" s="1"/>
  <c r="H11" i="4" s="1"/>
  <c r="E7" i="4"/>
  <c r="G7" i="4" s="1"/>
  <c r="H7" i="4" s="1"/>
  <c r="E3" i="4"/>
  <c r="G3" i="4" s="1"/>
  <c r="H3" i="4" s="1"/>
  <c r="E43" i="4"/>
  <c r="G43" i="4" s="1"/>
  <c r="H43" i="4" s="1"/>
  <c r="E39" i="4"/>
  <c r="G39" i="4" s="1"/>
  <c r="H39" i="4" s="1"/>
  <c r="E35" i="4"/>
  <c r="G35" i="4" s="1"/>
  <c r="H35" i="4" s="1"/>
  <c r="E31" i="4"/>
  <c r="G31" i="4" s="1"/>
  <c r="H31" i="4" s="1"/>
  <c r="E27" i="4"/>
  <c r="G27" i="4" s="1"/>
  <c r="H27" i="4" s="1"/>
  <c r="E23" i="4"/>
  <c r="G23" i="4" s="1"/>
  <c r="H23" i="4" s="1"/>
  <c r="E18" i="4"/>
  <c r="G18" i="4" s="1"/>
  <c r="H18" i="4" s="1"/>
  <c r="E14" i="4"/>
  <c r="G14" i="4" s="1"/>
  <c r="H14" i="4" s="1"/>
  <c r="E10" i="4"/>
  <c r="G10" i="4" s="1"/>
  <c r="H10" i="4" s="1"/>
  <c r="E6" i="4"/>
  <c r="G6" i="4" s="1"/>
  <c r="H6" i="4" s="1"/>
  <c r="E2" i="3"/>
  <c r="E52" i="3"/>
  <c r="E202" i="3"/>
  <c r="E152" i="3"/>
  <c r="E102" i="3"/>
  <c r="E2" i="4" l="1"/>
  <c r="G2" i="4" s="1"/>
  <c r="H2" i="4" s="1"/>
  <c r="O19" i="4" s="1" a="1"/>
  <c r="O1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<sst xmlns="http://schemas.openxmlformats.org/spreadsheetml/2006/main" count="868" uniqueCount="142">
  <si>
    <t>Name</t>
  </si>
  <si>
    <t>Month</t>
  </si>
  <si>
    <t>Contact</t>
  </si>
  <si>
    <t>Actual Days Present</t>
  </si>
  <si>
    <t>Total Days Present</t>
  </si>
  <si>
    <t>Attendance Percentage</t>
  </si>
  <si>
    <t>Attendance Requirement Met? (&gt;=80%)</t>
  </si>
  <si>
    <t>Attendee 1</t>
  </si>
  <si>
    <t>Attendance Requirement Met? (&gt;=80% )</t>
  </si>
  <si>
    <t>(All)</t>
  </si>
  <si>
    <t>Attendee 2</t>
  </si>
  <si>
    <t>Attendee 3</t>
  </si>
  <si>
    <t>Dept Attendance %</t>
  </si>
  <si>
    <t>Attendee 4</t>
  </si>
  <si>
    <t>Name / Department</t>
  </si>
  <si>
    <t>Attendance %</t>
  </si>
  <si>
    <t>Department</t>
  </si>
  <si>
    <t>Avg Attendance %</t>
  </si>
  <si>
    <t>Attendee 5</t>
  </si>
  <si>
    <t>Finance</t>
  </si>
  <si>
    <t>Attendee 6</t>
  </si>
  <si>
    <t>Attendee 10</t>
  </si>
  <si>
    <t>HR</t>
  </si>
  <si>
    <t>Attendee 7</t>
  </si>
  <si>
    <t>Attendee 15</t>
  </si>
  <si>
    <t>IT</t>
  </si>
  <si>
    <t>Attendee 8</t>
  </si>
  <si>
    <t>Attendee 20</t>
  </si>
  <si>
    <t>Marketing</t>
  </si>
  <si>
    <t>Attendee 9</t>
  </si>
  <si>
    <t>Attendee 25</t>
  </si>
  <si>
    <t>Sales</t>
  </si>
  <si>
    <t>Attendee 30</t>
  </si>
  <si>
    <t>Attendee 11</t>
  </si>
  <si>
    <t>Attendee 35</t>
  </si>
  <si>
    <t>Attendee 12</t>
  </si>
  <si>
    <t>Attendee 40</t>
  </si>
  <si>
    <t>Person with Highest Attendance</t>
  </si>
  <si>
    <t>Attendee 13</t>
  </si>
  <si>
    <t>Attendee 45</t>
  </si>
  <si>
    <t>Attendee 14</t>
  </si>
  <si>
    <t>Attendee 50</t>
  </si>
  <si>
    <t>Attendee 33</t>
  </si>
  <si>
    <t>Attendee 16</t>
  </si>
  <si>
    <t>Attendee 17</t>
  </si>
  <si>
    <t>Attendee 18</t>
  </si>
  <si>
    <t>% of Individuals with Attendance &gt;=80%</t>
  </si>
  <si>
    <t>Attendee 19</t>
  </si>
  <si>
    <t>Attendee 23</t>
  </si>
  <si>
    <t>Attendee 28</t>
  </si>
  <si>
    <t>Attendee 38</t>
  </si>
  <si>
    <t>Attendee 21</t>
  </si>
  <si>
    <t>Attendee 43</t>
  </si>
  <si>
    <t>Attendee 22</t>
  </si>
  <si>
    <t>Attendee 48</t>
  </si>
  <si>
    <t>Attendee 24</t>
  </si>
  <si>
    <t>Attendee 26</t>
  </si>
  <si>
    <t>Attendee 42</t>
  </si>
  <si>
    <t>Attendee 27</t>
  </si>
  <si>
    <t>Attendee 29</t>
  </si>
  <si>
    <t>Attendee 34</t>
  </si>
  <si>
    <t>Attendee 39</t>
  </si>
  <si>
    <t>Attendee 31</t>
  </si>
  <si>
    <t>Attendee 32</t>
  </si>
  <si>
    <t>Attendee 44</t>
  </si>
  <si>
    <t>Attendee 49</t>
  </si>
  <si>
    <t>Attendee 36</t>
  </si>
  <si>
    <t>Attendee 37</t>
  </si>
  <si>
    <t>Attendee 41</t>
  </si>
  <si>
    <t>Attendee 46</t>
  </si>
  <si>
    <t>Attendee 47</t>
  </si>
  <si>
    <t>Email Address</t>
  </si>
  <si>
    <t>attendee1@company.com</t>
  </si>
  <si>
    <t>attendee2@company.com</t>
  </si>
  <si>
    <t>attendee3@company.com</t>
  </si>
  <si>
    <t>attendee4@company.com</t>
  </si>
  <si>
    <t>attendee5@company.com</t>
  </si>
  <si>
    <t>attendee6@company.com</t>
  </si>
  <si>
    <t>attendee7@company.com</t>
  </si>
  <si>
    <t>attendee8@company.com</t>
  </si>
  <si>
    <t>attendee9@company.com</t>
  </si>
  <si>
    <t>attendee10@company.com</t>
  </si>
  <si>
    <t>attendee11@company.com</t>
  </si>
  <si>
    <t>attendee12@company.com</t>
  </si>
  <si>
    <t>attendee13@company.com</t>
  </si>
  <si>
    <t>attendee14@company.com</t>
  </si>
  <si>
    <t>attendee15@company.com</t>
  </si>
  <si>
    <t>attendee16@company.com</t>
  </si>
  <si>
    <t>attendee17@company.com</t>
  </si>
  <si>
    <t>attendee18@company.com</t>
  </si>
  <si>
    <t>attendee19@company.com</t>
  </si>
  <si>
    <t>attendee20@company.com</t>
  </si>
  <si>
    <t>attendee21@company.com</t>
  </si>
  <si>
    <t>attendee22@company.com</t>
  </si>
  <si>
    <t>attendee23@company.com</t>
  </si>
  <si>
    <t>attendee24@company.com</t>
  </si>
  <si>
    <t>attendee25@company.com</t>
  </si>
  <si>
    <t>attendee26@company.com</t>
  </si>
  <si>
    <t>attendee27@company.com</t>
  </si>
  <si>
    <t>attendee28@company.com</t>
  </si>
  <si>
    <t>attendee29@company.com</t>
  </si>
  <si>
    <t>attendee30@company.com</t>
  </si>
  <si>
    <t>attendee31@company.com</t>
  </si>
  <si>
    <t>attendee32@company.com</t>
  </si>
  <si>
    <t>attendee33@company.com</t>
  </si>
  <si>
    <t>attendee34@company.com</t>
  </si>
  <si>
    <t>attendee35@company.com</t>
  </si>
  <si>
    <t>attendee36@company.com</t>
  </si>
  <si>
    <t>attendee37@company.com</t>
  </si>
  <si>
    <t>attendee38@company.com</t>
  </si>
  <si>
    <t>attendee39@company.com</t>
  </si>
  <si>
    <t>attendee40@company.com</t>
  </si>
  <si>
    <t>attendee41@company.com</t>
  </si>
  <si>
    <t>attendee42@company.com</t>
  </si>
  <si>
    <t>attendee43@company.com</t>
  </si>
  <si>
    <t>attendee44@company.com</t>
  </si>
  <si>
    <t>attendee45@company.com</t>
  </si>
  <si>
    <t>attendee46@company.com</t>
  </si>
  <si>
    <t>attendee47@company.com</t>
  </si>
  <si>
    <t>attendee48@company.com</t>
  </si>
  <si>
    <t>attendee49@company.com</t>
  </si>
  <si>
    <t>attendee50@company.com</t>
  </si>
  <si>
    <t>Legend</t>
  </si>
  <si>
    <t xml:space="preserve">Department </t>
  </si>
  <si>
    <t>Group</t>
  </si>
  <si>
    <t>A</t>
  </si>
  <si>
    <t>B</t>
  </si>
  <si>
    <t>C</t>
  </si>
  <si>
    <t>D</t>
  </si>
  <si>
    <t>E</t>
  </si>
  <si>
    <t>Date</t>
  </si>
  <si>
    <t>Attended</t>
  </si>
  <si>
    <t>Attendance Status</t>
  </si>
  <si>
    <t>Attendance Value</t>
  </si>
  <si>
    <t>Yes</t>
  </si>
  <si>
    <t>No</t>
  </si>
  <si>
    <t>Attendance Count</t>
  </si>
  <si>
    <t>Present</t>
  </si>
  <si>
    <t>Total</t>
  </si>
  <si>
    <t>Day Attendance %</t>
  </si>
  <si>
    <t>Day Total</t>
  </si>
  <si>
    <t>Group/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</si>
</sst>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2"/>
      <color rgb="FF1F1F1F"/>
      <name val="Source Sans Pro"/>
      <family val="2"/>
    </font>
    <font>
      <b/>
      <sz val="12"/>
      <color theme="2"/>
      <name val="Calibri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rgb="FF43434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66666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465926084170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2"/>
      </left>
      <right style="thick">
        <color theme="2"/>
      </right>
      <top/>
      <bottom style="thick">
        <color theme="2"/>
      </bottom>
      <diagonal/>
    </border>
  </borders>
  <cellStyleXfs count="2">
    <xf numFmtId="0" fontId="0" fillId="0" borderId="0"/>
    <xf numFmtId="0" fontId="7" fillId="9" borderId="10">
      <alignment horizontal="center" vertical="center"/>
    </xf>
  </cellStyleXfs>
  <cellXfs count="6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5" fontId="3" fillId="0" borderId="8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0" fillId="0" borderId="1" xfId="0" applyNumberForma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5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9" fontId="5" fillId="6" borderId="1" xfId="0" applyNumberFormat="1" applyFont="1" applyFill="1" applyBorder="1" applyAlignment="1">
      <alignment horizontal="right" vertical="center"/>
    </xf>
    <xf numFmtId="1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/>
    </xf>
    <xf numFmtId="9" fontId="5" fillId="7" borderId="1" xfId="0" applyNumberFormat="1" applyFont="1" applyFill="1" applyBorder="1" applyAlignment="1">
      <alignment horizontal="right" vertical="center"/>
    </xf>
    <xf numFmtId="0" fontId="0" fillId="0" borderId="1" xfId="0" pivotButton="1" applyBorder="1"/>
    <xf numFmtId="15" fontId="0" fillId="0" borderId="1" xfId="0" applyNumberFormat="1" applyBorder="1" applyAlignment="1">
      <alignment horizontal="left"/>
    </xf>
    <xf numFmtId="0" fontId="7" fillId="9" borderId="11" xfId="1" applyBorder="1">
      <alignment horizontal="center" vertical="center"/>
    </xf>
    <xf numFmtId="0" fontId="7" fillId="9" borderId="11" xfId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10" fontId="0" fillId="0" borderId="0" xfId="0" applyNumberFormat="1"/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9" fontId="0" fillId="8" borderId="1" xfId="0" applyNumberForma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9" borderId="10" xfId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1" xfId="0" applyBorder="1"/>
    <xf numFmtId="0" fontId="9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horizontal="right" vertical="center"/>
    </xf>
    <xf numFmtId="0" fontId="0" fillId="0" borderId="1" xfId="0" applyBorder="1"/>
    <xf numFmtId="0" fontId="2" fillId="2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pivotButton="1" applyBorder="1" applyAlignment="1">
      <alignment horizontal="left" vertical="center"/>
    </xf>
  </cellXfs>
  <cellStyles count="2">
    <cellStyle name="Normal" xfId="0" builtinId="0"/>
    <cellStyle name="Report Header" xfId="1" xr:uid="{3C624E89-3112-46D7-964C-79C43601FC80}"/>
  </cellStyles>
  <dxfs count="617"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left"/>
    </dxf>
    <dxf>
      <alignment horizontal="left"/>
    </dxf>
    <dxf>
      <alignment horizontal="left"/>
    </dxf>
    <dxf>
      <font>
        <color theme="2"/>
      </font>
      <fill>
        <patternFill patternType="solid">
          <fgColor indexed="64"/>
          <bgColor rgb="FFF8696B"/>
        </patternFill>
      </fill>
    </dxf>
    <dxf>
      <font>
        <color theme="2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theme="4" tint="0.59996337778862885"/>
        </patternFill>
      </fill>
    </dxf>
    <dxf>
      <font>
        <color rgb="FF000000"/>
      </font>
      <fill>
        <patternFill patternType="solid">
          <fgColor indexed="64"/>
          <bgColor theme="7" tint="0.59996337778862885"/>
        </patternFill>
      </fill>
    </dxf>
    <dxf>
      <font>
        <color theme="2"/>
      </font>
      <fill>
        <patternFill patternType="solid">
          <fgColor indexed="64"/>
          <bgColor theme="5" tint="-0.24994659260841701"/>
        </patternFill>
      </fill>
    </dxf>
    <dxf>
      <font>
        <color rgb="FF000000"/>
      </font>
      <fill>
        <patternFill patternType="solid">
          <fgColor indexed="64"/>
          <bgColor theme="9" tint="0.59996337778862885"/>
        </patternFill>
      </fill>
    </dxf>
    <dxf>
      <font>
        <color theme="2"/>
      </font>
      <fill>
        <patternFill patternType="solid">
          <fgColor indexed="64"/>
          <bgColor theme="4" tint="-0.24994659260841701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numFmt numFmtId="0" formatCode="General"/>
    </dxf>
    <dxf>
      <font>
        <b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0" formatCode="dd/m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Source Sans Pro"/>
        <family val="2"/>
        <scheme val="none"/>
      </font>
      <alignment horizontal="righ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m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ck">
          <color theme="2"/>
        </top>
      </border>
    </dxf>
    <dxf>
      <border outline="0">
        <bottom style="thick">
          <color theme="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ck">
          <color theme="2"/>
        </left>
        <right style="thick">
          <color theme="2"/>
        </right>
        <top/>
        <bottom/>
      </border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[AttendanceTracker870125.xlsx]List3_Details!PivotTable3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List3_Details!$I$4:$I$5</c:f>
              <c:strCache>
                <c:ptCount val="1"/>
                <c:pt idx="0">
                  <c:v>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List3_Details!$H$6:$H$10</c:f>
              <c:strCache>
                <c:ptCount val="5"/>
                <c:pt idx="0">
                  <c:v>01-Jul-24</c:v>
                </c:pt>
                <c:pt idx="1">
                  <c:v>02-Jul-24</c:v>
                </c:pt>
                <c:pt idx="2">
                  <c:v>03-Jul-24</c:v>
                </c:pt>
                <c:pt idx="3">
                  <c:v>04-Jul-24</c:v>
                </c:pt>
                <c:pt idx="4">
                  <c:v>05-Jul-24</c:v>
                </c:pt>
              </c:strCache>
            </c:strRef>
          </c:cat>
          <c:val>
            <c:numRef>
              <c:f>List3_Details!$I$6:$I$10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24</c:v>
                </c:pt>
                <c:pt idx="3">
                  <c:v>30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2-4B9A-83A0-DED99395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051520"/>
        <c:axId val="581052960"/>
      </c:barChart>
      <c:catAx>
        <c:axId val="5810515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81052960"/>
        <c:crosses val="autoZero"/>
        <c:auto val="1"/>
        <c:lblAlgn val="ctr"/>
        <c:lblOffset val="100"/>
        <c:noMultiLvlLbl val="0"/>
      </c:catAx>
      <c:valAx>
        <c:axId val="5810529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810515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20</xdr:row>
      <xdr:rowOff>185736</xdr:rowOff>
    </xdr:from>
    <xdr:to>
      <xdr:col>11</xdr:col>
      <xdr:colOff>19051</xdr:colOff>
      <xdr:row>37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6EAB0E-CA30-1C2A-50AF-8D55C9D35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AttendanceTracker_11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44.825802893516" createdVersion="8" refreshedVersion="8" minRefreshableVersion="3" recordCount="250" xr:uid="{BAEDDBEC-605F-4FA2-A1A3-5829BCA769AA}">
  <cacheSource type="worksheet">
    <worksheetSource name="Table1"/>
  </cacheSource>
  <cacheFields count="5">
    <cacheField name="Name" numFmtId="0">
      <sharedItems count="50">
        <s v="Attendee 1"/>
        <s v="Attendee 2"/>
        <s v="Attendee 3"/>
        <s v="Attendee 4"/>
        <s v="Attendee 5"/>
        <s v="Attendee 6"/>
        <s v="Attendee 7"/>
        <s v="Attendee 8"/>
        <s v="Attendee 9"/>
        <s v="Attendee 10"/>
        <s v="Attendee 11"/>
        <s v="Attendee 12"/>
        <s v="Attendee 13"/>
        <s v="Attendee 14"/>
        <s v="Attendee 15"/>
        <s v="Attendee 16"/>
        <s v="Attendee 17"/>
        <s v="Attendee 18"/>
        <s v="Attendee 19"/>
        <s v="Attendee 20"/>
        <s v="Attendee 21"/>
        <s v="Attendee 22"/>
        <s v="Attendee 23"/>
        <s v="Attendee 24"/>
        <s v="Attendee 25"/>
        <s v="Attendee 26"/>
        <s v="Attendee 27"/>
        <s v="Attendee 28"/>
        <s v="Attendee 29"/>
        <s v="Attendee 30"/>
        <s v="Attendee 31"/>
        <s v="Attendee 32"/>
        <s v="Attendee 33"/>
        <s v="Attendee 34"/>
        <s v="Attendee 35"/>
        <s v="Attendee 36"/>
        <s v="Attendee 37"/>
        <s v="Attendee 38"/>
        <s v="Attendee 39"/>
        <s v="Attendee 40"/>
        <s v="Attendee 41"/>
        <s v="Attendee 42"/>
        <s v="Attendee 43"/>
        <s v="Attendee 44"/>
        <s v="Attendee 45"/>
        <s v="Attendee 46"/>
        <s v="Attendee 47"/>
        <s v="Attendee 48"/>
        <s v="Attendee 49"/>
        <s v="Attendee 50"/>
      </sharedItems>
    </cacheField>
    <cacheField name="Date" numFmtId="15">
      <sharedItems containsSemiMixedTypes="0" containsNonDate="0" containsDate="1" containsString="0" minDate="2024-07-01T00:00:00" maxDate="2024-07-06T00:00:00" count="5">
        <d v="2024-07-01T00:00:00"/>
        <d v="2024-07-02T00:00:00"/>
        <d v="2024-07-03T00:00:00"/>
        <d v="2024-07-04T00:00:00"/>
        <d v="2024-07-05T00:00:00"/>
      </sharedItems>
    </cacheField>
    <cacheField name="Attended" numFmtId="0">
      <sharedItems/>
    </cacheField>
    <cacheField name="Attendance Status" numFmtId="0">
      <sharedItems count="2">
        <s v="Present"/>
        <s v="Absent"/>
      </sharedItems>
    </cacheField>
    <cacheField name="Attendance Valu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44.50148958333" createdVersion="8" refreshedVersion="8" minRefreshableVersion="3" recordCount="50" xr:uid="{56346820-D916-49AF-8C05-BD9F245AD6A7}">
  <cacheSource type="worksheet">
    <worksheetSource name="Table1" r:id="rId2"/>
  </cacheSource>
  <cacheFields count="8">
    <cacheField name="Name" numFmtId="0">
      <sharedItems count="50">
        <s v="Attendee 1"/>
        <s v="Attendee 2"/>
        <s v="Attendee 3"/>
        <s v="Attendee 4"/>
        <s v="Attendee 5"/>
        <s v="Attendee 6"/>
        <s v="Attendee 7"/>
        <s v="Attendee 8"/>
        <s v="Attendee 9"/>
        <s v="Attendee 10"/>
        <s v="Attendee 11"/>
        <s v="Attendee 12"/>
        <s v="Attendee 13"/>
        <s v="Attendee 14"/>
        <s v="Attendee 15"/>
        <s v="Attendee 16"/>
        <s v="Attendee 17"/>
        <s v="Attendee 18"/>
        <s v="Attendee 19"/>
        <s v="Attendee 20"/>
        <s v="Attendee 21"/>
        <s v="Attendee 22"/>
        <s v="Attendee 23"/>
        <s v="Attendee 24"/>
        <s v="Attendee 25"/>
        <s v="Attendee 26"/>
        <s v="Attendee 27"/>
        <s v="Attendee 28"/>
        <s v="Attendee 29"/>
        <s v="Attendee 30"/>
        <s v="Attendee 31"/>
        <s v="Attendee 32"/>
        <s v="Attendee 33"/>
        <s v="Attendee 34"/>
        <s v="Attendee 35"/>
        <s v="Attendee 36"/>
        <s v="Attendee 37"/>
        <s v="Attendee 38"/>
        <s v="Attendee 39"/>
        <s v="Attendee 40"/>
        <s v="Attendee 41"/>
        <s v="Attendee 42"/>
        <s v="Attendee 43"/>
        <s v="Attendee 44"/>
        <s v="Attendee 45"/>
        <s v="Attendee 46"/>
        <s v="Attendee 47"/>
        <s v="Attendee 48"/>
        <s v="Attendee 49"/>
        <s v="Attendee 50"/>
      </sharedItems>
    </cacheField>
    <cacheField name="Month" numFmtId="164">
      <sharedItems containsSemiMixedTypes="0" containsNonDate="0" containsDate="1" containsString="0" minDate="2024-07-01T00:00:00" maxDate="2024-07-02T00:00:00"/>
    </cacheField>
    <cacheField name="Contact" numFmtId="0">
      <sharedItems/>
    </cacheField>
    <cacheField name="Group/Department" numFmtId="0">
      <sharedItems count="5">
        <s v="Marketing"/>
        <s v="Sales"/>
        <s v="HR"/>
        <s v="IT"/>
        <s v="Finance"/>
      </sharedItems>
    </cacheField>
    <cacheField name="Actual Days Present" numFmtId="0">
      <sharedItems containsSemiMixedTypes="0" containsString="0" containsNumber="1" containsInteger="1" minValue="0" maxValue="5" count="6">
        <n v="2"/>
        <n v="3"/>
        <n v="4"/>
        <n v="0"/>
        <n v="1"/>
        <n v="5"/>
      </sharedItems>
    </cacheField>
    <cacheField name="Total Days Present" numFmtId="0">
      <sharedItems containsSemiMixedTypes="0" containsString="0" containsNumber="1" containsInteger="1" minValue="5" maxValue="5"/>
    </cacheField>
    <cacheField name="Attendance Percentage" numFmtId="10">
      <sharedItems containsSemiMixedTypes="0" containsString="0" containsNumber="1" minValue="0" maxValue="1" count="6">
        <n v="0.4"/>
        <n v="0.6"/>
        <n v="0.8"/>
        <n v="0"/>
        <n v="0.2"/>
        <n v="1"/>
      </sharedItems>
    </cacheField>
    <cacheField name="Attendance Requirement Met? (80% and above)" numFmtId="0">
      <sharedItems count="2">
        <s v="Not Met"/>
        <s v="M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s v="Yes"/>
    <x v="0"/>
    <n v="1"/>
  </r>
  <r>
    <x v="1"/>
    <x v="0"/>
    <s v="No"/>
    <x v="1"/>
    <n v="0"/>
  </r>
  <r>
    <x v="2"/>
    <x v="0"/>
    <s v="Yes"/>
    <x v="0"/>
    <n v="1"/>
  </r>
  <r>
    <x v="3"/>
    <x v="0"/>
    <s v="No"/>
    <x v="1"/>
    <n v="0"/>
  </r>
  <r>
    <x v="4"/>
    <x v="0"/>
    <s v="Yes"/>
    <x v="0"/>
    <n v="1"/>
  </r>
  <r>
    <x v="5"/>
    <x v="0"/>
    <s v="No"/>
    <x v="1"/>
    <n v="0"/>
  </r>
  <r>
    <x v="6"/>
    <x v="0"/>
    <s v="Yes"/>
    <x v="0"/>
    <n v="1"/>
  </r>
  <r>
    <x v="7"/>
    <x v="0"/>
    <s v="No"/>
    <x v="1"/>
    <n v="0"/>
  </r>
  <r>
    <x v="8"/>
    <x v="0"/>
    <s v="Yes"/>
    <x v="0"/>
    <n v="1"/>
  </r>
  <r>
    <x v="9"/>
    <x v="0"/>
    <s v="No"/>
    <x v="1"/>
    <n v="0"/>
  </r>
  <r>
    <x v="10"/>
    <x v="0"/>
    <s v="Yes"/>
    <x v="0"/>
    <n v="1"/>
  </r>
  <r>
    <x v="11"/>
    <x v="0"/>
    <s v="No"/>
    <x v="1"/>
    <n v="0"/>
  </r>
  <r>
    <x v="12"/>
    <x v="0"/>
    <s v="Yes"/>
    <x v="0"/>
    <n v="1"/>
  </r>
  <r>
    <x v="13"/>
    <x v="0"/>
    <s v="No"/>
    <x v="1"/>
    <n v="0"/>
  </r>
  <r>
    <x v="14"/>
    <x v="0"/>
    <s v="Yes"/>
    <x v="0"/>
    <n v="1"/>
  </r>
  <r>
    <x v="15"/>
    <x v="0"/>
    <s v="No"/>
    <x v="1"/>
    <n v="0"/>
  </r>
  <r>
    <x v="16"/>
    <x v="0"/>
    <s v="Yes"/>
    <x v="0"/>
    <n v="1"/>
  </r>
  <r>
    <x v="17"/>
    <x v="0"/>
    <s v="No"/>
    <x v="1"/>
    <n v="0"/>
  </r>
  <r>
    <x v="18"/>
    <x v="0"/>
    <s v="Yes"/>
    <x v="0"/>
    <n v="1"/>
  </r>
  <r>
    <x v="19"/>
    <x v="0"/>
    <s v="No"/>
    <x v="1"/>
    <n v="0"/>
  </r>
  <r>
    <x v="20"/>
    <x v="0"/>
    <s v="Yes"/>
    <x v="0"/>
    <n v="1"/>
  </r>
  <r>
    <x v="21"/>
    <x v="0"/>
    <s v="No"/>
    <x v="1"/>
    <n v="0"/>
  </r>
  <r>
    <x v="22"/>
    <x v="0"/>
    <s v="Yes"/>
    <x v="0"/>
    <n v="1"/>
  </r>
  <r>
    <x v="23"/>
    <x v="0"/>
    <s v="No"/>
    <x v="1"/>
    <n v="0"/>
  </r>
  <r>
    <x v="24"/>
    <x v="0"/>
    <s v="Yes"/>
    <x v="0"/>
    <n v="1"/>
  </r>
  <r>
    <x v="25"/>
    <x v="0"/>
    <s v="No"/>
    <x v="1"/>
    <n v="0"/>
  </r>
  <r>
    <x v="26"/>
    <x v="0"/>
    <s v="Yes"/>
    <x v="0"/>
    <n v="1"/>
  </r>
  <r>
    <x v="27"/>
    <x v="0"/>
    <s v="No"/>
    <x v="1"/>
    <n v="0"/>
  </r>
  <r>
    <x v="28"/>
    <x v="0"/>
    <s v="Yes"/>
    <x v="0"/>
    <n v="1"/>
  </r>
  <r>
    <x v="29"/>
    <x v="0"/>
    <s v="No"/>
    <x v="1"/>
    <n v="0"/>
  </r>
  <r>
    <x v="30"/>
    <x v="0"/>
    <s v="Yes"/>
    <x v="0"/>
    <n v="1"/>
  </r>
  <r>
    <x v="31"/>
    <x v="0"/>
    <s v="No"/>
    <x v="1"/>
    <n v="0"/>
  </r>
  <r>
    <x v="32"/>
    <x v="0"/>
    <s v="Yes"/>
    <x v="0"/>
    <n v="1"/>
  </r>
  <r>
    <x v="33"/>
    <x v="0"/>
    <s v="No"/>
    <x v="1"/>
    <n v="0"/>
  </r>
  <r>
    <x v="34"/>
    <x v="0"/>
    <s v="Yes"/>
    <x v="0"/>
    <n v="1"/>
  </r>
  <r>
    <x v="35"/>
    <x v="0"/>
    <s v="No"/>
    <x v="1"/>
    <n v="0"/>
  </r>
  <r>
    <x v="36"/>
    <x v="0"/>
    <s v="Yes"/>
    <x v="0"/>
    <n v="1"/>
  </r>
  <r>
    <x v="37"/>
    <x v="0"/>
    <s v="No"/>
    <x v="1"/>
    <n v="0"/>
  </r>
  <r>
    <x v="38"/>
    <x v="0"/>
    <s v="Yes"/>
    <x v="0"/>
    <n v="1"/>
  </r>
  <r>
    <x v="39"/>
    <x v="0"/>
    <s v="No"/>
    <x v="1"/>
    <n v="0"/>
  </r>
  <r>
    <x v="40"/>
    <x v="0"/>
    <s v="Yes"/>
    <x v="0"/>
    <n v="1"/>
  </r>
  <r>
    <x v="41"/>
    <x v="0"/>
    <s v="No"/>
    <x v="1"/>
    <n v="0"/>
  </r>
  <r>
    <x v="42"/>
    <x v="0"/>
    <s v="Yes"/>
    <x v="0"/>
    <n v="1"/>
  </r>
  <r>
    <x v="43"/>
    <x v="0"/>
    <s v="No"/>
    <x v="1"/>
    <n v="0"/>
  </r>
  <r>
    <x v="44"/>
    <x v="0"/>
    <s v="Yes"/>
    <x v="0"/>
    <n v="1"/>
  </r>
  <r>
    <x v="45"/>
    <x v="0"/>
    <s v="No"/>
    <x v="1"/>
    <n v="0"/>
  </r>
  <r>
    <x v="46"/>
    <x v="0"/>
    <s v="Yes"/>
    <x v="0"/>
    <n v="1"/>
  </r>
  <r>
    <x v="47"/>
    <x v="0"/>
    <s v="No"/>
    <x v="1"/>
    <n v="0"/>
  </r>
  <r>
    <x v="48"/>
    <x v="0"/>
    <s v="Yes"/>
    <x v="0"/>
    <n v="1"/>
  </r>
  <r>
    <x v="49"/>
    <x v="0"/>
    <s v="No"/>
    <x v="1"/>
    <n v="0"/>
  </r>
  <r>
    <x v="0"/>
    <x v="1"/>
    <s v="No"/>
    <x v="1"/>
    <n v="0"/>
  </r>
  <r>
    <x v="1"/>
    <x v="1"/>
    <s v="Yes"/>
    <x v="0"/>
    <n v="1"/>
  </r>
  <r>
    <x v="2"/>
    <x v="1"/>
    <s v="No"/>
    <x v="1"/>
    <n v="0"/>
  </r>
  <r>
    <x v="3"/>
    <x v="1"/>
    <s v="No"/>
    <x v="1"/>
    <n v="0"/>
  </r>
  <r>
    <x v="4"/>
    <x v="1"/>
    <s v="No"/>
    <x v="1"/>
    <n v="0"/>
  </r>
  <r>
    <x v="5"/>
    <x v="1"/>
    <s v="No"/>
    <x v="1"/>
    <n v="0"/>
  </r>
  <r>
    <x v="6"/>
    <x v="1"/>
    <s v="No"/>
    <x v="1"/>
    <n v="0"/>
  </r>
  <r>
    <x v="7"/>
    <x v="1"/>
    <s v="Yes"/>
    <x v="0"/>
    <n v="1"/>
  </r>
  <r>
    <x v="8"/>
    <x v="1"/>
    <s v="Yes"/>
    <x v="0"/>
    <n v="1"/>
  </r>
  <r>
    <x v="9"/>
    <x v="1"/>
    <s v="Yes"/>
    <x v="0"/>
    <n v="1"/>
  </r>
  <r>
    <x v="10"/>
    <x v="1"/>
    <s v="No"/>
    <x v="1"/>
    <n v="0"/>
  </r>
  <r>
    <x v="11"/>
    <x v="1"/>
    <s v="No"/>
    <x v="1"/>
    <n v="0"/>
  </r>
  <r>
    <x v="12"/>
    <x v="1"/>
    <s v="Yes"/>
    <x v="0"/>
    <n v="1"/>
  </r>
  <r>
    <x v="13"/>
    <x v="1"/>
    <s v="Yes"/>
    <x v="0"/>
    <n v="1"/>
  </r>
  <r>
    <x v="14"/>
    <x v="1"/>
    <s v="Yes"/>
    <x v="0"/>
    <n v="1"/>
  </r>
  <r>
    <x v="15"/>
    <x v="1"/>
    <s v="No"/>
    <x v="1"/>
    <n v="0"/>
  </r>
  <r>
    <x v="16"/>
    <x v="1"/>
    <s v="No"/>
    <x v="1"/>
    <n v="0"/>
  </r>
  <r>
    <x v="17"/>
    <x v="1"/>
    <s v="Yes"/>
    <x v="0"/>
    <n v="1"/>
  </r>
  <r>
    <x v="18"/>
    <x v="1"/>
    <s v="Yes"/>
    <x v="0"/>
    <n v="1"/>
  </r>
  <r>
    <x v="19"/>
    <x v="1"/>
    <s v="No"/>
    <x v="1"/>
    <n v="0"/>
  </r>
  <r>
    <x v="20"/>
    <x v="1"/>
    <s v="No"/>
    <x v="1"/>
    <n v="0"/>
  </r>
  <r>
    <x v="21"/>
    <x v="1"/>
    <s v="Yes"/>
    <x v="0"/>
    <n v="1"/>
  </r>
  <r>
    <x v="22"/>
    <x v="1"/>
    <s v="Yes"/>
    <x v="0"/>
    <n v="1"/>
  </r>
  <r>
    <x v="23"/>
    <x v="1"/>
    <s v="Yes"/>
    <x v="0"/>
    <n v="1"/>
  </r>
  <r>
    <x v="24"/>
    <x v="1"/>
    <s v="No"/>
    <x v="1"/>
    <n v="0"/>
  </r>
  <r>
    <x v="25"/>
    <x v="1"/>
    <s v="Yes"/>
    <x v="0"/>
    <n v="1"/>
  </r>
  <r>
    <x v="26"/>
    <x v="1"/>
    <s v="Yes"/>
    <x v="0"/>
    <n v="1"/>
  </r>
  <r>
    <x v="27"/>
    <x v="1"/>
    <s v="No"/>
    <x v="1"/>
    <n v="0"/>
  </r>
  <r>
    <x v="28"/>
    <x v="1"/>
    <s v="No"/>
    <x v="1"/>
    <n v="0"/>
  </r>
  <r>
    <x v="29"/>
    <x v="1"/>
    <s v="Yes"/>
    <x v="0"/>
    <n v="1"/>
  </r>
  <r>
    <x v="30"/>
    <x v="1"/>
    <s v="No"/>
    <x v="1"/>
    <n v="0"/>
  </r>
  <r>
    <x v="31"/>
    <x v="1"/>
    <s v="No"/>
    <x v="1"/>
    <n v="0"/>
  </r>
  <r>
    <x v="32"/>
    <x v="1"/>
    <s v="Yes"/>
    <x v="0"/>
    <n v="1"/>
  </r>
  <r>
    <x v="33"/>
    <x v="1"/>
    <s v="No"/>
    <x v="1"/>
    <n v="0"/>
  </r>
  <r>
    <x v="34"/>
    <x v="1"/>
    <s v="Yes"/>
    <x v="0"/>
    <n v="1"/>
  </r>
  <r>
    <x v="35"/>
    <x v="1"/>
    <s v="Yes"/>
    <x v="0"/>
    <n v="1"/>
  </r>
  <r>
    <x v="36"/>
    <x v="1"/>
    <s v="Yes"/>
    <x v="0"/>
    <n v="1"/>
  </r>
  <r>
    <x v="37"/>
    <x v="1"/>
    <s v="Yes"/>
    <x v="0"/>
    <n v="1"/>
  </r>
  <r>
    <x v="38"/>
    <x v="1"/>
    <s v="Yes"/>
    <x v="0"/>
    <n v="1"/>
  </r>
  <r>
    <x v="39"/>
    <x v="1"/>
    <s v="No"/>
    <x v="1"/>
    <n v="0"/>
  </r>
  <r>
    <x v="40"/>
    <x v="1"/>
    <s v="No"/>
    <x v="1"/>
    <n v="0"/>
  </r>
  <r>
    <x v="41"/>
    <x v="1"/>
    <s v="No"/>
    <x v="1"/>
    <n v="0"/>
  </r>
  <r>
    <x v="42"/>
    <x v="1"/>
    <s v="Yes"/>
    <x v="0"/>
    <n v="1"/>
  </r>
  <r>
    <x v="43"/>
    <x v="1"/>
    <s v="Yes"/>
    <x v="0"/>
    <n v="1"/>
  </r>
  <r>
    <x v="44"/>
    <x v="1"/>
    <s v="No"/>
    <x v="1"/>
    <n v="0"/>
  </r>
  <r>
    <x v="45"/>
    <x v="1"/>
    <s v="Yes"/>
    <x v="0"/>
    <n v="1"/>
  </r>
  <r>
    <x v="46"/>
    <x v="1"/>
    <s v="Yes"/>
    <x v="0"/>
    <n v="1"/>
  </r>
  <r>
    <x v="47"/>
    <x v="1"/>
    <s v="No"/>
    <x v="1"/>
    <n v="0"/>
  </r>
  <r>
    <x v="48"/>
    <x v="1"/>
    <s v="No"/>
    <x v="1"/>
    <n v="0"/>
  </r>
  <r>
    <x v="49"/>
    <x v="1"/>
    <s v="No"/>
    <x v="1"/>
    <n v="0"/>
  </r>
  <r>
    <x v="0"/>
    <x v="2"/>
    <s v="No"/>
    <x v="1"/>
    <n v="0"/>
  </r>
  <r>
    <x v="1"/>
    <x v="2"/>
    <s v="Yes"/>
    <x v="0"/>
    <n v="1"/>
  </r>
  <r>
    <x v="2"/>
    <x v="2"/>
    <s v="Yes"/>
    <x v="0"/>
    <n v="1"/>
  </r>
  <r>
    <x v="3"/>
    <x v="2"/>
    <s v="Yes"/>
    <x v="0"/>
    <n v="1"/>
  </r>
  <r>
    <x v="4"/>
    <x v="2"/>
    <s v="Yes"/>
    <x v="0"/>
    <n v="1"/>
  </r>
  <r>
    <x v="5"/>
    <x v="2"/>
    <s v="Yes"/>
    <x v="0"/>
    <n v="1"/>
  </r>
  <r>
    <x v="6"/>
    <x v="2"/>
    <s v="Yes"/>
    <x v="0"/>
    <n v="1"/>
  </r>
  <r>
    <x v="7"/>
    <x v="2"/>
    <s v="Yes"/>
    <x v="0"/>
    <n v="1"/>
  </r>
  <r>
    <x v="8"/>
    <x v="2"/>
    <s v="Yes"/>
    <x v="0"/>
    <n v="1"/>
  </r>
  <r>
    <x v="9"/>
    <x v="2"/>
    <s v="Yes"/>
    <x v="0"/>
    <n v="1"/>
  </r>
  <r>
    <x v="10"/>
    <x v="2"/>
    <s v="Yes"/>
    <x v="0"/>
    <n v="1"/>
  </r>
  <r>
    <x v="11"/>
    <x v="2"/>
    <s v="No"/>
    <x v="1"/>
    <n v="0"/>
  </r>
  <r>
    <x v="12"/>
    <x v="2"/>
    <s v="No"/>
    <x v="1"/>
    <n v="0"/>
  </r>
  <r>
    <x v="13"/>
    <x v="2"/>
    <s v="No"/>
    <x v="1"/>
    <n v="0"/>
  </r>
  <r>
    <x v="14"/>
    <x v="2"/>
    <s v="No"/>
    <x v="1"/>
    <n v="0"/>
  </r>
  <r>
    <x v="15"/>
    <x v="2"/>
    <s v="No"/>
    <x v="1"/>
    <n v="0"/>
  </r>
  <r>
    <x v="16"/>
    <x v="2"/>
    <s v="Yes"/>
    <x v="0"/>
    <n v="1"/>
  </r>
  <r>
    <x v="17"/>
    <x v="2"/>
    <s v="Yes"/>
    <x v="0"/>
    <n v="1"/>
  </r>
  <r>
    <x v="18"/>
    <x v="2"/>
    <s v="Yes"/>
    <x v="0"/>
    <n v="1"/>
  </r>
  <r>
    <x v="19"/>
    <x v="2"/>
    <s v="No"/>
    <x v="1"/>
    <n v="0"/>
  </r>
  <r>
    <x v="20"/>
    <x v="2"/>
    <s v="Yes"/>
    <x v="0"/>
    <n v="1"/>
  </r>
  <r>
    <x v="21"/>
    <x v="2"/>
    <s v="No"/>
    <x v="1"/>
    <n v="0"/>
  </r>
  <r>
    <x v="22"/>
    <x v="2"/>
    <s v="No"/>
    <x v="1"/>
    <n v="0"/>
  </r>
  <r>
    <x v="23"/>
    <x v="2"/>
    <s v="Yes"/>
    <x v="0"/>
    <n v="1"/>
  </r>
  <r>
    <x v="24"/>
    <x v="2"/>
    <s v="No"/>
    <x v="1"/>
    <n v="0"/>
  </r>
  <r>
    <x v="25"/>
    <x v="2"/>
    <s v="No"/>
    <x v="1"/>
    <n v="0"/>
  </r>
  <r>
    <x v="26"/>
    <x v="2"/>
    <s v="No"/>
    <x v="1"/>
    <n v="0"/>
  </r>
  <r>
    <x v="27"/>
    <x v="2"/>
    <s v="No"/>
    <x v="1"/>
    <n v="0"/>
  </r>
  <r>
    <x v="28"/>
    <x v="2"/>
    <s v="No"/>
    <x v="1"/>
    <n v="0"/>
  </r>
  <r>
    <x v="29"/>
    <x v="2"/>
    <s v="Yes"/>
    <x v="0"/>
    <n v="1"/>
  </r>
  <r>
    <x v="30"/>
    <x v="2"/>
    <s v="No"/>
    <x v="1"/>
    <n v="0"/>
  </r>
  <r>
    <x v="31"/>
    <x v="2"/>
    <s v="No"/>
    <x v="1"/>
    <n v="0"/>
  </r>
  <r>
    <x v="32"/>
    <x v="2"/>
    <s v="Yes"/>
    <x v="0"/>
    <n v="1"/>
  </r>
  <r>
    <x v="33"/>
    <x v="2"/>
    <s v="Yes"/>
    <x v="0"/>
    <n v="1"/>
  </r>
  <r>
    <x v="34"/>
    <x v="2"/>
    <s v="No"/>
    <x v="1"/>
    <n v="0"/>
  </r>
  <r>
    <x v="35"/>
    <x v="2"/>
    <s v="Yes"/>
    <x v="0"/>
    <n v="1"/>
  </r>
  <r>
    <x v="36"/>
    <x v="2"/>
    <s v="Yes"/>
    <x v="0"/>
    <n v="1"/>
  </r>
  <r>
    <x v="37"/>
    <x v="2"/>
    <s v="No"/>
    <x v="1"/>
    <n v="0"/>
  </r>
  <r>
    <x v="38"/>
    <x v="2"/>
    <s v="Yes"/>
    <x v="0"/>
    <n v="1"/>
  </r>
  <r>
    <x v="39"/>
    <x v="2"/>
    <s v="No"/>
    <x v="1"/>
    <n v="0"/>
  </r>
  <r>
    <x v="40"/>
    <x v="2"/>
    <s v="Yes"/>
    <x v="0"/>
    <n v="1"/>
  </r>
  <r>
    <x v="41"/>
    <x v="2"/>
    <s v="No"/>
    <x v="1"/>
    <n v="0"/>
  </r>
  <r>
    <x v="42"/>
    <x v="2"/>
    <s v="No"/>
    <x v="1"/>
    <n v="0"/>
  </r>
  <r>
    <x v="43"/>
    <x v="2"/>
    <s v="No"/>
    <x v="1"/>
    <n v="0"/>
  </r>
  <r>
    <x v="44"/>
    <x v="2"/>
    <s v="No"/>
    <x v="1"/>
    <n v="0"/>
  </r>
  <r>
    <x v="45"/>
    <x v="2"/>
    <s v="Yes"/>
    <x v="0"/>
    <n v="1"/>
  </r>
  <r>
    <x v="46"/>
    <x v="2"/>
    <s v="Yes"/>
    <x v="0"/>
    <n v="1"/>
  </r>
  <r>
    <x v="47"/>
    <x v="2"/>
    <s v="No"/>
    <x v="1"/>
    <n v="0"/>
  </r>
  <r>
    <x v="48"/>
    <x v="2"/>
    <s v="No"/>
    <x v="1"/>
    <n v="0"/>
  </r>
  <r>
    <x v="49"/>
    <x v="2"/>
    <s v="No"/>
    <x v="1"/>
    <n v="0"/>
  </r>
  <r>
    <x v="0"/>
    <x v="3"/>
    <s v="Yes"/>
    <x v="0"/>
    <n v="1"/>
  </r>
  <r>
    <x v="1"/>
    <x v="3"/>
    <s v="Yes"/>
    <x v="0"/>
    <n v="1"/>
  </r>
  <r>
    <x v="2"/>
    <x v="3"/>
    <s v="No"/>
    <x v="1"/>
    <n v="0"/>
  </r>
  <r>
    <x v="3"/>
    <x v="3"/>
    <s v="Yes"/>
    <x v="0"/>
    <n v="1"/>
  </r>
  <r>
    <x v="4"/>
    <x v="3"/>
    <s v="Yes"/>
    <x v="0"/>
    <n v="1"/>
  </r>
  <r>
    <x v="5"/>
    <x v="3"/>
    <s v="Yes"/>
    <x v="0"/>
    <n v="1"/>
  </r>
  <r>
    <x v="6"/>
    <x v="3"/>
    <s v="Yes"/>
    <x v="0"/>
    <n v="1"/>
  </r>
  <r>
    <x v="7"/>
    <x v="3"/>
    <s v="Yes"/>
    <x v="0"/>
    <n v="1"/>
  </r>
  <r>
    <x v="8"/>
    <x v="3"/>
    <s v="Yes"/>
    <x v="0"/>
    <n v="1"/>
  </r>
  <r>
    <x v="9"/>
    <x v="3"/>
    <s v="No"/>
    <x v="1"/>
    <n v="0"/>
  </r>
  <r>
    <x v="10"/>
    <x v="3"/>
    <s v="Yes"/>
    <x v="0"/>
    <n v="1"/>
  </r>
  <r>
    <x v="11"/>
    <x v="3"/>
    <s v="No"/>
    <x v="1"/>
    <n v="0"/>
  </r>
  <r>
    <x v="12"/>
    <x v="3"/>
    <s v="No"/>
    <x v="1"/>
    <n v="0"/>
  </r>
  <r>
    <x v="13"/>
    <x v="3"/>
    <s v="Yes"/>
    <x v="0"/>
    <n v="1"/>
  </r>
  <r>
    <x v="14"/>
    <x v="3"/>
    <s v="Yes"/>
    <x v="0"/>
    <n v="1"/>
  </r>
  <r>
    <x v="15"/>
    <x v="3"/>
    <s v="Yes"/>
    <x v="0"/>
    <n v="1"/>
  </r>
  <r>
    <x v="16"/>
    <x v="3"/>
    <s v="No"/>
    <x v="1"/>
    <n v="0"/>
  </r>
  <r>
    <x v="17"/>
    <x v="3"/>
    <s v="No"/>
    <x v="1"/>
    <n v="0"/>
  </r>
  <r>
    <x v="18"/>
    <x v="3"/>
    <s v="No"/>
    <x v="1"/>
    <n v="0"/>
  </r>
  <r>
    <x v="19"/>
    <x v="3"/>
    <s v="Yes"/>
    <x v="0"/>
    <n v="1"/>
  </r>
  <r>
    <x v="20"/>
    <x v="3"/>
    <s v="No"/>
    <x v="1"/>
    <n v="0"/>
  </r>
  <r>
    <x v="21"/>
    <x v="3"/>
    <s v="No"/>
    <x v="1"/>
    <n v="0"/>
  </r>
  <r>
    <x v="22"/>
    <x v="3"/>
    <s v="Yes"/>
    <x v="0"/>
    <n v="1"/>
  </r>
  <r>
    <x v="23"/>
    <x v="3"/>
    <s v="No"/>
    <x v="1"/>
    <n v="0"/>
  </r>
  <r>
    <x v="24"/>
    <x v="3"/>
    <s v="Yes"/>
    <x v="0"/>
    <n v="1"/>
  </r>
  <r>
    <x v="25"/>
    <x v="3"/>
    <s v="No"/>
    <x v="1"/>
    <n v="0"/>
  </r>
  <r>
    <x v="26"/>
    <x v="3"/>
    <s v="Yes"/>
    <x v="0"/>
    <n v="1"/>
  </r>
  <r>
    <x v="27"/>
    <x v="3"/>
    <s v="No"/>
    <x v="1"/>
    <n v="0"/>
  </r>
  <r>
    <x v="28"/>
    <x v="3"/>
    <s v="Yes"/>
    <x v="0"/>
    <n v="1"/>
  </r>
  <r>
    <x v="29"/>
    <x v="3"/>
    <s v="Yes"/>
    <x v="0"/>
    <n v="1"/>
  </r>
  <r>
    <x v="30"/>
    <x v="3"/>
    <s v="Yes"/>
    <x v="0"/>
    <n v="1"/>
  </r>
  <r>
    <x v="31"/>
    <x v="3"/>
    <s v="Yes"/>
    <x v="0"/>
    <n v="1"/>
  </r>
  <r>
    <x v="32"/>
    <x v="3"/>
    <s v="Yes"/>
    <x v="0"/>
    <n v="1"/>
  </r>
  <r>
    <x v="33"/>
    <x v="3"/>
    <s v="Yes"/>
    <x v="0"/>
    <n v="1"/>
  </r>
  <r>
    <x v="34"/>
    <x v="3"/>
    <s v="No"/>
    <x v="1"/>
    <n v="0"/>
  </r>
  <r>
    <x v="35"/>
    <x v="3"/>
    <s v="Yes"/>
    <x v="0"/>
    <n v="1"/>
  </r>
  <r>
    <x v="36"/>
    <x v="3"/>
    <s v="No"/>
    <x v="1"/>
    <n v="0"/>
  </r>
  <r>
    <x v="37"/>
    <x v="3"/>
    <s v="Yes"/>
    <x v="0"/>
    <n v="1"/>
  </r>
  <r>
    <x v="38"/>
    <x v="3"/>
    <s v="No"/>
    <x v="1"/>
    <n v="0"/>
  </r>
  <r>
    <x v="39"/>
    <x v="3"/>
    <s v="Yes"/>
    <x v="0"/>
    <n v="1"/>
  </r>
  <r>
    <x v="40"/>
    <x v="3"/>
    <s v="Yes"/>
    <x v="0"/>
    <n v="1"/>
  </r>
  <r>
    <x v="41"/>
    <x v="3"/>
    <s v="Yes"/>
    <x v="0"/>
    <n v="1"/>
  </r>
  <r>
    <x v="42"/>
    <x v="3"/>
    <s v="No"/>
    <x v="1"/>
    <n v="0"/>
  </r>
  <r>
    <x v="43"/>
    <x v="3"/>
    <s v="Yes"/>
    <x v="0"/>
    <n v="1"/>
  </r>
  <r>
    <x v="44"/>
    <x v="3"/>
    <s v="Yes"/>
    <x v="0"/>
    <n v="1"/>
  </r>
  <r>
    <x v="45"/>
    <x v="3"/>
    <s v="No"/>
    <x v="1"/>
    <n v="0"/>
  </r>
  <r>
    <x v="46"/>
    <x v="3"/>
    <s v="No"/>
    <x v="1"/>
    <n v="0"/>
  </r>
  <r>
    <x v="47"/>
    <x v="3"/>
    <s v="No"/>
    <x v="1"/>
    <n v="0"/>
  </r>
  <r>
    <x v="48"/>
    <x v="3"/>
    <s v="No"/>
    <x v="1"/>
    <n v="0"/>
  </r>
  <r>
    <x v="49"/>
    <x v="3"/>
    <s v="Yes"/>
    <x v="0"/>
    <n v="1"/>
  </r>
  <r>
    <x v="0"/>
    <x v="4"/>
    <s v="No"/>
    <x v="1"/>
    <n v="0"/>
  </r>
  <r>
    <x v="1"/>
    <x v="4"/>
    <s v="No"/>
    <x v="1"/>
    <n v="0"/>
  </r>
  <r>
    <x v="2"/>
    <x v="4"/>
    <s v="No"/>
    <x v="1"/>
    <n v="0"/>
  </r>
  <r>
    <x v="3"/>
    <x v="4"/>
    <s v="No"/>
    <x v="1"/>
    <n v="0"/>
  </r>
  <r>
    <x v="4"/>
    <x v="4"/>
    <s v="No"/>
    <x v="1"/>
    <n v="0"/>
  </r>
  <r>
    <x v="5"/>
    <x v="4"/>
    <s v="Yes"/>
    <x v="0"/>
    <n v="1"/>
  </r>
  <r>
    <x v="6"/>
    <x v="4"/>
    <s v="Yes"/>
    <x v="0"/>
    <n v="1"/>
  </r>
  <r>
    <x v="7"/>
    <x v="4"/>
    <s v="No"/>
    <x v="1"/>
    <n v="0"/>
  </r>
  <r>
    <x v="8"/>
    <x v="4"/>
    <s v="No"/>
    <x v="1"/>
    <n v="0"/>
  </r>
  <r>
    <x v="9"/>
    <x v="4"/>
    <s v="No"/>
    <x v="1"/>
    <n v="0"/>
  </r>
  <r>
    <x v="10"/>
    <x v="4"/>
    <s v="No"/>
    <x v="1"/>
    <n v="0"/>
  </r>
  <r>
    <x v="11"/>
    <x v="4"/>
    <s v="No"/>
    <x v="1"/>
    <n v="0"/>
  </r>
  <r>
    <x v="12"/>
    <x v="4"/>
    <s v="Yes"/>
    <x v="0"/>
    <n v="1"/>
  </r>
  <r>
    <x v="13"/>
    <x v="4"/>
    <s v="Yes"/>
    <x v="0"/>
    <n v="1"/>
  </r>
  <r>
    <x v="14"/>
    <x v="4"/>
    <s v="No"/>
    <x v="1"/>
    <n v="0"/>
  </r>
  <r>
    <x v="15"/>
    <x v="4"/>
    <s v="Yes"/>
    <x v="0"/>
    <n v="1"/>
  </r>
  <r>
    <x v="16"/>
    <x v="4"/>
    <s v="Yes"/>
    <x v="0"/>
    <n v="1"/>
  </r>
  <r>
    <x v="17"/>
    <x v="4"/>
    <s v="Yes"/>
    <x v="0"/>
    <n v="1"/>
  </r>
  <r>
    <x v="18"/>
    <x v="4"/>
    <s v="No"/>
    <x v="1"/>
    <n v="0"/>
  </r>
  <r>
    <x v="19"/>
    <x v="4"/>
    <s v="Yes"/>
    <x v="0"/>
    <n v="1"/>
  </r>
  <r>
    <x v="20"/>
    <x v="4"/>
    <s v="Yes"/>
    <x v="0"/>
    <n v="1"/>
  </r>
  <r>
    <x v="21"/>
    <x v="4"/>
    <s v="No"/>
    <x v="1"/>
    <n v="0"/>
  </r>
  <r>
    <x v="22"/>
    <x v="4"/>
    <s v="No"/>
    <x v="1"/>
    <n v="0"/>
  </r>
  <r>
    <x v="23"/>
    <x v="4"/>
    <s v="No"/>
    <x v="1"/>
    <n v="0"/>
  </r>
  <r>
    <x v="24"/>
    <x v="4"/>
    <s v="No"/>
    <x v="1"/>
    <n v="0"/>
  </r>
  <r>
    <x v="25"/>
    <x v="4"/>
    <s v="Yes"/>
    <x v="0"/>
    <n v="1"/>
  </r>
  <r>
    <x v="26"/>
    <x v="4"/>
    <s v="Yes"/>
    <x v="0"/>
    <n v="1"/>
  </r>
  <r>
    <x v="27"/>
    <x v="4"/>
    <s v="No"/>
    <x v="1"/>
    <n v="0"/>
  </r>
  <r>
    <x v="28"/>
    <x v="4"/>
    <s v="Yes"/>
    <x v="0"/>
    <n v="1"/>
  </r>
  <r>
    <x v="29"/>
    <x v="4"/>
    <s v="Yes"/>
    <x v="0"/>
    <n v="1"/>
  </r>
  <r>
    <x v="30"/>
    <x v="4"/>
    <s v="No"/>
    <x v="1"/>
    <n v="0"/>
  </r>
  <r>
    <x v="31"/>
    <x v="4"/>
    <s v="Yes"/>
    <x v="0"/>
    <n v="1"/>
  </r>
  <r>
    <x v="32"/>
    <x v="4"/>
    <s v="Yes"/>
    <x v="0"/>
    <n v="1"/>
  </r>
  <r>
    <x v="33"/>
    <x v="4"/>
    <s v="No"/>
    <x v="1"/>
    <n v="0"/>
  </r>
  <r>
    <x v="34"/>
    <x v="4"/>
    <s v="Yes"/>
    <x v="0"/>
    <n v="1"/>
  </r>
  <r>
    <x v="35"/>
    <x v="4"/>
    <s v="No"/>
    <x v="1"/>
    <n v="0"/>
  </r>
  <r>
    <x v="36"/>
    <x v="4"/>
    <s v="Yes"/>
    <x v="0"/>
    <n v="1"/>
  </r>
  <r>
    <x v="37"/>
    <x v="4"/>
    <s v="Yes"/>
    <x v="0"/>
    <n v="1"/>
  </r>
  <r>
    <x v="38"/>
    <x v="4"/>
    <s v="Yes"/>
    <x v="0"/>
    <n v="1"/>
  </r>
  <r>
    <x v="39"/>
    <x v="4"/>
    <s v="No"/>
    <x v="1"/>
    <n v="0"/>
  </r>
  <r>
    <x v="40"/>
    <x v="4"/>
    <s v="Yes"/>
    <x v="0"/>
    <n v="1"/>
  </r>
  <r>
    <x v="41"/>
    <x v="4"/>
    <s v="No"/>
    <x v="1"/>
    <n v="0"/>
  </r>
  <r>
    <x v="42"/>
    <x v="4"/>
    <s v="No"/>
    <x v="1"/>
    <n v="0"/>
  </r>
  <r>
    <x v="43"/>
    <x v="4"/>
    <s v="No"/>
    <x v="1"/>
    <n v="0"/>
  </r>
  <r>
    <x v="44"/>
    <x v="4"/>
    <s v="Yes"/>
    <x v="0"/>
    <n v="1"/>
  </r>
  <r>
    <x v="45"/>
    <x v="4"/>
    <s v="No"/>
    <x v="1"/>
    <n v="0"/>
  </r>
  <r>
    <x v="46"/>
    <x v="4"/>
    <s v="Yes"/>
    <x v="0"/>
    <n v="1"/>
  </r>
  <r>
    <x v="47"/>
    <x v="4"/>
    <s v="No"/>
    <x v="1"/>
    <n v="0"/>
  </r>
  <r>
    <x v="48"/>
    <x v="4"/>
    <s v="Yes"/>
    <x v="0"/>
    <n v="1"/>
  </r>
  <r>
    <x v="49"/>
    <x v="4"/>
    <s v="No"/>
    <x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d v="2024-07-01T00:00:00"/>
    <s v="attendee1@company.com"/>
    <x v="0"/>
    <x v="0"/>
    <n v="5"/>
    <x v="0"/>
    <x v="0"/>
  </r>
  <r>
    <x v="1"/>
    <d v="2024-07-01T00:00:00"/>
    <s v="attendee2@company.com"/>
    <x v="1"/>
    <x v="1"/>
    <n v="5"/>
    <x v="1"/>
    <x v="0"/>
  </r>
  <r>
    <x v="2"/>
    <d v="2024-07-01T00:00:00"/>
    <s v="attendee3@company.com"/>
    <x v="2"/>
    <x v="0"/>
    <n v="5"/>
    <x v="0"/>
    <x v="0"/>
  </r>
  <r>
    <x v="3"/>
    <d v="2024-07-01T00:00:00"/>
    <s v="attendee4@company.com"/>
    <x v="3"/>
    <x v="0"/>
    <n v="5"/>
    <x v="0"/>
    <x v="0"/>
  </r>
  <r>
    <x v="4"/>
    <d v="2024-07-01T00:00:00"/>
    <s v="attendee5@company.com"/>
    <x v="4"/>
    <x v="1"/>
    <n v="5"/>
    <x v="1"/>
    <x v="0"/>
  </r>
  <r>
    <x v="5"/>
    <d v="2024-07-01T00:00:00"/>
    <s v="attendee6@company.com"/>
    <x v="0"/>
    <x v="1"/>
    <n v="5"/>
    <x v="1"/>
    <x v="0"/>
  </r>
  <r>
    <x v="6"/>
    <d v="2024-07-01T00:00:00"/>
    <s v="attendee7@company.com"/>
    <x v="1"/>
    <x v="2"/>
    <n v="5"/>
    <x v="2"/>
    <x v="1"/>
  </r>
  <r>
    <x v="7"/>
    <d v="2024-07-01T00:00:00"/>
    <s v="attendee8@company.com"/>
    <x v="2"/>
    <x v="1"/>
    <n v="5"/>
    <x v="1"/>
    <x v="0"/>
  </r>
  <r>
    <x v="8"/>
    <d v="2024-07-01T00:00:00"/>
    <s v="attendee9@company.com"/>
    <x v="3"/>
    <x v="2"/>
    <n v="5"/>
    <x v="2"/>
    <x v="1"/>
  </r>
  <r>
    <x v="9"/>
    <d v="2024-07-01T00:00:00"/>
    <s v="attendee10@company.com"/>
    <x v="4"/>
    <x v="0"/>
    <n v="5"/>
    <x v="0"/>
    <x v="0"/>
  </r>
  <r>
    <x v="10"/>
    <d v="2024-07-01T00:00:00"/>
    <s v="attendee11@company.com"/>
    <x v="0"/>
    <x v="1"/>
    <n v="5"/>
    <x v="1"/>
    <x v="0"/>
  </r>
  <r>
    <x v="11"/>
    <d v="2024-07-01T00:00:00"/>
    <s v="attendee12@company.com"/>
    <x v="1"/>
    <x v="3"/>
    <n v="5"/>
    <x v="3"/>
    <x v="0"/>
  </r>
  <r>
    <x v="12"/>
    <d v="2024-07-01T00:00:00"/>
    <s v="attendee13@company.com"/>
    <x v="2"/>
    <x v="1"/>
    <n v="5"/>
    <x v="1"/>
    <x v="0"/>
  </r>
  <r>
    <x v="13"/>
    <d v="2024-07-01T00:00:00"/>
    <s v="attendee14@company.com"/>
    <x v="3"/>
    <x v="1"/>
    <n v="5"/>
    <x v="1"/>
    <x v="0"/>
  </r>
  <r>
    <x v="14"/>
    <d v="2024-07-01T00:00:00"/>
    <s v="attendee15@company.com"/>
    <x v="4"/>
    <x v="1"/>
    <n v="5"/>
    <x v="1"/>
    <x v="0"/>
  </r>
  <r>
    <x v="15"/>
    <d v="2024-07-01T00:00:00"/>
    <s v="attendee16@company.com"/>
    <x v="0"/>
    <x v="0"/>
    <n v="5"/>
    <x v="0"/>
    <x v="0"/>
  </r>
  <r>
    <x v="16"/>
    <d v="2024-07-01T00:00:00"/>
    <s v="attendee17@company.com"/>
    <x v="1"/>
    <x v="1"/>
    <n v="5"/>
    <x v="1"/>
    <x v="0"/>
  </r>
  <r>
    <x v="17"/>
    <d v="2024-07-01T00:00:00"/>
    <s v="attendee18@company.com"/>
    <x v="2"/>
    <x v="1"/>
    <n v="5"/>
    <x v="1"/>
    <x v="0"/>
  </r>
  <r>
    <x v="18"/>
    <d v="2024-07-01T00:00:00"/>
    <s v="attendee19@company.com"/>
    <x v="3"/>
    <x v="1"/>
    <n v="5"/>
    <x v="1"/>
    <x v="0"/>
  </r>
  <r>
    <x v="19"/>
    <d v="2024-07-01T00:00:00"/>
    <s v="attendee20@company.com"/>
    <x v="4"/>
    <x v="0"/>
    <n v="5"/>
    <x v="0"/>
    <x v="0"/>
  </r>
  <r>
    <x v="20"/>
    <d v="2024-07-01T00:00:00"/>
    <s v="attendee21@company.com"/>
    <x v="0"/>
    <x v="1"/>
    <n v="5"/>
    <x v="1"/>
    <x v="0"/>
  </r>
  <r>
    <x v="21"/>
    <d v="2024-07-01T00:00:00"/>
    <s v="attendee22@company.com"/>
    <x v="1"/>
    <x v="4"/>
    <n v="5"/>
    <x v="4"/>
    <x v="0"/>
  </r>
  <r>
    <x v="22"/>
    <d v="2024-07-01T00:00:00"/>
    <s v="attendee23@company.com"/>
    <x v="2"/>
    <x v="1"/>
    <n v="5"/>
    <x v="1"/>
    <x v="0"/>
  </r>
  <r>
    <x v="23"/>
    <d v="2024-07-01T00:00:00"/>
    <s v="attendee24@company.com"/>
    <x v="3"/>
    <x v="0"/>
    <n v="5"/>
    <x v="0"/>
    <x v="0"/>
  </r>
  <r>
    <x v="24"/>
    <d v="2024-07-01T00:00:00"/>
    <s v="attendee25@company.com"/>
    <x v="4"/>
    <x v="0"/>
    <n v="5"/>
    <x v="0"/>
    <x v="0"/>
  </r>
  <r>
    <x v="25"/>
    <d v="2024-07-01T00:00:00"/>
    <s v="attendee26@company.com"/>
    <x v="0"/>
    <x v="0"/>
    <n v="5"/>
    <x v="0"/>
    <x v="0"/>
  </r>
  <r>
    <x v="26"/>
    <d v="2024-07-01T00:00:00"/>
    <s v="attendee27@company.com"/>
    <x v="1"/>
    <x v="2"/>
    <n v="5"/>
    <x v="2"/>
    <x v="1"/>
  </r>
  <r>
    <x v="27"/>
    <d v="2024-07-01T00:00:00"/>
    <s v="attendee28@company.com"/>
    <x v="2"/>
    <x v="3"/>
    <n v="5"/>
    <x v="3"/>
    <x v="0"/>
  </r>
  <r>
    <x v="28"/>
    <d v="2024-07-01T00:00:00"/>
    <s v="attendee29@company.com"/>
    <x v="3"/>
    <x v="1"/>
    <n v="5"/>
    <x v="1"/>
    <x v="0"/>
  </r>
  <r>
    <x v="29"/>
    <d v="2024-07-01T00:00:00"/>
    <s v="attendee30@company.com"/>
    <x v="4"/>
    <x v="2"/>
    <n v="5"/>
    <x v="2"/>
    <x v="1"/>
  </r>
  <r>
    <x v="30"/>
    <d v="2024-07-01T00:00:00"/>
    <s v="attendee31@company.com"/>
    <x v="0"/>
    <x v="0"/>
    <n v="5"/>
    <x v="0"/>
    <x v="0"/>
  </r>
  <r>
    <x v="31"/>
    <d v="2024-07-01T00:00:00"/>
    <s v="attendee32@company.com"/>
    <x v="1"/>
    <x v="0"/>
    <n v="5"/>
    <x v="0"/>
    <x v="0"/>
  </r>
  <r>
    <x v="32"/>
    <d v="2024-07-01T00:00:00"/>
    <s v="attendee33@company.com"/>
    <x v="2"/>
    <x v="5"/>
    <n v="5"/>
    <x v="5"/>
    <x v="1"/>
  </r>
  <r>
    <x v="33"/>
    <d v="2024-07-01T00:00:00"/>
    <s v="attendee34@company.com"/>
    <x v="3"/>
    <x v="0"/>
    <n v="5"/>
    <x v="0"/>
    <x v="0"/>
  </r>
  <r>
    <x v="34"/>
    <d v="2024-07-01T00:00:00"/>
    <s v="attendee35@company.com"/>
    <x v="4"/>
    <x v="1"/>
    <n v="5"/>
    <x v="1"/>
    <x v="0"/>
  </r>
  <r>
    <x v="35"/>
    <d v="2024-07-01T00:00:00"/>
    <s v="attendee36@company.com"/>
    <x v="0"/>
    <x v="1"/>
    <n v="5"/>
    <x v="1"/>
    <x v="0"/>
  </r>
  <r>
    <x v="36"/>
    <d v="2024-07-01T00:00:00"/>
    <s v="attendee37@company.com"/>
    <x v="1"/>
    <x v="2"/>
    <n v="5"/>
    <x v="2"/>
    <x v="1"/>
  </r>
  <r>
    <x v="37"/>
    <d v="2024-07-01T00:00:00"/>
    <s v="attendee38@company.com"/>
    <x v="2"/>
    <x v="1"/>
    <n v="5"/>
    <x v="1"/>
    <x v="0"/>
  </r>
  <r>
    <x v="38"/>
    <d v="2024-07-01T00:00:00"/>
    <s v="attendee39@company.com"/>
    <x v="3"/>
    <x v="2"/>
    <n v="5"/>
    <x v="2"/>
    <x v="1"/>
  </r>
  <r>
    <x v="39"/>
    <d v="2024-07-01T00:00:00"/>
    <s v="attendee40@company.com"/>
    <x v="4"/>
    <x v="4"/>
    <n v="5"/>
    <x v="4"/>
    <x v="0"/>
  </r>
  <r>
    <x v="40"/>
    <d v="2024-07-01T00:00:00"/>
    <s v="attendee41@company.com"/>
    <x v="0"/>
    <x v="2"/>
    <n v="5"/>
    <x v="2"/>
    <x v="1"/>
  </r>
  <r>
    <x v="41"/>
    <d v="2024-07-01T00:00:00"/>
    <s v="attendee42@company.com"/>
    <x v="1"/>
    <x v="4"/>
    <n v="5"/>
    <x v="4"/>
    <x v="0"/>
  </r>
  <r>
    <x v="42"/>
    <d v="2024-07-01T00:00:00"/>
    <s v="attendee43@company.com"/>
    <x v="2"/>
    <x v="0"/>
    <n v="5"/>
    <x v="0"/>
    <x v="0"/>
  </r>
  <r>
    <x v="43"/>
    <d v="2024-07-01T00:00:00"/>
    <s v="attendee44@company.com"/>
    <x v="3"/>
    <x v="0"/>
    <n v="5"/>
    <x v="0"/>
    <x v="0"/>
  </r>
  <r>
    <x v="44"/>
    <d v="2024-07-01T00:00:00"/>
    <s v="attendee45@company.com"/>
    <x v="4"/>
    <x v="1"/>
    <n v="5"/>
    <x v="1"/>
    <x v="0"/>
  </r>
  <r>
    <x v="45"/>
    <d v="2024-07-01T00:00:00"/>
    <s v="attendee46@company.com"/>
    <x v="0"/>
    <x v="0"/>
    <n v="5"/>
    <x v="0"/>
    <x v="0"/>
  </r>
  <r>
    <x v="46"/>
    <d v="2024-07-01T00:00:00"/>
    <s v="attendee47@company.com"/>
    <x v="1"/>
    <x v="2"/>
    <n v="5"/>
    <x v="2"/>
    <x v="1"/>
  </r>
  <r>
    <x v="47"/>
    <d v="2024-07-01T00:00:00"/>
    <s v="attendee48@company.com"/>
    <x v="2"/>
    <x v="3"/>
    <n v="5"/>
    <x v="3"/>
    <x v="0"/>
  </r>
  <r>
    <x v="48"/>
    <d v="2024-07-01T00:00:00"/>
    <s v="attendee49@company.com"/>
    <x v="3"/>
    <x v="0"/>
    <n v="5"/>
    <x v="0"/>
    <x v="0"/>
  </r>
  <r>
    <x v="49"/>
    <d v="2024-07-01T00:00:00"/>
    <s v="attendee50@company.com"/>
    <x v="4"/>
    <x v="4"/>
    <n v="5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7840F-1822-45BB-8C53-F92AA3FE2E9F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Name / Department">
  <location ref="K5:L40" firstHeaderRow="1" firstDataRow="1" firstDataCol="1" rowPageCount="2" colPageCount="1"/>
  <pivotFields count="8">
    <pivotField axis="axisRow"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numFmtId="164" showAll="0"/>
    <pivotField showAll="0"/>
    <pivotField axis="axisRow" multipleItemSelectionAllowed="1" showAll="0" defaultSubtotal="0">
      <items count="5">
        <item x="4"/>
        <item x="2"/>
        <item x="3"/>
        <item sd="0" x="0"/>
        <item sd="0" x="1"/>
      </items>
    </pivotField>
    <pivotField axis="axisPage" multipleItemSelectionAllowed="1" showAll="0">
      <items count="7">
        <item x="3"/>
        <item x="4"/>
        <item x="0"/>
        <item x="1"/>
        <item x="2"/>
        <item x="5"/>
        <item t="default"/>
      </items>
    </pivotField>
    <pivotField showAll="0"/>
    <pivotField dataField="1" numFmtId="10" showAll="0"/>
    <pivotField name="Attendance Requirement Met? (&gt;=80% )" axis="axisPage" multipleItemSelectionAllowed="1" showAll="0">
      <items count="3">
        <item x="1"/>
        <item x="0"/>
        <item t="default"/>
      </items>
    </pivotField>
  </pivotFields>
  <rowFields count="2">
    <field x="3"/>
    <field x="0"/>
  </rowFields>
  <rowItems count="35">
    <i>
      <x/>
    </i>
    <i r="1">
      <x v="1"/>
    </i>
    <i r="1">
      <x v="6"/>
    </i>
    <i r="1">
      <x v="12"/>
    </i>
    <i r="1">
      <x v="17"/>
    </i>
    <i r="1">
      <x v="23"/>
    </i>
    <i r="1">
      <x v="28"/>
    </i>
    <i r="1">
      <x v="34"/>
    </i>
    <i r="1">
      <x v="39"/>
    </i>
    <i r="1">
      <x v="44"/>
    </i>
    <i r="1">
      <x v="45"/>
    </i>
    <i>
      <x v="1"/>
    </i>
    <i r="1">
      <x v="4"/>
    </i>
    <i r="1">
      <x v="9"/>
    </i>
    <i r="1">
      <x v="15"/>
    </i>
    <i r="1">
      <x v="20"/>
    </i>
    <i r="1">
      <x v="22"/>
    </i>
    <i r="1">
      <x v="26"/>
    </i>
    <i r="1">
      <x v="31"/>
    </i>
    <i r="1">
      <x v="37"/>
    </i>
    <i r="1">
      <x v="42"/>
    </i>
    <i r="1">
      <x v="48"/>
    </i>
    <i>
      <x v="2"/>
    </i>
    <i r="1">
      <x v="5"/>
    </i>
    <i r="1">
      <x v="10"/>
    </i>
    <i r="1">
      <x v="16"/>
    </i>
    <i r="1">
      <x v="21"/>
    </i>
    <i r="1">
      <x v="27"/>
    </i>
    <i r="1">
      <x v="32"/>
    </i>
    <i r="1">
      <x v="33"/>
    </i>
    <i r="1">
      <x v="38"/>
    </i>
    <i r="1">
      <x v="43"/>
    </i>
    <i r="1">
      <x v="49"/>
    </i>
    <i>
      <x v="3"/>
    </i>
    <i>
      <x v="4"/>
    </i>
  </rowItems>
  <colItems count="1">
    <i/>
  </colItems>
  <pageFields count="2">
    <pageField fld="7" hier="-1"/>
    <pageField fld="4" hier="-1"/>
  </pageFields>
  <dataFields count="1">
    <dataField name="Attendance %" fld="6" subtotal="average" baseField="3" baseItem="0" numFmtId="10"/>
  </dataFields>
  <formats count="20">
    <format dxfId="616">
      <pivotArea type="all" dataOnly="0" outline="0" fieldPosition="0"/>
    </format>
    <format dxfId="615">
      <pivotArea outline="0" collapsedLevelsAreSubtotals="1" fieldPosition="0"/>
    </format>
    <format dxfId="614">
      <pivotArea field="3" type="button" dataOnly="0" labelOnly="1" outline="0" axis="axisRow" fieldPosition="0"/>
    </format>
    <format dxfId="613">
      <pivotArea dataOnly="0" labelOnly="1" fieldPosition="0">
        <references count="1">
          <reference field="3" count="0"/>
        </references>
      </pivotArea>
    </format>
    <format dxfId="612">
      <pivotArea dataOnly="0" labelOnly="1" outline="0" axis="axisValues" fieldPosition="0"/>
    </format>
    <format dxfId="611">
      <pivotArea type="all" dataOnly="0" outline="0" fieldPosition="0"/>
    </format>
    <format dxfId="610">
      <pivotArea outline="0" collapsedLevelsAreSubtotals="1" fieldPosition="0"/>
    </format>
    <format dxfId="609">
      <pivotArea field="3" type="button" dataOnly="0" labelOnly="1" outline="0" axis="axisRow" fieldPosition="0"/>
    </format>
    <format dxfId="608">
      <pivotArea dataOnly="0" labelOnly="1" fieldPosition="0">
        <references count="1">
          <reference field="3" count="0"/>
        </references>
      </pivotArea>
    </format>
    <format dxfId="607">
      <pivotArea dataOnly="0" labelOnly="1" outline="0" axis="axisValues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field="3" type="button" dataOnly="0" labelOnly="1" outline="0" axis="axisRow" fieldPosition="0"/>
    </format>
    <format dxfId="603">
      <pivotArea dataOnly="0" labelOnly="1" fieldPosition="0">
        <references count="1">
          <reference field="3" count="0"/>
        </references>
      </pivotArea>
    </format>
    <format dxfId="602">
      <pivotArea dataOnly="0" labelOnly="1" outline="0" axis="axisValues" fieldPosition="0"/>
    </format>
    <format dxfId="601">
      <pivotArea dataOnly="0" labelOnly="1" fieldPosition="0">
        <references count="1">
          <reference field="3" count="0"/>
        </references>
      </pivotArea>
    </format>
    <format dxfId="600">
      <pivotArea outline="0" collapsedLevelsAreSubtotals="1" fieldPosition="0"/>
    </format>
    <format dxfId="599">
      <pivotArea field="4" type="button" dataOnly="0" labelOnly="1" outline="0" axis="axisPage" fieldPosition="1"/>
    </format>
    <format dxfId="598">
      <pivotArea field="7" type="button" dataOnly="0" labelOnly="1" outline="0" axis="axisPage" fieldPosition="0"/>
    </format>
    <format dxfId="59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33D32-F4C5-4DFA-81BD-CE4497393FC5}" name="PivotTable3" cacheId="0" applyNumberFormats="0" applyBorderFormats="0" applyFontFormats="0" applyPatternFormats="0" applyAlignmentFormats="0" applyWidthHeightFormats="1" dataCaption="Values" grandTotalCaption="Total" updatedVersion="8" minRefreshableVersion="3" useAutoFormatting="1" rowGrandTotals="0" itemPrintTitles="1" createdVersion="8" indent="0" outline="1" outlineData="1" multipleFieldFilters="0" chartFormat="2" rowHeaderCaption="Date" colHeaderCaption="Attendance Status">
  <location ref="H4:J10" firstHeaderRow="1" firstDataRow="2" firstDataCol="1"/>
  <pivotFields count="5"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numFmtId="15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3">
        <item h="1" x="1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2">
    <i>
      <x v="1"/>
    </i>
    <i t="grand">
      <x/>
    </i>
  </colItems>
  <dataFields count="1">
    <dataField name="Attendance Count" fld="3" subtotal="count" baseField="0" baseItem="0"/>
  </dataFields>
  <formats count="9">
    <format dxfId="585">
      <pivotArea type="all" dataOnly="0" outline="0" fieldPosition="0"/>
    </format>
    <format dxfId="584">
      <pivotArea outline="0" collapsedLevelsAreSubtotals="1" fieldPosition="0"/>
    </format>
    <format dxfId="583">
      <pivotArea type="origin" dataOnly="0" labelOnly="1" outline="0" fieldPosition="0"/>
    </format>
    <format dxfId="582">
      <pivotArea field="3" type="button" dataOnly="0" labelOnly="1" outline="0" axis="axisCol" fieldPosition="0"/>
    </format>
    <format dxfId="581">
      <pivotArea type="topRight" dataOnly="0" labelOnly="1" outline="0" fieldPosition="0"/>
    </format>
    <format dxfId="580">
      <pivotArea field="1" type="button" dataOnly="0" labelOnly="1" outline="0" axis="axisRow" fieldPosition="0"/>
    </format>
    <format dxfId="579">
      <pivotArea dataOnly="0" labelOnly="1" fieldPosition="0">
        <references count="1">
          <reference field="1" count="0"/>
        </references>
      </pivotArea>
    </format>
    <format dxfId="578">
      <pivotArea dataOnly="0" labelOnly="1" fieldPosition="0">
        <references count="1">
          <reference field="3" count="0"/>
        </references>
      </pivotArea>
    </format>
    <format dxfId="577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2832AA-94FE-4542-A7EF-A1F0128FB1CB}" name="Table13" displayName="Table13" ref="A1:H51" totalsRowShown="0" headerRowDxfId="596" headerRowBorderDxfId="595" tableBorderDxfId="594" headerRowCellStyle="Report Header">
  <tableColumns count="8">
    <tableColumn id="1" xr3:uid="{C7791BA2-D8CD-4861-9340-BE2F0AA002F9}" name="Name" dataDxfId="593"/>
    <tableColumn id="2" xr3:uid="{AB944B3C-3802-4B65-8BD7-E50A4918B647}" name="Month" dataDxfId="592"/>
    <tableColumn id="3" xr3:uid="{536383E2-450B-4BAA-A414-F07B74F5038B}" name="Contact" dataDxfId="591">
      <calculatedColumnFormula>VLOOKUP(Table13[[#This Row],[Name]],List1_ContactInfo!A2:$B$58,2,0)</calculatedColumnFormula>
    </tableColumn>
    <tableColumn id="4" xr3:uid="{6D62306C-E6C7-455B-9C6D-6C6A38D9431A}" name="Group/ Department" dataDxfId="590">
      <calculatedColumnFormula>VLOOKUP(Table13[[#This Row],[Name]],List2_Department!$A$2:$B$51,2,0)</calculatedColumnFormula>
    </tableColumn>
    <tableColumn id="5" xr3:uid="{B03DF04B-FA1A-41EE-9F2F-730F310DF44E}" name="Actual Days Present" dataDxfId="589">
      <calculatedColumnFormula>SUMIF(Table1[Name],Table1[[#This Row],[Name]],Table1[Attendance Value])</calculatedColumnFormula>
    </tableColumn>
    <tableColumn id="6" xr3:uid="{D4988044-26A8-42E3-AD34-04A8B94FE601}" name="Total Days Present" dataDxfId="588">
      <calculatedColumnFormula>DATE(2024,7,5) - DATE(2024,7,1) + 1</calculatedColumnFormula>
    </tableColumn>
    <tableColumn id="9" xr3:uid="{222619B3-83B3-4743-824D-7838BE906E13}" name="Attendance Percentage" dataDxfId="587">
      <calculatedColumnFormula>IF(Table13[[#This Row],[Total Days Present]] &lt;&gt; 0, Table13[[#This Row],[Actual Days Present]] / Table13[[#This Row],[Total Days Present]], 0)</calculatedColumnFormula>
    </tableColumn>
    <tableColumn id="10" xr3:uid="{A057F564-8FA8-430C-ACD5-EECFCC1E7877}" name="Attendance Requirement Met? (&gt;=80%)" dataDxfId="586">
      <calculatedColumnFormula>IF(Table13[[#This Row],[Attendance Percentage]]&gt;=0.8,"Met","Not Met")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7040ED-3631-4C80-ADCB-D557C7EDA30D}" name="Table1" displayName="Table1" ref="A1:E251" totalsRowShown="0" headerRowDxfId="576" headerRowBorderDxfId="575" tableBorderDxfId="574" totalsRowBorderDxfId="573">
  <autoFilter ref="A1:E251" xr:uid="{5C7040ED-3631-4C80-ADCB-D557C7EDA30D}"/>
  <tableColumns count="5">
    <tableColumn id="1" xr3:uid="{3C60E3E4-ED61-4B84-A60C-9E2918208BA7}" name="Name" dataDxfId="572"/>
    <tableColumn id="2" xr3:uid="{DADB55C9-1EB7-40A8-A5C8-D48B180D0C8B}" name="Date" dataDxfId="571"/>
    <tableColumn id="3" xr3:uid="{1AA4031B-FC98-4806-978F-E0BC17AFB073}" name="Attended" dataDxfId="570"/>
    <tableColumn id="5" xr3:uid="{EFA64CCD-C8DD-4CB7-8762-49B7F39AB943}" name="Attendance Status" dataDxfId="569">
      <calculatedColumnFormula>IF(C2="Yes","Present","Absent")</calculatedColumnFormula>
    </tableColumn>
    <tableColumn id="4" xr3:uid="{3D5D37AD-A1F0-44AF-BDD3-F8F2B894005B}" name="Attendance Value" dataDxfId="568">
      <calculatedColumnFormula>IF(D2="Present",1,0)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388A-4112-4B57-AC77-603280EDFA6B}">
  <dimension ref="A1:O51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11.85546875" bestFit="1" customWidth="1"/>
    <col min="2" max="2" width="19.28515625" bestFit="1" customWidth="1"/>
    <col min="3" max="3" width="25.85546875" bestFit="1" customWidth="1"/>
    <col min="4" max="5" width="12.85546875" customWidth="1"/>
    <col min="6" max="6" width="14.140625" customWidth="1"/>
    <col min="7" max="7" width="13.42578125" bestFit="1" customWidth="1"/>
    <col min="8" max="8" width="12.7109375" bestFit="1" customWidth="1"/>
    <col min="11" max="11" width="37.140625" bestFit="1" customWidth="1"/>
    <col min="12" max="12" width="13.42578125" bestFit="1" customWidth="1"/>
    <col min="13" max="13" width="25.5703125" bestFit="1" customWidth="1"/>
    <col min="14" max="14" width="21.28515625" customWidth="1"/>
    <col min="15" max="15" width="17.28515625" bestFit="1" customWidth="1"/>
    <col min="16" max="16" width="8.42578125" bestFit="1" customWidth="1"/>
    <col min="17" max="17" width="11.28515625" bestFit="1" customWidth="1"/>
    <col min="18" max="19" width="7.140625" bestFit="1" customWidth="1"/>
    <col min="20" max="20" width="8.140625" bestFit="1" customWidth="1"/>
    <col min="21" max="21" width="11.28515625" bestFit="1" customWidth="1"/>
    <col min="22" max="25" width="45.5703125" bestFit="1" customWidth="1"/>
    <col min="26" max="26" width="50.7109375" bestFit="1" customWidth="1"/>
    <col min="27" max="27" width="19.42578125" bestFit="1" customWidth="1"/>
  </cols>
  <sheetData>
    <row r="1" spans="1:15" ht="64.5" thickTop="1" thickBot="1" x14ac:dyDescent="0.3">
      <c r="A1" s="24" t="s">
        <v>0</v>
      </c>
      <c r="B1" s="24" t="s">
        <v>1</v>
      </c>
      <c r="C1" s="38" t="s">
        <v>2</v>
      </c>
      <c r="D1" s="25" t="s">
        <v>141</v>
      </c>
      <c r="E1" s="25" t="s">
        <v>3</v>
      </c>
      <c r="F1" s="25" t="s">
        <v>4</v>
      </c>
      <c r="G1" s="25" t="s">
        <v>5</v>
      </c>
      <c r="H1" s="25" t="s">
        <v>6</v>
      </c>
    </row>
    <row r="2" spans="1:15" ht="16.5" thickTop="1" x14ac:dyDescent="0.25">
      <c r="A2" s="3" t="s">
        <v>7</v>
      </c>
      <c r="B2" s="26">
        <v>45474</v>
      </c>
      <c r="C2" s="27" t="str">
        <f>VLOOKUP(Table13[[#This Row],[Name]],List1_ContactInfo!A2:$B$58,2,0)</f>
        <v>attendee1@company.com</v>
      </c>
      <c r="D2" s="28" t="str">
        <f>VLOOKUP(Table13[[#This Row],[Name]],List2_Department!$A$2:$B$51,2,0)</f>
        <v>Marketing</v>
      </c>
      <c r="E2" s="29">
        <f>SUMIF(Table1[Name],Table1[[#This Row],[Name]],Table1[Attendance Value])</f>
        <v>2</v>
      </c>
      <c r="F2" s="30">
        <f t="shared" ref="F2:F33" si="0">DATE(2024,7,5) - DATE(2024,7,1) + 1</f>
        <v>5</v>
      </c>
      <c r="G2" s="31">
        <f>IF(Table13[[#This Row],[Total Days Present]] &lt;&gt; 0, Table13[[#This Row],[Actual Days Present]] / Table13[[#This Row],[Total Days Present]], 0)</f>
        <v>0.4</v>
      </c>
      <c r="H2" t="str">
        <f>IF(Table13[[#This Row],[Attendance Percentage]]&gt;=0.8,"Met","Not Met")</f>
        <v>Not Met</v>
      </c>
      <c r="K2" s="61" t="s">
        <v>8</v>
      </c>
      <c r="L2" s="47" t="s">
        <v>9</v>
      </c>
    </row>
    <row r="3" spans="1:15" ht="15.75" x14ac:dyDescent="0.25">
      <c r="A3" s="3" t="s">
        <v>10</v>
      </c>
      <c r="B3" s="26">
        <v>45474</v>
      </c>
      <c r="C3" s="27" t="str">
        <f>VLOOKUP(Table13[[#This Row],[Name]],List1_ContactInfo!A3:$B$58,2,0)</f>
        <v>attendee2@company.com</v>
      </c>
      <c r="D3" s="28" t="str">
        <f>VLOOKUP(Table13[[#This Row],[Name]],List2_Department!$A$2:$B$51,2,0)</f>
        <v>Sales</v>
      </c>
      <c r="E3" s="29">
        <f>SUMIF(Table1[Name],Table1[[#This Row],[Name]],Table1[Attendance Value])</f>
        <v>3</v>
      </c>
      <c r="F3" s="30">
        <f t="shared" si="0"/>
        <v>5</v>
      </c>
      <c r="G3" s="31">
        <f>IF(Table13[[#This Row],[Total Days Present]] &lt;&gt; 0, Table13[[#This Row],[Actual Days Present]] / Table13[[#This Row],[Total Days Present]], 0)</f>
        <v>0.6</v>
      </c>
      <c r="H3" t="str">
        <f>IF(Table13[[#This Row],[Attendance Percentage]]&gt;=0.8,"Met","Not Met")</f>
        <v>Not Met</v>
      </c>
      <c r="K3" s="61" t="s">
        <v>3</v>
      </c>
      <c r="L3" s="47" t="s">
        <v>9</v>
      </c>
    </row>
    <row r="4" spans="1:15" ht="15.75" x14ac:dyDescent="0.25">
      <c r="A4" s="3" t="s">
        <v>11</v>
      </c>
      <c r="B4" s="26">
        <v>45474</v>
      </c>
      <c r="C4" s="27" t="str">
        <f>VLOOKUP(Table13[[#This Row],[Name]],List1_ContactInfo!A4:$B$58,2,0)</f>
        <v>attendee3@company.com</v>
      </c>
      <c r="D4" s="28" t="str">
        <f>VLOOKUP(Table13[[#This Row],[Name]],List2_Department!$A$2:$B$51,2,0)</f>
        <v>HR</v>
      </c>
      <c r="E4" s="29">
        <f>SUMIF(Table1[Name],Table1[[#This Row],[Name]],Table1[Attendance Value])</f>
        <v>2</v>
      </c>
      <c r="F4" s="30">
        <f t="shared" si="0"/>
        <v>5</v>
      </c>
      <c r="G4" s="31">
        <f>IF(Table13[[#This Row],[Total Days Present]] &lt;&gt; 0, Table13[[#This Row],[Actual Days Present]] / Table13[[#This Row],[Total Days Present]], 0)</f>
        <v>0.4</v>
      </c>
      <c r="H4" t="str">
        <f>IF(Table13[[#This Row],[Attendance Percentage]]&gt;=0.8,"Met","Not Met")</f>
        <v>Not Met</v>
      </c>
      <c r="K4" s="47"/>
      <c r="L4" s="47"/>
      <c r="N4" s="52" t="s">
        <v>12</v>
      </c>
      <c r="O4" s="52"/>
    </row>
    <row r="5" spans="1:15" ht="15.75" x14ac:dyDescent="0.25">
      <c r="A5" s="3" t="s">
        <v>13</v>
      </c>
      <c r="B5" s="26">
        <v>45474</v>
      </c>
      <c r="C5" s="27" t="str">
        <f>VLOOKUP(Table13[[#This Row],[Name]],List1_ContactInfo!A5:$B$58,2,0)</f>
        <v>attendee4@company.com</v>
      </c>
      <c r="D5" s="28" t="str">
        <f>VLOOKUP(Table13[[#This Row],[Name]],List2_Department!$A$2:$B$51,2,0)</f>
        <v>IT</v>
      </c>
      <c r="E5" s="29">
        <f>SUMIF(Table1[Name],Table1[[#This Row],[Name]],Table1[Attendance Value])</f>
        <v>2</v>
      </c>
      <c r="F5" s="30">
        <f t="shared" si="0"/>
        <v>5</v>
      </c>
      <c r="G5" s="31">
        <f>IF(Table13[[#This Row],[Total Days Present]] &lt;&gt; 0, Table13[[#This Row],[Actual Days Present]] / Table13[[#This Row],[Total Days Present]], 0)</f>
        <v>0.4</v>
      </c>
      <c r="H5" t="str">
        <f>IF(Table13[[#This Row],[Attendance Percentage]]&gt;=0.8,"Met","Not Met")</f>
        <v>Not Met</v>
      </c>
      <c r="K5" s="60" t="s">
        <v>14</v>
      </c>
      <c r="L5" s="47" t="s">
        <v>15</v>
      </c>
      <c r="N5" s="47" t="s">
        <v>16</v>
      </c>
      <c r="O5" s="47" t="s">
        <v>17</v>
      </c>
    </row>
    <row r="6" spans="1:15" ht="15.75" x14ac:dyDescent="0.25">
      <c r="A6" s="3" t="s">
        <v>18</v>
      </c>
      <c r="B6" s="26">
        <v>45474</v>
      </c>
      <c r="C6" s="27" t="str">
        <f>VLOOKUP(Table13[[#This Row],[Name]],List1_ContactInfo!A6:$B$58,2,0)</f>
        <v>attendee5@company.com</v>
      </c>
      <c r="D6" s="28" t="str">
        <f>VLOOKUP(Table13[[#This Row],[Name]],List2_Department!$A$2:$B$51,2,0)</f>
        <v>Finance</v>
      </c>
      <c r="E6" s="29">
        <f>SUMIF(Table1[Name],Table1[[#This Row],[Name]],Table1[Attendance Value])</f>
        <v>3</v>
      </c>
      <c r="F6" s="30">
        <f t="shared" si="0"/>
        <v>5</v>
      </c>
      <c r="G6" s="31">
        <f>IF(Table13[[#This Row],[Total Days Present]] &lt;&gt; 0, Table13[[#This Row],[Actual Days Present]] / Table13[[#This Row],[Total Days Present]], 0)</f>
        <v>0.6</v>
      </c>
      <c r="H6" t="str">
        <f>IF(Table13[[#This Row],[Attendance Percentage]]&gt;=0.8,"Met","Not Met")</f>
        <v>Not Met</v>
      </c>
      <c r="K6" s="32" t="s">
        <v>19</v>
      </c>
      <c r="L6" s="48"/>
      <c r="N6" s="32" t="s">
        <v>19</v>
      </c>
      <c r="O6" s="12">
        <v>0.48</v>
      </c>
    </row>
    <row r="7" spans="1:15" ht="15.75" x14ac:dyDescent="0.25">
      <c r="A7" s="3" t="s">
        <v>20</v>
      </c>
      <c r="B7" s="26">
        <v>45474</v>
      </c>
      <c r="C7" s="27" t="str">
        <f>VLOOKUP(Table13[[#This Row],[Name]],List1_ContactInfo!A7:$B$58,2,0)</f>
        <v>attendee6@company.com</v>
      </c>
      <c r="D7" s="28" t="str">
        <f>VLOOKUP(Table13[[#This Row],[Name]],List2_Department!$A$2:$B$51,2,0)</f>
        <v>Marketing</v>
      </c>
      <c r="E7" s="29">
        <f>SUMIF(Table1[Name],Table1[[#This Row],[Name]],Table1[Attendance Value])</f>
        <v>3</v>
      </c>
      <c r="F7" s="30">
        <f t="shared" si="0"/>
        <v>5</v>
      </c>
      <c r="G7" s="31">
        <f>IF(Table13[[#This Row],[Total Days Present]] &lt;&gt; 0, Table13[[#This Row],[Actual Days Present]] / Table13[[#This Row],[Total Days Present]], 0)</f>
        <v>0.6</v>
      </c>
      <c r="H7" t="str">
        <f>IF(Table13[[#This Row],[Attendance Percentage]]&gt;=0.8,"Met","Not Met")</f>
        <v>Not Met</v>
      </c>
      <c r="K7" s="47" t="s">
        <v>21</v>
      </c>
      <c r="L7" s="48">
        <v>0.4</v>
      </c>
      <c r="N7" s="32" t="s">
        <v>22</v>
      </c>
      <c r="O7" s="12">
        <v>0.48000000000000009</v>
      </c>
    </row>
    <row r="8" spans="1:15" ht="15.75" x14ac:dyDescent="0.25">
      <c r="A8" s="3" t="s">
        <v>23</v>
      </c>
      <c r="B8" s="26">
        <v>45474</v>
      </c>
      <c r="C8" s="27" t="str">
        <f>VLOOKUP(Table13[[#This Row],[Name]],List1_ContactInfo!A8:$B$58,2,0)</f>
        <v>attendee7@company.com</v>
      </c>
      <c r="D8" s="28" t="str">
        <f>VLOOKUP(Table13[[#This Row],[Name]],List2_Department!$A$2:$B$51,2,0)</f>
        <v>Sales</v>
      </c>
      <c r="E8" s="29">
        <f>SUMIF(Table1[Name],Table1[[#This Row],[Name]],Table1[Attendance Value])</f>
        <v>4</v>
      </c>
      <c r="F8" s="30">
        <f t="shared" si="0"/>
        <v>5</v>
      </c>
      <c r="G8" s="31">
        <f>IF(Table13[[#This Row],[Total Days Present]] &lt;&gt; 0, Table13[[#This Row],[Actual Days Present]] / Table13[[#This Row],[Total Days Present]], 0)</f>
        <v>0.8</v>
      </c>
      <c r="H8" t="str">
        <f>IF(Table13[[#This Row],[Attendance Percentage]]&gt;=0.8,"Met","Not Met")</f>
        <v>Met</v>
      </c>
      <c r="K8" s="47" t="s">
        <v>24</v>
      </c>
      <c r="L8" s="48">
        <v>0.6</v>
      </c>
      <c r="N8" s="33" t="s">
        <v>25</v>
      </c>
      <c r="O8" s="34">
        <v>0.54000000000000015</v>
      </c>
    </row>
    <row r="9" spans="1:15" ht="15.75" x14ac:dyDescent="0.25">
      <c r="A9" s="3" t="s">
        <v>26</v>
      </c>
      <c r="B9" s="26">
        <v>45474</v>
      </c>
      <c r="C9" s="27" t="str">
        <f>VLOOKUP(Table13[[#This Row],[Name]],List1_ContactInfo!A9:$B$58,2,0)</f>
        <v>attendee8@company.com</v>
      </c>
      <c r="D9" s="28" t="str">
        <f>VLOOKUP(Table13[[#This Row],[Name]],List2_Department!$A$2:$B$51,2,0)</f>
        <v>HR</v>
      </c>
      <c r="E9" s="29">
        <f>SUMIF(Table1[Name],Table1[[#This Row],[Name]],Table1[Attendance Value])</f>
        <v>3</v>
      </c>
      <c r="F9" s="30">
        <f t="shared" si="0"/>
        <v>5</v>
      </c>
      <c r="G9" s="31">
        <f>IF(Table13[[#This Row],[Total Days Present]] &lt;&gt; 0, Table13[[#This Row],[Actual Days Present]] / Table13[[#This Row],[Total Days Present]], 0)</f>
        <v>0.6</v>
      </c>
      <c r="H9" t="str">
        <f>IF(Table13[[#This Row],[Attendance Percentage]]&gt;=0.8,"Met","Not Met")</f>
        <v>Not Met</v>
      </c>
      <c r="K9" s="47" t="s">
        <v>27</v>
      </c>
      <c r="L9" s="48">
        <v>0.4</v>
      </c>
      <c r="N9" s="32" t="s">
        <v>28</v>
      </c>
      <c r="O9" s="12">
        <v>0.52</v>
      </c>
    </row>
    <row r="10" spans="1:15" ht="15.75" x14ac:dyDescent="0.25">
      <c r="A10" s="3" t="s">
        <v>29</v>
      </c>
      <c r="B10" s="26">
        <v>45474</v>
      </c>
      <c r="C10" s="27" t="str">
        <f>VLOOKUP(Table13[[#This Row],[Name]],List1_ContactInfo!A10:$B$58,2,0)</f>
        <v>attendee9@company.com</v>
      </c>
      <c r="D10" s="28" t="str">
        <f>VLOOKUP(Table13[[#This Row],[Name]],List2_Department!$A$2:$B$51,2,0)</f>
        <v>IT</v>
      </c>
      <c r="E10" s="29">
        <f>SUMIF(Table1[Name],Table1[[#This Row],[Name]],Table1[Attendance Value])</f>
        <v>4</v>
      </c>
      <c r="F10" s="30">
        <f t="shared" si="0"/>
        <v>5</v>
      </c>
      <c r="G10" s="31">
        <f>IF(Table13[[#This Row],[Total Days Present]] &lt;&gt; 0, Table13[[#This Row],[Actual Days Present]] / Table13[[#This Row],[Total Days Present]], 0)</f>
        <v>0.8</v>
      </c>
      <c r="H10" t="str">
        <f>IF(Table13[[#This Row],[Attendance Percentage]]&gt;=0.8,"Met","Not Met")</f>
        <v>Met</v>
      </c>
      <c r="K10" s="47" t="s">
        <v>30</v>
      </c>
      <c r="L10" s="48">
        <v>0.4</v>
      </c>
      <c r="N10" s="32" t="s">
        <v>31</v>
      </c>
      <c r="O10" s="12">
        <v>0.52</v>
      </c>
    </row>
    <row r="11" spans="1:15" ht="15.75" x14ac:dyDescent="0.25">
      <c r="A11" s="3" t="s">
        <v>21</v>
      </c>
      <c r="B11" s="26">
        <v>45474</v>
      </c>
      <c r="C11" s="27" t="str">
        <f>VLOOKUP(Table13[[#This Row],[Name]],List1_ContactInfo!A11:$B$58,2,0)</f>
        <v>attendee10@company.com</v>
      </c>
      <c r="D11" s="28" t="str">
        <f>VLOOKUP(Table13[[#This Row],[Name]],List2_Department!$A$2:$B$51,2,0)</f>
        <v>Finance</v>
      </c>
      <c r="E11" s="29">
        <f>SUMIF(Table1[Name],Table1[[#This Row],[Name]],Table1[Attendance Value])</f>
        <v>2</v>
      </c>
      <c r="F11" s="30">
        <f t="shared" si="0"/>
        <v>5</v>
      </c>
      <c r="G11" s="31">
        <f>IF(Table13[[#This Row],[Total Days Present]] &lt;&gt; 0, Table13[[#This Row],[Actual Days Present]] / Table13[[#This Row],[Total Days Present]], 0)</f>
        <v>0.4</v>
      </c>
      <c r="H11" t="str">
        <f>IF(Table13[[#This Row],[Attendance Percentage]]&gt;=0.8,"Met","Not Met")</f>
        <v>Not Met</v>
      </c>
      <c r="K11" s="47" t="s">
        <v>32</v>
      </c>
      <c r="L11" s="48">
        <v>0.8</v>
      </c>
    </row>
    <row r="12" spans="1:15" ht="15.75" x14ac:dyDescent="0.25">
      <c r="A12" s="3" t="s">
        <v>33</v>
      </c>
      <c r="B12" s="26">
        <v>45474</v>
      </c>
      <c r="C12" s="27" t="str">
        <f>VLOOKUP(Table13[[#This Row],[Name]],List1_ContactInfo!A12:$B$58,2,0)</f>
        <v>attendee11@company.com</v>
      </c>
      <c r="D12" s="28" t="str">
        <f>VLOOKUP(Table13[[#This Row],[Name]],List2_Department!$A$2:$B$51,2,0)</f>
        <v>Marketing</v>
      </c>
      <c r="E12" s="29">
        <f>SUMIF(Table1[Name],Table1[[#This Row],[Name]],Table1[Attendance Value])</f>
        <v>3</v>
      </c>
      <c r="F12" s="30">
        <f t="shared" si="0"/>
        <v>5</v>
      </c>
      <c r="G12" s="31">
        <f>IF(Table13[[#This Row],[Total Days Present]] &lt;&gt; 0, Table13[[#This Row],[Actual Days Present]] / Table13[[#This Row],[Total Days Present]], 0)</f>
        <v>0.6</v>
      </c>
      <c r="H12" t="str">
        <f>IF(Table13[[#This Row],[Attendance Percentage]]&gt;=0.8,"Met","Not Met")</f>
        <v>Not Met</v>
      </c>
      <c r="K12" s="47" t="s">
        <v>34</v>
      </c>
      <c r="L12" s="48">
        <v>0.6</v>
      </c>
    </row>
    <row r="13" spans="1:15" ht="15.75" x14ac:dyDescent="0.25">
      <c r="A13" s="3" t="s">
        <v>35</v>
      </c>
      <c r="B13" s="26">
        <v>45474</v>
      </c>
      <c r="C13" s="27" t="str">
        <f>VLOOKUP(Table13[[#This Row],[Name]],List1_ContactInfo!A13:$B$58,2,0)</f>
        <v>attendee12@company.com</v>
      </c>
      <c r="D13" s="28" t="str">
        <f>VLOOKUP(Table13[[#This Row],[Name]],List2_Department!$A$2:$B$51,2,0)</f>
        <v>Sales</v>
      </c>
      <c r="E13" s="29">
        <f>SUMIF(Table1[Name],Table1[[#This Row],[Name]],Table1[Attendance Value])</f>
        <v>0</v>
      </c>
      <c r="F13" s="30">
        <f t="shared" si="0"/>
        <v>5</v>
      </c>
      <c r="G13" s="31">
        <f>IF(Table13[[#This Row],[Total Days Present]] &lt;&gt; 0, Table13[[#This Row],[Actual Days Present]] / Table13[[#This Row],[Total Days Present]], 0)</f>
        <v>0</v>
      </c>
      <c r="H13" t="str">
        <f>IF(Table13[[#This Row],[Attendance Percentage]]&gt;=0.8,"Met","Not Met")</f>
        <v>Not Met</v>
      </c>
      <c r="K13" s="47" t="s">
        <v>36</v>
      </c>
      <c r="L13" s="48">
        <v>0.2</v>
      </c>
      <c r="N13" s="52" t="s">
        <v>37</v>
      </c>
      <c r="O13" s="52"/>
    </row>
    <row r="14" spans="1:15" ht="15.75" x14ac:dyDescent="0.25">
      <c r="A14" s="3" t="s">
        <v>38</v>
      </c>
      <c r="B14" s="26">
        <v>45474</v>
      </c>
      <c r="C14" s="27" t="str">
        <f>VLOOKUP(Table13[[#This Row],[Name]],List1_ContactInfo!A14:$B$58,2,0)</f>
        <v>attendee13@company.com</v>
      </c>
      <c r="D14" s="28" t="str">
        <f>VLOOKUP(Table13[[#This Row],[Name]],List2_Department!$A$2:$B$51,2,0)</f>
        <v>HR</v>
      </c>
      <c r="E14" s="29">
        <f>SUMIF(Table1[Name],Table1[[#This Row],[Name]],Table1[Attendance Value])</f>
        <v>3</v>
      </c>
      <c r="F14" s="30">
        <f t="shared" si="0"/>
        <v>5</v>
      </c>
      <c r="G14" s="31">
        <f>IF(Table13[[#This Row],[Total Days Present]] &lt;&gt; 0, Table13[[#This Row],[Actual Days Present]] / Table13[[#This Row],[Total Days Present]], 0)</f>
        <v>0.6</v>
      </c>
      <c r="H14" t="str">
        <f>IF(Table13[[#This Row],[Attendance Percentage]]&gt;=0.8,"Met","Not Met")</f>
        <v>Not Met</v>
      </c>
      <c r="K14" s="47" t="s">
        <v>39</v>
      </c>
      <c r="L14" s="48">
        <v>0.6</v>
      </c>
      <c r="N14" s="13" t="s">
        <v>14</v>
      </c>
      <c r="O14" s="13" t="s">
        <v>15</v>
      </c>
    </row>
    <row r="15" spans="1:15" ht="15.75" x14ac:dyDescent="0.25">
      <c r="A15" s="3" t="s">
        <v>40</v>
      </c>
      <c r="B15" s="26">
        <v>45474</v>
      </c>
      <c r="C15" s="27" t="str">
        <f>VLOOKUP(Table13[[#This Row],[Name]],List1_ContactInfo!A15:$B$58,2,0)</f>
        <v>attendee14@company.com</v>
      </c>
      <c r="D15" s="28" t="str">
        <f>VLOOKUP(Table13[[#This Row],[Name]],List2_Department!$A$2:$B$51,2,0)</f>
        <v>IT</v>
      </c>
      <c r="E15" s="29">
        <f>SUMIF(Table1[Name],Table1[[#This Row],[Name]],Table1[Attendance Value])</f>
        <v>3</v>
      </c>
      <c r="F15" s="30">
        <f t="shared" si="0"/>
        <v>5</v>
      </c>
      <c r="G15" s="31">
        <f>IF(Table13[[#This Row],[Total Days Present]] &lt;&gt; 0, Table13[[#This Row],[Actual Days Present]] / Table13[[#This Row],[Total Days Present]], 0)</f>
        <v>0.6</v>
      </c>
      <c r="H15" t="str">
        <f>IF(Table13[[#This Row],[Attendance Percentage]]&gt;=0.8,"Met","Not Met")</f>
        <v>Not Met</v>
      </c>
      <c r="K15" s="47" t="s">
        <v>18</v>
      </c>
      <c r="L15" s="48">
        <v>0.6</v>
      </c>
      <c r="N15" s="35" t="s">
        <v>22</v>
      </c>
      <c r="O15" s="36"/>
    </row>
    <row r="16" spans="1:15" ht="15.75" x14ac:dyDescent="0.25">
      <c r="A16" s="3" t="s">
        <v>24</v>
      </c>
      <c r="B16" s="26">
        <v>45474</v>
      </c>
      <c r="C16" s="27" t="str">
        <f>VLOOKUP(Table13[[#This Row],[Name]],List1_ContactInfo!A16:$B$58,2,0)</f>
        <v>attendee15@company.com</v>
      </c>
      <c r="D16" s="28" t="str">
        <f>VLOOKUP(Table13[[#This Row],[Name]],List2_Department!$A$2:$B$51,2,0)</f>
        <v>Finance</v>
      </c>
      <c r="E16" s="29">
        <f>SUMIF(Table1[Name],Table1[[#This Row],[Name]],Table1[Attendance Value])</f>
        <v>3</v>
      </c>
      <c r="F16" s="30">
        <f t="shared" si="0"/>
        <v>5</v>
      </c>
      <c r="G16" s="31">
        <f>IF(Table13[[#This Row],[Total Days Present]] &lt;&gt; 0, Table13[[#This Row],[Actual Days Present]] / Table13[[#This Row],[Total Days Present]], 0)</f>
        <v>0.6</v>
      </c>
      <c r="H16" t="str">
        <f>IF(Table13[[#This Row],[Attendance Percentage]]&gt;=0.8,"Met","Not Met")</f>
        <v>Not Met</v>
      </c>
      <c r="K16" s="47" t="s">
        <v>41</v>
      </c>
      <c r="L16" s="48">
        <v>0.2</v>
      </c>
      <c r="N16" s="32" t="s">
        <v>42</v>
      </c>
      <c r="O16" s="12">
        <v>1</v>
      </c>
    </row>
    <row r="17" spans="1:15" ht="15.75" x14ac:dyDescent="0.25">
      <c r="A17" s="3" t="s">
        <v>43</v>
      </c>
      <c r="B17" s="26">
        <v>45474</v>
      </c>
      <c r="C17" s="27" t="str">
        <f>VLOOKUP(Table13[[#This Row],[Name]],List1_ContactInfo!A17:$B$58,2,0)</f>
        <v>attendee16@company.com</v>
      </c>
      <c r="D17" s="28" t="str">
        <f>VLOOKUP(Table13[[#This Row],[Name]],List2_Department!$A$2:$B$51,2,0)</f>
        <v>Marketing</v>
      </c>
      <c r="E17" s="29">
        <f>SUMIF(Table1[Name],Table1[[#This Row],[Name]],Table1[Attendance Value])</f>
        <v>2</v>
      </c>
      <c r="F17" s="30">
        <f t="shared" si="0"/>
        <v>5</v>
      </c>
      <c r="G17" s="31">
        <f>IF(Table13[[#This Row],[Total Days Present]] &lt;&gt; 0, Table13[[#This Row],[Actual Days Present]] / Table13[[#This Row],[Total Days Present]], 0)</f>
        <v>0.4</v>
      </c>
      <c r="H17" t="str">
        <f>IF(Table13[[#This Row],[Attendance Percentage]]&gt;=0.8,"Met","Not Met")</f>
        <v>Not Met</v>
      </c>
      <c r="K17" s="32" t="s">
        <v>22</v>
      </c>
      <c r="L17" s="48"/>
    </row>
    <row r="18" spans="1:15" ht="15.75" x14ac:dyDescent="0.25">
      <c r="A18" s="3" t="s">
        <v>44</v>
      </c>
      <c r="B18" s="26">
        <v>45474</v>
      </c>
      <c r="C18" s="27" t="str">
        <f>VLOOKUP(Table13[[#This Row],[Name]],List1_ContactInfo!A18:$B$58,2,0)</f>
        <v>attendee17@company.com</v>
      </c>
      <c r="D18" s="28" t="str">
        <f>VLOOKUP(Table13[[#This Row],[Name]],List2_Department!$A$2:$B$51,2,0)</f>
        <v>Sales</v>
      </c>
      <c r="E18" s="29">
        <f>SUMIF(Table1[Name],Table1[[#This Row],[Name]],Table1[Attendance Value])</f>
        <v>3</v>
      </c>
      <c r="F18" s="30">
        <f t="shared" si="0"/>
        <v>5</v>
      </c>
      <c r="G18" s="31">
        <f>IF(Table13[[#This Row],[Total Days Present]] &lt;&gt; 0, Table13[[#This Row],[Actual Days Present]] / Table13[[#This Row],[Total Days Present]], 0)</f>
        <v>0.6</v>
      </c>
      <c r="H18" t="str">
        <f>IF(Table13[[#This Row],[Attendance Percentage]]&gt;=0.8,"Met","Not Met")</f>
        <v>Not Met</v>
      </c>
      <c r="K18" s="47" t="s">
        <v>38</v>
      </c>
      <c r="L18" s="48">
        <v>0.6</v>
      </c>
    </row>
    <row r="19" spans="1:15" ht="15.75" x14ac:dyDescent="0.25">
      <c r="A19" s="3" t="s">
        <v>45</v>
      </c>
      <c r="B19" s="26">
        <v>45474</v>
      </c>
      <c r="C19" s="27" t="str">
        <f>VLOOKUP(Table13[[#This Row],[Name]],List1_ContactInfo!A19:$B$58,2,0)</f>
        <v>attendee18@company.com</v>
      </c>
      <c r="D19" s="28" t="str">
        <f>VLOOKUP(Table13[[#This Row],[Name]],List2_Department!$A$2:$B$51,2,0)</f>
        <v>HR</v>
      </c>
      <c r="E19" s="29">
        <f>SUMIF(Table1[Name],Table1[[#This Row],[Name]],Table1[Attendance Value])</f>
        <v>3</v>
      </c>
      <c r="F19" s="30">
        <f t="shared" si="0"/>
        <v>5</v>
      </c>
      <c r="G19" s="31">
        <f>IF(Table13[[#This Row],[Total Days Present]] &lt;&gt; 0, Table13[[#This Row],[Actual Days Present]] / Table13[[#This Row],[Total Days Present]], 0)</f>
        <v>0.6</v>
      </c>
      <c r="H19" t="str">
        <f>IF(Table13[[#This Row],[Attendance Percentage]]&gt;=0.8,"Met","Not Met")</f>
        <v>Not Met</v>
      </c>
      <c r="K19" s="47" t="s">
        <v>45</v>
      </c>
      <c r="L19" s="48">
        <v>0.6</v>
      </c>
      <c r="N19" s="53" t="s">
        <v>46</v>
      </c>
      <c r="O19" s="55" cm="1">
        <f t="array" ref="O19">SUMPRODUCT(--(Table13[Attendance Requirement Met? (&gt;=80%)]="Met"))/ROWS(Table13[Attendance Requirement Met? (&gt;=80%)])</f>
        <v>0.18</v>
      </c>
    </row>
    <row r="20" spans="1:15" ht="15.75" x14ac:dyDescent="0.25">
      <c r="A20" s="3" t="s">
        <v>47</v>
      </c>
      <c r="B20" s="26">
        <v>45474</v>
      </c>
      <c r="C20" s="27" t="str">
        <f>VLOOKUP(Table13[[#This Row],[Name]],List1_ContactInfo!A20:$B$58,2,0)</f>
        <v>attendee19@company.com</v>
      </c>
      <c r="D20" s="28" t="str">
        <f>VLOOKUP(Table13[[#This Row],[Name]],List2_Department!$A$2:$B$51,2,0)</f>
        <v>IT</v>
      </c>
      <c r="E20" s="29">
        <f>SUMIF(Table1[Name],Table1[[#This Row],[Name]],Table1[Attendance Value])</f>
        <v>3</v>
      </c>
      <c r="F20" s="30">
        <f t="shared" si="0"/>
        <v>5</v>
      </c>
      <c r="G20" s="31">
        <f>IF(Table13[[#This Row],[Total Days Present]] &lt;&gt; 0, Table13[[#This Row],[Actual Days Present]] / Table13[[#This Row],[Total Days Present]], 0)</f>
        <v>0.6</v>
      </c>
      <c r="H20" t="str">
        <f>IF(Table13[[#This Row],[Attendance Percentage]]&gt;=0.8,"Met","Not Met")</f>
        <v>Not Met</v>
      </c>
      <c r="K20" s="47" t="s">
        <v>48</v>
      </c>
      <c r="L20" s="48">
        <v>0.6</v>
      </c>
      <c r="N20" s="54"/>
      <c r="O20" s="56"/>
    </row>
    <row r="21" spans="1:15" ht="15.75" x14ac:dyDescent="0.25">
      <c r="A21" s="3" t="s">
        <v>27</v>
      </c>
      <c r="B21" s="26">
        <v>45474</v>
      </c>
      <c r="C21" s="27" t="str">
        <f>VLOOKUP(Table13[[#This Row],[Name]],List1_ContactInfo!A21:$B$58,2,0)</f>
        <v>attendee20@company.com</v>
      </c>
      <c r="D21" s="28" t="str">
        <f>VLOOKUP(Table13[[#This Row],[Name]],List2_Department!$A$2:$B$51,2,0)</f>
        <v>Finance</v>
      </c>
      <c r="E21" s="29">
        <f>SUMIF(Table1[Name],Table1[[#This Row],[Name]],Table1[Attendance Value])</f>
        <v>2</v>
      </c>
      <c r="F21" s="30">
        <f t="shared" si="0"/>
        <v>5</v>
      </c>
      <c r="G21" s="31">
        <f>IF(Table13[[#This Row],[Total Days Present]] &lt;&gt; 0, Table13[[#This Row],[Actual Days Present]] / Table13[[#This Row],[Total Days Present]], 0)</f>
        <v>0.4</v>
      </c>
      <c r="H21" t="str">
        <f>IF(Table13[[#This Row],[Attendance Percentage]]&gt;=0.8,"Met","Not Met")</f>
        <v>Not Met</v>
      </c>
      <c r="K21" s="47" t="s">
        <v>49</v>
      </c>
      <c r="L21" s="48">
        <v>0</v>
      </c>
    </row>
    <row r="22" spans="1:15" ht="15.75" x14ac:dyDescent="0.25">
      <c r="A22" s="3" t="s">
        <v>51</v>
      </c>
      <c r="B22" s="26">
        <v>45474</v>
      </c>
      <c r="C22" s="27" t="str">
        <f>VLOOKUP(Table13[[#This Row],[Name]],List1_ContactInfo!A25:$B$58,2,0)</f>
        <v>attendee21@company.com</v>
      </c>
      <c r="D22" s="28" t="str">
        <f>VLOOKUP(Table13[[#This Row],[Name]],List2_Department!$A$2:$B$51,2,0)</f>
        <v>Marketing</v>
      </c>
      <c r="E22" s="29">
        <f>SUMIF(Table1[Name],Table1[[#This Row],[Name]],Table1[Attendance Value])</f>
        <v>3</v>
      </c>
      <c r="F22" s="30">
        <f t="shared" si="0"/>
        <v>5</v>
      </c>
      <c r="G22" s="31">
        <f>IF(Table13[[#This Row],[Total Days Present]] &lt;&gt; 0, Table13[[#This Row],[Actual Days Present]] / Table13[[#This Row],[Total Days Present]], 0)</f>
        <v>0.6</v>
      </c>
      <c r="H22" t="str">
        <f>IF(Table13[[#This Row],[Attendance Percentage]]&gt;=0.8,"Met","Not Met")</f>
        <v>Not Met</v>
      </c>
      <c r="K22" s="47" t="s">
        <v>11</v>
      </c>
      <c r="L22" s="48">
        <v>0.4</v>
      </c>
    </row>
    <row r="23" spans="1:15" ht="15.75" x14ac:dyDescent="0.25">
      <c r="A23" s="3" t="s">
        <v>53</v>
      </c>
      <c r="B23" s="26">
        <v>45474</v>
      </c>
      <c r="C23" s="27" t="str">
        <f>VLOOKUP(Table13[[#This Row],[Name]],List1_ContactInfo!A26:$B$58,2,0)</f>
        <v>attendee22@company.com</v>
      </c>
      <c r="D23" s="28" t="str">
        <f>VLOOKUP(Table13[[#This Row],[Name]],List2_Department!$A$2:$B$51,2,0)</f>
        <v>Sales</v>
      </c>
      <c r="E23" s="29">
        <f>SUMIF(Table1[Name],Table1[[#This Row],[Name]],Table1[Attendance Value])</f>
        <v>1</v>
      </c>
      <c r="F23" s="30">
        <f t="shared" si="0"/>
        <v>5</v>
      </c>
      <c r="G23" s="31">
        <f>IF(Table13[[#This Row],[Total Days Present]] &lt;&gt; 0, Table13[[#This Row],[Actual Days Present]] / Table13[[#This Row],[Total Days Present]], 0)</f>
        <v>0.2</v>
      </c>
      <c r="H23" t="str">
        <f>IF(Table13[[#This Row],[Attendance Percentage]]&gt;=0.8,"Met","Not Met")</f>
        <v>Not Met</v>
      </c>
      <c r="K23" s="47" t="s">
        <v>42</v>
      </c>
      <c r="L23" s="48">
        <v>1</v>
      </c>
      <c r="N23" s="35" t="s">
        <v>3</v>
      </c>
      <c r="O23" s="37">
        <v>1</v>
      </c>
    </row>
    <row r="24" spans="1:15" ht="15.75" x14ac:dyDescent="0.25">
      <c r="A24" s="3" t="s">
        <v>48</v>
      </c>
      <c r="B24" s="26">
        <v>45474</v>
      </c>
      <c r="C24" s="27" t="str">
        <f>VLOOKUP(Table13[[#This Row],[Name]],List1_ContactInfo!A27:$B$58,2,0)</f>
        <v>attendee23@company.com</v>
      </c>
      <c r="D24" s="46" t="str">
        <f>VLOOKUP(Table13[[#This Row],[Name]],List2_Department!$A$2:$B$51,2,0)</f>
        <v>HR</v>
      </c>
      <c r="E24" s="29">
        <f>SUMIF(Table1[Name],Table1[[#This Row],[Name]],Table1[Attendance Value])</f>
        <v>3</v>
      </c>
      <c r="F24" s="30">
        <f t="shared" si="0"/>
        <v>5</v>
      </c>
      <c r="G24" s="31">
        <f>IF(Table13[[#This Row],[Total Days Present]] &lt;&gt; 0, Table13[[#This Row],[Actual Days Present]] / Table13[[#This Row],[Total Days Present]], 0)</f>
        <v>0.6</v>
      </c>
      <c r="H24" t="str">
        <f>IF(Table13[[#This Row],[Attendance Percentage]]&gt;=0.8,"Met","Not Met")</f>
        <v>Not Met</v>
      </c>
      <c r="K24" s="47" t="s">
        <v>50</v>
      </c>
      <c r="L24" s="48">
        <v>0.6</v>
      </c>
      <c r="N24" s="35" t="s">
        <v>14</v>
      </c>
      <c r="O24" s="37" t="s">
        <v>15</v>
      </c>
    </row>
    <row r="25" spans="1:15" ht="15.75" x14ac:dyDescent="0.25">
      <c r="A25" s="3" t="s">
        <v>55</v>
      </c>
      <c r="B25" s="26">
        <v>45474</v>
      </c>
      <c r="C25" s="27" t="str">
        <f>VLOOKUP(Table13[[#This Row],[Name]],List1_ContactInfo!A28:$B$58,2,0)</f>
        <v>attendee24@company.com</v>
      </c>
      <c r="D25" s="28" t="str">
        <f>VLOOKUP(Table13[[#This Row],[Name]],List2_Department!$A$2:$B$51,2,0)</f>
        <v>IT</v>
      </c>
      <c r="E25" s="29">
        <f>SUMIF(Table1[Name],Table1[[#This Row],[Name]],Table1[Attendance Value])</f>
        <v>2</v>
      </c>
      <c r="F25" s="30">
        <f t="shared" si="0"/>
        <v>5</v>
      </c>
      <c r="G25" s="31">
        <f>IF(Table13[[#This Row],[Total Days Present]] &lt;&gt; 0, Table13[[#This Row],[Actual Days Present]] / Table13[[#This Row],[Total Days Present]], 0)</f>
        <v>0.4</v>
      </c>
      <c r="H25" t="str">
        <f>IF(Table13[[#This Row],[Attendance Percentage]]&gt;=0.8,"Met","Not Met")</f>
        <v>Not Met</v>
      </c>
      <c r="K25" s="47" t="s">
        <v>52</v>
      </c>
      <c r="L25" s="48">
        <v>0.4</v>
      </c>
      <c r="N25" s="50" t="s">
        <v>19</v>
      </c>
      <c r="O25" s="51"/>
    </row>
    <row r="26" spans="1:15" ht="15.75" customHeight="1" x14ac:dyDescent="0.25">
      <c r="A26" s="3" t="s">
        <v>30</v>
      </c>
      <c r="B26" s="26">
        <v>45474</v>
      </c>
      <c r="C26" s="27" t="str">
        <f>VLOOKUP(Table13[[#This Row],[Name]],List1_ContactInfo!A29:$B$58,2,0)</f>
        <v>attendee25@company.com</v>
      </c>
      <c r="D26" s="28" t="str">
        <f>VLOOKUP(Table13[[#This Row],[Name]],List2_Department!$A$2:$B$51,2,0)</f>
        <v>Finance</v>
      </c>
      <c r="E26" s="29">
        <f>SUMIF(Table1[Name],Table1[[#This Row],[Name]],Table1[Attendance Value])</f>
        <v>2</v>
      </c>
      <c r="F26" s="30">
        <f t="shared" si="0"/>
        <v>5</v>
      </c>
      <c r="G26" s="31">
        <f>IF(Table13[[#This Row],[Total Days Present]] &lt;&gt; 0, Table13[[#This Row],[Actual Days Present]] / Table13[[#This Row],[Total Days Present]], 0)</f>
        <v>0.4</v>
      </c>
      <c r="H26" t="str">
        <f>IF(Table13[[#This Row],[Attendance Percentage]]&gt;=0.8,"Met","Not Met")</f>
        <v>Not Met</v>
      </c>
      <c r="K26" s="47" t="s">
        <v>54</v>
      </c>
      <c r="L26" s="48">
        <v>0</v>
      </c>
      <c r="N26" s="32" t="s">
        <v>36</v>
      </c>
      <c r="O26" s="48">
        <v>0.2</v>
      </c>
    </row>
    <row r="27" spans="1:15" ht="15.75" x14ac:dyDescent="0.25">
      <c r="A27" s="3" t="s">
        <v>56</v>
      </c>
      <c r="B27" s="26">
        <v>45474</v>
      </c>
      <c r="C27" s="27" t="str">
        <f>VLOOKUP(Table13[[#This Row],[Name]],List1_ContactInfo!A30:$B$58,2,0)</f>
        <v>attendee26@company.com</v>
      </c>
      <c r="D27" s="28" t="str">
        <f>VLOOKUP(Table13[[#This Row],[Name]],List2_Department!$A$2:$B$51,2,0)</f>
        <v>Marketing</v>
      </c>
      <c r="E27" s="29">
        <f>SUMIF(Table1[Name],Table1[[#This Row],[Name]],Table1[Attendance Value])</f>
        <v>2</v>
      </c>
      <c r="F27" s="30">
        <f t="shared" si="0"/>
        <v>5</v>
      </c>
      <c r="G27" s="31">
        <f>IF(Table13[[#This Row],[Total Days Present]] &lt;&gt; 0, Table13[[#This Row],[Actual Days Present]] / Table13[[#This Row],[Total Days Present]], 0)</f>
        <v>0.4</v>
      </c>
      <c r="H27" t="str">
        <f>IF(Table13[[#This Row],[Attendance Percentage]]&gt;=0.8,"Met","Not Met")</f>
        <v>Not Met</v>
      </c>
      <c r="K27" s="47" t="s">
        <v>26</v>
      </c>
      <c r="L27" s="48">
        <v>0.6</v>
      </c>
      <c r="N27" s="32" t="s">
        <v>41</v>
      </c>
      <c r="O27" s="48">
        <v>0.2</v>
      </c>
    </row>
    <row r="28" spans="1:15" ht="15.75" x14ac:dyDescent="0.25">
      <c r="A28" s="3" t="s">
        <v>58</v>
      </c>
      <c r="B28" s="26">
        <v>45474</v>
      </c>
      <c r="C28" s="27" t="str">
        <f>VLOOKUP(Table13[[#This Row],[Name]],List1_ContactInfo!A31:$B$58,2,0)</f>
        <v>attendee27@company.com</v>
      </c>
      <c r="D28" s="28" t="str">
        <f>VLOOKUP(Table13[[#This Row],[Name]],List2_Department!$A$2:$B$51,2,0)</f>
        <v>Sales</v>
      </c>
      <c r="E28" s="29">
        <f>SUMIF(Table1[Name],Table1[[#This Row],[Name]],Table1[Attendance Value])</f>
        <v>4</v>
      </c>
      <c r="F28" s="30">
        <f t="shared" si="0"/>
        <v>5</v>
      </c>
      <c r="G28" s="31">
        <f>IF(Table13[[#This Row],[Total Days Present]] &lt;&gt; 0, Table13[[#This Row],[Actual Days Present]] / Table13[[#This Row],[Total Days Present]], 0)</f>
        <v>0.8</v>
      </c>
      <c r="H28" t="str">
        <f>IF(Table13[[#This Row],[Attendance Percentage]]&gt;=0.8,"Met","Not Met")</f>
        <v>Met</v>
      </c>
      <c r="K28" s="32" t="s">
        <v>25</v>
      </c>
      <c r="L28" s="48"/>
      <c r="N28" s="50" t="s">
        <v>31</v>
      </c>
      <c r="O28" s="51"/>
    </row>
    <row r="29" spans="1:15" ht="15.75" x14ac:dyDescent="0.25">
      <c r="A29" s="3" t="s">
        <v>49</v>
      </c>
      <c r="B29" s="26">
        <v>45474</v>
      </c>
      <c r="C29" s="27" t="str">
        <f>VLOOKUP(Table13[[#This Row],[Name]],List1_ContactInfo!A32:$B$58,2,0)</f>
        <v>attendee28@company.com</v>
      </c>
      <c r="D29" s="28" t="str">
        <f>VLOOKUP(Table13[[#This Row],[Name]],List2_Department!$A$2:$B$51,2,0)</f>
        <v>HR</v>
      </c>
      <c r="E29" s="29">
        <f>SUMIF(Table1[Name],Table1[[#This Row],[Name]],Table1[Attendance Value])</f>
        <v>0</v>
      </c>
      <c r="F29" s="30">
        <f t="shared" si="0"/>
        <v>5</v>
      </c>
      <c r="G29" s="31">
        <f>IF(Table13[[#This Row],[Total Days Present]] &lt;&gt; 0, Table13[[#This Row],[Actual Days Present]] / Table13[[#This Row],[Total Days Present]], 0)</f>
        <v>0</v>
      </c>
      <c r="H29" t="str">
        <f>IF(Table13[[#This Row],[Attendance Percentage]]&gt;=0.8,"Met","Not Met")</f>
        <v>Not Met</v>
      </c>
      <c r="K29" s="47" t="s">
        <v>40</v>
      </c>
      <c r="L29" s="48">
        <v>0.6</v>
      </c>
      <c r="N29" s="32" t="s">
        <v>53</v>
      </c>
      <c r="O29" s="48">
        <v>0.2</v>
      </c>
    </row>
    <row r="30" spans="1:15" ht="15.75" x14ac:dyDescent="0.25">
      <c r="A30" s="3" t="s">
        <v>59</v>
      </c>
      <c r="B30" s="26">
        <v>45474</v>
      </c>
      <c r="C30" s="27" t="str">
        <f>VLOOKUP(Table13[[#This Row],[Name]],List1_ContactInfo!A33:$B$58,2,0)</f>
        <v>attendee29@company.com</v>
      </c>
      <c r="D30" s="28" t="str">
        <f>VLOOKUP(Table13[[#This Row],[Name]],List2_Department!$A$2:$B$51,2,0)</f>
        <v>IT</v>
      </c>
      <c r="E30" s="29">
        <f>SUMIF(Table1[Name],Table1[[#This Row],[Name]],Table1[Attendance Value])</f>
        <v>3</v>
      </c>
      <c r="F30" s="30">
        <f t="shared" si="0"/>
        <v>5</v>
      </c>
      <c r="G30" s="31">
        <f>IF(Table13[[#This Row],[Total Days Present]] &lt;&gt; 0, Table13[[#This Row],[Actual Days Present]] / Table13[[#This Row],[Total Days Present]], 0)</f>
        <v>0.6</v>
      </c>
      <c r="H30" t="str">
        <f>IF(Table13[[#This Row],[Attendance Percentage]]&gt;=0.8,"Met","Not Met")</f>
        <v>Not Met</v>
      </c>
      <c r="K30" s="47" t="s">
        <v>47</v>
      </c>
      <c r="L30" s="48">
        <v>0.6</v>
      </c>
      <c r="N30" s="32" t="s">
        <v>57</v>
      </c>
      <c r="O30" s="48">
        <v>0.2</v>
      </c>
    </row>
    <row r="31" spans="1:15" ht="15.75" customHeight="1" x14ac:dyDescent="0.25">
      <c r="A31" s="3" t="s">
        <v>32</v>
      </c>
      <c r="B31" s="26">
        <v>45474</v>
      </c>
      <c r="C31" s="27" t="str">
        <f>VLOOKUP(Table13[[#This Row],[Name]],List1_ContactInfo!A34:$B$58,2,0)</f>
        <v>attendee30@company.com</v>
      </c>
      <c r="D31" s="28" t="str">
        <f>VLOOKUP(Table13[[#This Row],[Name]],List2_Department!$A$2:$B$51,2,0)</f>
        <v>Finance</v>
      </c>
      <c r="E31" s="29">
        <f>SUMIF(Table1[Name],Table1[[#This Row],[Name]],Table1[Attendance Value])</f>
        <v>4</v>
      </c>
      <c r="F31" s="30">
        <f t="shared" si="0"/>
        <v>5</v>
      </c>
      <c r="G31" s="31">
        <f>IF(Table13[[#This Row],[Total Days Present]] &lt;&gt; 0, Table13[[#This Row],[Actual Days Present]] / Table13[[#This Row],[Total Days Present]], 0)</f>
        <v>0.8</v>
      </c>
      <c r="H31" t="str">
        <f>IF(Table13[[#This Row],[Attendance Percentage]]&gt;=0.8,"Met","Not Met")</f>
        <v>Met</v>
      </c>
      <c r="K31" s="47" t="s">
        <v>55</v>
      </c>
      <c r="L31" s="48">
        <v>0.4</v>
      </c>
    </row>
    <row r="32" spans="1:15" ht="15.75" x14ac:dyDescent="0.25">
      <c r="A32" s="3" t="s">
        <v>62</v>
      </c>
      <c r="B32" s="26">
        <v>45474</v>
      </c>
      <c r="C32" s="27" t="str">
        <f>VLOOKUP(Table13[[#This Row],[Name]],List1_ContactInfo!A35:$B$58,2,0)</f>
        <v>attendee31@company.com</v>
      </c>
      <c r="D32" s="28" t="str">
        <f>VLOOKUP(Table13[[#This Row],[Name]],List2_Department!$A$2:$B$51,2,0)</f>
        <v>Marketing</v>
      </c>
      <c r="E32" s="29">
        <f>SUMIF(Table1[Name],Table1[[#This Row],[Name]],Table1[Attendance Value])</f>
        <v>2</v>
      </c>
      <c r="F32" s="30">
        <f t="shared" si="0"/>
        <v>5</v>
      </c>
      <c r="G32" s="31">
        <f>IF(Table13[[#This Row],[Total Days Present]] &lt;&gt; 0, Table13[[#This Row],[Actual Days Present]] / Table13[[#This Row],[Total Days Present]], 0)</f>
        <v>0.4</v>
      </c>
      <c r="H32" t="str">
        <f>IF(Table13[[#This Row],[Attendance Percentage]]&gt;=0.8,"Met","Not Met")</f>
        <v>Not Met</v>
      </c>
      <c r="K32" s="47" t="s">
        <v>59</v>
      </c>
      <c r="L32" s="48">
        <v>0.6</v>
      </c>
    </row>
    <row r="33" spans="1:12" ht="15.75" x14ac:dyDescent="0.25">
      <c r="A33" s="3" t="s">
        <v>63</v>
      </c>
      <c r="B33" s="26">
        <v>45474</v>
      </c>
      <c r="C33" s="27" t="str">
        <f>VLOOKUP(Table13[[#This Row],[Name]],List1_ContactInfo!A36:$B$58,2,0)</f>
        <v>attendee32@company.com</v>
      </c>
      <c r="D33" s="28" t="str">
        <f>VLOOKUP(Table13[[#This Row],[Name]],List2_Department!$A$2:$B$51,2,0)</f>
        <v>Sales</v>
      </c>
      <c r="E33" s="29">
        <f>SUMIF(Table1[Name],Table1[[#This Row],[Name]],Table1[Attendance Value])</f>
        <v>2</v>
      </c>
      <c r="F33" s="30">
        <f t="shared" si="0"/>
        <v>5</v>
      </c>
      <c r="G33" s="31">
        <f>IF(Table13[[#This Row],[Total Days Present]] &lt;&gt; 0, Table13[[#This Row],[Actual Days Present]] / Table13[[#This Row],[Total Days Present]], 0)</f>
        <v>0.4</v>
      </c>
      <c r="H33" t="str">
        <f>IF(Table13[[#This Row],[Attendance Percentage]]&gt;=0.8,"Met","Not Met")</f>
        <v>Not Met</v>
      </c>
      <c r="K33" s="47" t="s">
        <v>60</v>
      </c>
      <c r="L33" s="48">
        <v>0.4</v>
      </c>
    </row>
    <row r="34" spans="1:12" ht="15.75" x14ac:dyDescent="0.25">
      <c r="A34" s="3" t="s">
        <v>42</v>
      </c>
      <c r="B34" s="26">
        <v>45474</v>
      </c>
      <c r="C34" s="27" t="str">
        <f>VLOOKUP(Table13[[#This Row],[Name]],List1_ContactInfo!A37:$B$58,2,0)</f>
        <v>attendee33@company.com</v>
      </c>
      <c r="D34" s="28" t="str">
        <f>VLOOKUP(Table13[[#This Row],[Name]],List2_Department!$A$2:$B$51,2,0)</f>
        <v>HR</v>
      </c>
      <c r="E34" s="29">
        <f>SUMIF(Table1[Name],Table1[[#This Row],[Name]],Table1[Attendance Value])</f>
        <v>5</v>
      </c>
      <c r="F34" s="30">
        <f t="shared" ref="F34:F51" si="1">DATE(2024,7,5) - DATE(2024,7,1) + 1</f>
        <v>5</v>
      </c>
      <c r="G34" s="31">
        <f>IF(Table13[[#This Row],[Total Days Present]] &lt;&gt; 0, Table13[[#This Row],[Actual Days Present]] / Table13[[#This Row],[Total Days Present]], 0)</f>
        <v>1</v>
      </c>
      <c r="H34" t="str">
        <f>IF(Table13[[#This Row],[Attendance Percentage]]&gt;=0.8,"Met","Not Met")</f>
        <v>Met</v>
      </c>
      <c r="K34" s="47" t="s">
        <v>61</v>
      </c>
      <c r="L34" s="48">
        <v>0.8</v>
      </c>
    </row>
    <row r="35" spans="1:12" ht="15.75" x14ac:dyDescent="0.25">
      <c r="A35" s="3" t="s">
        <v>60</v>
      </c>
      <c r="B35" s="26">
        <v>45474</v>
      </c>
      <c r="C35" s="27" t="str">
        <f>VLOOKUP(Table13[[#This Row],[Name]],List1_ContactInfo!A38:$B$58,2,0)</f>
        <v>attendee34@company.com</v>
      </c>
      <c r="D35" s="28" t="str">
        <f>VLOOKUP(Table13[[#This Row],[Name]],List2_Department!$A$2:$B$51,2,0)</f>
        <v>IT</v>
      </c>
      <c r="E35" s="29">
        <f>SUMIF(Table1[Name],Table1[[#This Row],[Name]],Table1[Attendance Value])</f>
        <v>2</v>
      </c>
      <c r="F35" s="30">
        <f t="shared" si="1"/>
        <v>5</v>
      </c>
      <c r="G35" s="31">
        <f>IF(Table13[[#This Row],[Total Days Present]] &lt;&gt; 0, Table13[[#This Row],[Actual Days Present]] / Table13[[#This Row],[Total Days Present]], 0)</f>
        <v>0.4</v>
      </c>
      <c r="H35" t="str">
        <f>IF(Table13[[#This Row],[Attendance Percentage]]&gt;=0.8,"Met","Not Met")</f>
        <v>Not Met</v>
      </c>
      <c r="K35" s="47" t="s">
        <v>13</v>
      </c>
      <c r="L35" s="48">
        <v>0.4</v>
      </c>
    </row>
    <row r="36" spans="1:12" ht="15.75" x14ac:dyDescent="0.25">
      <c r="A36" s="3" t="s">
        <v>34</v>
      </c>
      <c r="B36" s="26">
        <v>45474</v>
      </c>
      <c r="C36" s="27" t="str">
        <f>VLOOKUP(Table13[[#This Row],[Name]],List1_ContactInfo!A39:$B$58,2,0)</f>
        <v>attendee35@company.com</v>
      </c>
      <c r="D36" s="28" t="str">
        <f>VLOOKUP(Table13[[#This Row],[Name]],List2_Department!$A$2:$B$51,2,0)</f>
        <v>Finance</v>
      </c>
      <c r="E36" s="29">
        <f>SUMIF(Table1[Name],Table1[[#This Row],[Name]],Table1[Attendance Value])</f>
        <v>3</v>
      </c>
      <c r="F36" s="30">
        <f t="shared" si="1"/>
        <v>5</v>
      </c>
      <c r="G36" s="31">
        <f>IF(Table13[[#This Row],[Total Days Present]] &lt;&gt; 0, Table13[[#This Row],[Actual Days Present]] / Table13[[#This Row],[Total Days Present]], 0)</f>
        <v>0.6</v>
      </c>
      <c r="H36" t="str">
        <f>IF(Table13[[#This Row],[Attendance Percentage]]&gt;=0.8,"Met","Not Met")</f>
        <v>Not Met</v>
      </c>
      <c r="K36" s="47" t="s">
        <v>64</v>
      </c>
      <c r="L36" s="48">
        <v>0.4</v>
      </c>
    </row>
    <row r="37" spans="1:12" ht="15.75" x14ac:dyDescent="0.25">
      <c r="A37" s="3" t="s">
        <v>66</v>
      </c>
      <c r="B37" s="26">
        <v>45474</v>
      </c>
      <c r="C37" s="27" t="str">
        <f>VLOOKUP(Table13[[#This Row],[Name]],List1_ContactInfo!A40:$B$58,2,0)</f>
        <v>attendee36@company.com</v>
      </c>
      <c r="D37" s="28" t="str">
        <f>VLOOKUP(Table13[[#This Row],[Name]],List2_Department!$A$2:$B$51,2,0)</f>
        <v>Marketing</v>
      </c>
      <c r="E37" s="29">
        <f>SUMIF(Table1[Name],Table1[[#This Row],[Name]],Table1[Attendance Value])</f>
        <v>3</v>
      </c>
      <c r="F37" s="30">
        <f t="shared" si="1"/>
        <v>5</v>
      </c>
      <c r="G37" s="31">
        <f>IF(Table13[[#This Row],[Total Days Present]] &lt;&gt; 0, Table13[[#This Row],[Actual Days Present]] / Table13[[#This Row],[Total Days Present]], 0)</f>
        <v>0.6</v>
      </c>
      <c r="H37" t="str">
        <f>IF(Table13[[#This Row],[Attendance Percentage]]&gt;=0.8,"Met","Not Met")</f>
        <v>Not Met</v>
      </c>
      <c r="K37" s="47" t="s">
        <v>65</v>
      </c>
      <c r="L37" s="48">
        <v>0.4</v>
      </c>
    </row>
    <row r="38" spans="1:12" ht="15.75" x14ac:dyDescent="0.25">
      <c r="A38" s="3" t="s">
        <v>67</v>
      </c>
      <c r="B38" s="26">
        <v>45474</v>
      </c>
      <c r="C38" s="27" t="str">
        <f>VLOOKUP(Table13[[#This Row],[Name]],List1_ContactInfo!A41:$B$58,2,0)</f>
        <v>attendee37@company.com</v>
      </c>
      <c r="D38" s="28" t="str">
        <f>VLOOKUP(Table13[[#This Row],[Name]],List2_Department!$A$2:$B$51,2,0)</f>
        <v>Sales</v>
      </c>
      <c r="E38" s="29">
        <f>SUMIF(Table1[Name],Table1[[#This Row],[Name]],Table1[Attendance Value])</f>
        <v>4</v>
      </c>
      <c r="F38" s="30">
        <f t="shared" si="1"/>
        <v>5</v>
      </c>
      <c r="G38" s="31">
        <f>IF(Table13[[#This Row],[Total Days Present]] &lt;&gt; 0, Table13[[#This Row],[Actual Days Present]] / Table13[[#This Row],[Total Days Present]], 0)</f>
        <v>0.8</v>
      </c>
      <c r="H38" t="str">
        <f>IF(Table13[[#This Row],[Attendance Percentage]]&gt;=0.8,"Met","Not Met")</f>
        <v>Met</v>
      </c>
      <c r="K38" s="47" t="s">
        <v>29</v>
      </c>
      <c r="L38" s="48">
        <v>0.8</v>
      </c>
    </row>
    <row r="39" spans="1:12" ht="15.75" x14ac:dyDescent="0.25">
      <c r="A39" s="3" t="s">
        <v>50</v>
      </c>
      <c r="B39" s="26">
        <v>45474</v>
      </c>
      <c r="C39" s="27" t="str">
        <f>VLOOKUP(Table13[[#This Row],[Name]],List1_ContactInfo!A42:$B$58,2,0)</f>
        <v>attendee38@company.com</v>
      </c>
      <c r="D39" s="28" t="str">
        <f>VLOOKUP(Table13[[#This Row],[Name]],List2_Department!$A$2:$B$51,2,0)</f>
        <v>HR</v>
      </c>
      <c r="E39" s="29">
        <f>SUMIF(Table1[Name],Table1[[#This Row],[Name]],Table1[Attendance Value])</f>
        <v>3</v>
      </c>
      <c r="F39" s="30">
        <f t="shared" si="1"/>
        <v>5</v>
      </c>
      <c r="G39" s="31">
        <f>IF(Table13[[#This Row],[Total Days Present]] &lt;&gt; 0, Table13[[#This Row],[Actual Days Present]] / Table13[[#This Row],[Total Days Present]], 0)</f>
        <v>0.6</v>
      </c>
      <c r="H39" t="str">
        <f>IF(Table13[[#This Row],[Attendance Percentage]]&gt;=0.8,"Met","Not Met")</f>
        <v>Not Met</v>
      </c>
      <c r="K39" s="32" t="s">
        <v>28</v>
      </c>
      <c r="L39" s="48">
        <v>0.52</v>
      </c>
    </row>
    <row r="40" spans="1:12" ht="15.75" x14ac:dyDescent="0.25">
      <c r="A40" s="3" t="s">
        <v>61</v>
      </c>
      <c r="B40" s="26">
        <v>45474</v>
      </c>
      <c r="C40" s="27" t="str">
        <f>VLOOKUP(Table13[[#This Row],[Name]],List1_ContactInfo!A43:$B$58,2,0)</f>
        <v>attendee39@company.com</v>
      </c>
      <c r="D40" s="28" t="str">
        <f>VLOOKUP(Table13[[#This Row],[Name]],List2_Department!$A$2:$B$51,2,0)</f>
        <v>IT</v>
      </c>
      <c r="E40" s="29">
        <f>SUMIF(Table1[Name],Table1[[#This Row],[Name]],Table1[Attendance Value])</f>
        <v>4</v>
      </c>
      <c r="F40" s="30">
        <f t="shared" si="1"/>
        <v>5</v>
      </c>
      <c r="G40" s="31">
        <f>IF(Table13[[#This Row],[Total Days Present]] &lt;&gt; 0, Table13[[#This Row],[Actual Days Present]] / Table13[[#This Row],[Total Days Present]], 0)</f>
        <v>0.8</v>
      </c>
      <c r="H40" t="str">
        <f>IF(Table13[[#This Row],[Attendance Percentage]]&gt;=0.8,"Met","Not Met")</f>
        <v>Met</v>
      </c>
      <c r="K40" s="32" t="s">
        <v>31</v>
      </c>
      <c r="L40" s="48">
        <v>0.52</v>
      </c>
    </row>
    <row r="41" spans="1:12" ht="15.75" x14ac:dyDescent="0.25">
      <c r="A41" s="3" t="s">
        <v>36</v>
      </c>
      <c r="B41" s="26">
        <v>45474</v>
      </c>
      <c r="C41" s="27" t="str">
        <f>VLOOKUP(Table13[[#This Row],[Name]],List1_ContactInfo!A44:$B$58,2,0)</f>
        <v>attendee40@company.com</v>
      </c>
      <c r="D41" s="28" t="str">
        <f>VLOOKUP(Table13[[#This Row],[Name]],List2_Department!$A$2:$B$51,2,0)</f>
        <v>Finance</v>
      </c>
      <c r="E41" s="29">
        <f>SUMIF(Table1[Name],Table1[[#This Row],[Name]],Table1[Attendance Value])</f>
        <v>1</v>
      </c>
      <c r="F41" s="30">
        <f t="shared" si="1"/>
        <v>5</v>
      </c>
      <c r="G41" s="31">
        <f>IF(Table13[[#This Row],[Total Days Present]] &lt;&gt; 0, Table13[[#This Row],[Actual Days Present]] / Table13[[#This Row],[Total Days Present]], 0)</f>
        <v>0.2</v>
      </c>
      <c r="H41" t="str">
        <f>IF(Table13[[#This Row],[Attendance Percentage]]&gt;=0.8,"Met","Not Met")</f>
        <v>Not Met</v>
      </c>
    </row>
    <row r="42" spans="1:12" ht="15.75" x14ac:dyDescent="0.25">
      <c r="A42" s="3" t="s">
        <v>68</v>
      </c>
      <c r="B42" s="26">
        <v>45474</v>
      </c>
      <c r="C42" s="27" t="str">
        <f>VLOOKUP(Table13[[#This Row],[Name]],List1_ContactInfo!A45:$B$58,2,0)</f>
        <v>attendee41@company.com</v>
      </c>
      <c r="D42" s="28" t="str">
        <f>VLOOKUP(Table13[[#This Row],[Name]],List2_Department!$A$2:$B$51,2,0)</f>
        <v>Marketing</v>
      </c>
      <c r="E42" s="29">
        <f>SUMIF(Table1[Name],Table1[[#This Row],[Name]],Table1[Attendance Value])</f>
        <v>4</v>
      </c>
      <c r="F42" s="30">
        <f t="shared" si="1"/>
        <v>5</v>
      </c>
      <c r="G42" s="31">
        <f>IF(Table13[[#This Row],[Total Days Present]] &lt;&gt; 0, Table13[[#This Row],[Actual Days Present]] / Table13[[#This Row],[Total Days Present]], 0)</f>
        <v>0.8</v>
      </c>
      <c r="H42" t="str">
        <f>IF(Table13[[#This Row],[Attendance Percentage]]&gt;=0.8,"Met","Not Met")</f>
        <v>Met</v>
      </c>
    </row>
    <row r="43" spans="1:12" ht="15.75" x14ac:dyDescent="0.25">
      <c r="A43" s="3" t="s">
        <v>57</v>
      </c>
      <c r="B43" s="26">
        <v>45474</v>
      </c>
      <c r="C43" s="27" t="str">
        <f>VLOOKUP(Table13[[#This Row],[Name]],List1_ContactInfo!A46:$B$58,2,0)</f>
        <v>attendee42@company.com</v>
      </c>
      <c r="D43" s="28" t="str">
        <f>VLOOKUP(Table13[[#This Row],[Name]],List2_Department!$A$2:$B$51,2,0)</f>
        <v>Sales</v>
      </c>
      <c r="E43" s="29">
        <f>SUMIF(Table1[Name],Table1[[#This Row],[Name]],Table1[Attendance Value])</f>
        <v>1</v>
      </c>
      <c r="F43" s="30">
        <f t="shared" si="1"/>
        <v>5</v>
      </c>
      <c r="G43" s="31">
        <f>IF(Table13[[#This Row],[Total Days Present]] &lt;&gt; 0, Table13[[#This Row],[Actual Days Present]] / Table13[[#This Row],[Total Days Present]], 0)</f>
        <v>0.2</v>
      </c>
      <c r="H43" t="str">
        <f>IF(Table13[[#This Row],[Attendance Percentage]]&gt;=0.8,"Met","Not Met")</f>
        <v>Not Met</v>
      </c>
    </row>
    <row r="44" spans="1:12" ht="15.75" x14ac:dyDescent="0.25">
      <c r="A44" s="3" t="s">
        <v>52</v>
      </c>
      <c r="B44" s="26">
        <v>45474</v>
      </c>
      <c r="C44" s="27" t="str">
        <f>VLOOKUP(Table13[[#This Row],[Name]],List1_ContactInfo!A47:$B$58,2,0)</f>
        <v>attendee43@company.com</v>
      </c>
      <c r="D44" s="28" t="str">
        <f>VLOOKUP(Table13[[#This Row],[Name]],List2_Department!$A$2:$B$51,2,0)</f>
        <v>HR</v>
      </c>
      <c r="E44" s="29">
        <f>SUMIF(Table1[Name],Table1[[#This Row],[Name]],Table1[Attendance Value])</f>
        <v>2</v>
      </c>
      <c r="F44" s="30">
        <f t="shared" si="1"/>
        <v>5</v>
      </c>
      <c r="G44" s="31">
        <f>IF(Table13[[#This Row],[Total Days Present]] &lt;&gt; 0, Table13[[#This Row],[Actual Days Present]] / Table13[[#This Row],[Total Days Present]], 0)</f>
        <v>0.4</v>
      </c>
      <c r="H44" t="str">
        <f>IF(Table13[[#This Row],[Attendance Percentage]]&gt;=0.8,"Met","Not Met")</f>
        <v>Not Met</v>
      </c>
    </row>
    <row r="45" spans="1:12" ht="15.75" x14ac:dyDescent="0.25">
      <c r="A45" s="3" t="s">
        <v>64</v>
      </c>
      <c r="B45" s="26">
        <v>45474</v>
      </c>
      <c r="C45" s="27" t="str">
        <f>VLOOKUP(Table13[[#This Row],[Name]],List1_ContactInfo!A52:$B$58,2,0)</f>
        <v>attendee44@company.com</v>
      </c>
      <c r="D45" s="28" t="str">
        <f>VLOOKUP(Table13[[#This Row],[Name]],List2_Department!$A$2:$B$51,2,0)</f>
        <v>IT</v>
      </c>
      <c r="E45" s="29">
        <f>SUMIF(Table1[Name],Table1[[#This Row],[Name]],Table1[Attendance Value])</f>
        <v>2</v>
      </c>
      <c r="F45" s="30">
        <f t="shared" si="1"/>
        <v>5</v>
      </c>
      <c r="G45" s="31">
        <f>IF(Table13[[#This Row],[Total Days Present]] &lt;&gt; 0, Table13[[#This Row],[Actual Days Present]] / Table13[[#This Row],[Total Days Present]], 0)</f>
        <v>0.4</v>
      </c>
      <c r="H45" t="str">
        <f>IF(Table13[[#This Row],[Attendance Percentage]]&gt;=0.8,"Met","Not Met")</f>
        <v>Not Met</v>
      </c>
    </row>
    <row r="46" spans="1:12" ht="15.75" x14ac:dyDescent="0.25">
      <c r="A46" s="3" t="s">
        <v>39</v>
      </c>
      <c r="B46" s="26">
        <v>45474</v>
      </c>
      <c r="C46" s="27" t="str">
        <f>VLOOKUP(Table13[[#This Row],[Name]],List1_ContactInfo!A53:$B$58,2,0)</f>
        <v>attendee45@company.com</v>
      </c>
      <c r="D46" s="28" t="str">
        <f>VLOOKUP(Table13[[#This Row],[Name]],List2_Department!$A$2:$B$51,2,0)</f>
        <v>Finance</v>
      </c>
      <c r="E46" s="29">
        <f>SUMIF(Table1[Name],Table1[[#This Row],[Name]],Table1[Attendance Value])</f>
        <v>3</v>
      </c>
      <c r="F46" s="30">
        <f t="shared" si="1"/>
        <v>5</v>
      </c>
      <c r="G46" s="31">
        <f>IF(Table13[[#This Row],[Total Days Present]] &lt;&gt; 0, Table13[[#This Row],[Actual Days Present]] / Table13[[#This Row],[Total Days Present]], 0)</f>
        <v>0.6</v>
      </c>
      <c r="H46" t="str">
        <f>IF(Table13[[#This Row],[Attendance Percentage]]&gt;=0.8,"Met","Not Met")</f>
        <v>Not Met</v>
      </c>
    </row>
    <row r="47" spans="1:12" ht="15.75" x14ac:dyDescent="0.25">
      <c r="A47" s="3" t="s">
        <v>69</v>
      </c>
      <c r="B47" s="26">
        <v>45474</v>
      </c>
      <c r="C47" s="27" t="str">
        <f>VLOOKUP(Table13[[#This Row],[Name]],List1_ContactInfo!A54:$B$58,2,0)</f>
        <v>attendee46@company.com</v>
      </c>
      <c r="D47" s="28" t="str">
        <f>VLOOKUP(Table13[[#This Row],[Name]],List2_Department!$A$2:$B$51,2,0)</f>
        <v>Marketing</v>
      </c>
      <c r="E47" s="29">
        <f>SUMIF(Table1[Name],Table1[[#This Row],[Name]],Table1[Attendance Value])</f>
        <v>2</v>
      </c>
      <c r="F47" s="30">
        <f t="shared" si="1"/>
        <v>5</v>
      </c>
      <c r="G47" s="31">
        <f>IF(Table13[[#This Row],[Total Days Present]] &lt;&gt; 0, Table13[[#This Row],[Actual Days Present]] / Table13[[#This Row],[Total Days Present]], 0)</f>
        <v>0.4</v>
      </c>
      <c r="H47" t="str">
        <f>IF(Table13[[#This Row],[Attendance Percentage]]&gt;=0.8,"Met","Not Met")</f>
        <v>Not Met</v>
      </c>
    </row>
    <row r="48" spans="1:12" ht="15.75" x14ac:dyDescent="0.25">
      <c r="A48" s="3" t="s">
        <v>70</v>
      </c>
      <c r="B48" s="26">
        <v>45474</v>
      </c>
      <c r="C48" s="27" t="str">
        <f>VLOOKUP(Table13[[#This Row],[Name]],List1_ContactInfo!A55:$B$58,2,0)</f>
        <v>attendee47@company.com</v>
      </c>
      <c r="D48" s="28" t="str">
        <f>VLOOKUP(Table13[[#This Row],[Name]],List2_Department!$A$2:$B$51,2,0)</f>
        <v>Sales</v>
      </c>
      <c r="E48" s="29">
        <f>SUMIF(Table1[Name],Table1[[#This Row],[Name]],Table1[Attendance Value])</f>
        <v>4</v>
      </c>
      <c r="F48" s="30">
        <f t="shared" si="1"/>
        <v>5</v>
      </c>
      <c r="G48" s="31">
        <f>IF(Table13[[#This Row],[Total Days Present]] &lt;&gt; 0, Table13[[#This Row],[Actual Days Present]] / Table13[[#This Row],[Total Days Present]], 0)</f>
        <v>0.8</v>
      </c>
      <c r="H48" t="str">
        <f>IF(Table13[[#This Row],[Attendance Percentage]]&gt;=0.8,"Met","Not Met")</f>
        <v>Met</v>
      </c>
    </row>
    <row r="49" spans="1:8" ht="15.75" x14ac:dyDescent="0.25">
      <c r="A49" s="3" t="s">
        <v>54</v>
      </c>
      <c r="B49" s="26">
        <v>45474</v>
      </c>
      <c r="C49" s="27" t="str">
        <f>VLOOKUP(Table13[[#This Row],[Name]],List1_ContactInfo!A56:$B$58,2,0)</f>
        <v>attendee48@company.com</v>
      </c>
      <c r="D49" s="28" t="str">
        <f>VLOOKUP(Table13[[#This Row],[Name]],List2_Department!$A$2:$B$51,2,0)</f>
        <v>HR</v>
      </c>
      <c r="E49" s="29">
        <f>SUMIF(Table1[Name],Table1[[#This Row],[Name]],Table1[Attendance Value])</f>
        <v>0</v>
      </c>
      <c r="F49" s="30">
        <f t="shared" si="1"/>
        <v>5</v>
      </c>
      <c r="G49" s="31">
        <f>IF(Table13[[#This Row],[Total Days Present]] &lt;&gt; 0, Table13[[#This Row],[Actual Days Present]] / Table13[[#This Row],[Total Days Present]], 0)</f>
        <v>0</v>
      </c>
      <c r="H49" t="str">
        <f>IF(Table13[[#This Row],[Attendance Percentage]]&gt;=0.8,"Met","Not Met")</f>
        <v>Not Met</v>
      </c>
    </row>
    <row r="50" spans="1:8" ht="15.75" x14ac:dyDescent="0.25">
      <c r="A50" s="3" t="s">
        <v>65</v>
      </c>
      <c r="B50" s="26">
        <v>45474</v>
      </c>
      <c r="C50" s="27" t="str">
        <f>VLOOKUP(Table13[[#This Row],[Name]],List1_ContactInfo!A57:$B$58,2,0)</f>
        <v>attendee49@company.com</v>
      </c>
      <c r="D50" s="28" t="str">
        <f>VLOOKUP(Table13[[#This Row],[Name]],List2_Department!$A$2:$B$51,2,0)</f>
        <v>IT</v>
      </c>
      <c r="E50" s="29">
        <f>SUMIF(Table1[Name],Table1[[#This Row],[Name]],Table1[Attendance Value])</f>
        <v>2</v>
      </c>
      <c r="F50" s="30">
        <f t="shared" si="1"/>
        <v>5</v>
      </c>
      <c r="G50" s="31">
        <f>IF(Table13[[#This Row],[Total Days Present]] &lt;&gt; 0, Table13[[#This Row],[Actual Days Present]] / Table13[[#This Row],[Total Days Present]], 0)</f>
        <v>0.4</v>
      </c>
      <c r="H50" t="str">
        <f>IF(Table13[[#This Row],[Attendance Percentage]]&gt;=0.8,"Met","Not Met")</f>
        <v>Not Met</v>
      </c>
    </row>
    <row r="51" spans="1:8" ht="15.75" x14ac:dyDescent="0.25">
      <c r="A51" s="3" t="s">
        <v>41</v>
      </c>
      <c r="B51" s="26">
        <v>45474</v>
      </c>
      <c r="C51" s="27" t="str">
        <f>VLOOKUP(Table13[[#This Row],[Name]],List1_ContactInfo!A58:$B$58,2,0)</f>
        <v>attendee50@company.com</v>
      </c>
      <c r="D51" s="28" t="str">
        <f>VLOOKUP(Table13[[#This Row],[Name]],List2_Department!$A$2:$B$51,2,0)</f>
        <v>Finance</v>
      </c>
      <c r="E51" s="29">
        <f>SUMIF(Table1[Name],Table1[[#This Row],[Name]],Table1[Attendance Value])</f>
        <v>1</v>
      </c>
      <c r="F51" s="30">
        <f t="shared" si="1"/>
        <v>5</v>
      </c>
      <c r="G51" s="31">
        <f>IF(Table13[[#This Row],[Total Days Present]] &lt;&gt; 0, Table13[[#This Row],[Actual Days Present]] / Table13[[#This Row],[Total Days Present]], 0)</f>
        <v>0.2</v>
      </c>
      <c r="H51" t="str">
        <f>IF(Table13[[#This Row],[Attendance Percentage]]&gt;=0.8,"Met","Not Met")</f>
        <v>Not Met</v>
      </c>
    </row>
  </sheetData>
  <mergeCells count="6">
    <mergeCell ref="N28:O28"/>
    <mergeCell ref="N4:O4"/>
    <mergeCell ref="N13:O13"/>
    <mergeCell ref="N19:N20"/>
    <mergeCell ref="O19:O20"/>
    <mergeCell ref="N25:O25"/>
  </mergeCells>
  <conditionalFormatting sqref="A2:A51">
    <cfRule type="duplicateValues" dxfId="567" priority="4"/>
  </conditionalFormatting>
  <conditionalFormatting sqref="A2:H51">
    <cfRule type="containsText" dxfId="566" priority="3" operator="containsText" text="Marketing">
      <formula>NOT(ISERROR(SEARCH("Marketing",A2)))</formula>
    </cfRule>
    <cfRule type="containsText" dxfId="565" priority="9" operator="containsText" text="Finance">
      <formula>NOT(ISERROR(SEARCH("Finance",A2)))</formula>
    </cfRule>
    <cfRule type="containsText" dxfId="564" priority="10" operator="containsText" text="HR">
      <formula>NOT(ISERROR(SEARCH("HR",A2)))</formula>
    </cfRule>
    <cfRule type="containsText" dxfId="563" priority="11" operator="containsText" text="IT">
      <formula>NOT(ISERROR(SEARCH("IT",A2)))</formula>
    </cfRule>
    <cfRule type="containsText" dxfId="562" priority="12" operator="containsText" text="Sales">
      <formula>NOT(ISERROR(SEARCH("Sales",A2)))</formula>
    </cfRule>
  </conditionalFormatting>
  <conditionalFormatting sqref="E2:E51">
    <cfRule type="dataBar" priority="2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{BEF49F58-23F4-473E-882C-0BBA5B98F843}</x14:id>
        </ext>
      </extLst>
    </cfRule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F49F58-23F4-473E-882C-0BBA5B98F843}">
            <x14:dataBar minLength="0" maxLength="100" direction="leftToRight" axisPosition="none">
              <x14:cfvo type="min"/>
              <x14:cfvo type="max"/>
              <x14:negativeFillColor rgb="FF5A8AC6"/>
            </x14:dataBar>
          </x14:cfRule>
          <xm:sqref>E2:E51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7"/>
  <sheetViews>
    <sheetView topLeftCell="A25" workbookViewId="0">
      <selection activeCell="A2" sqref="A2:A58"/>
    </sheetView>
  </sheetViews>
  <sheetFormatPr defaultColWidth="14.42578125" defaultRowHeight="15" customHeight="1" x14ac:dyDescent="0.25"/>
  <cols>
    <col min="1" max="1" width="13.7109375" customWidth="1"/>
    <col min="2" max="2" width="29.5703125" customWidth="1"/>
    <col min="3" max="26" width="8.85546875" customWidth="1"/>
  </cols>
  <sheetData>
    <row r="1" spans="1:2" x14ac:dyDescent="0.25">
      <c r="A1" s="2" t="s">
        <v>0</v>
      </c>
      <c r="B1" s="2" t="s">
        <v>71</v>
      </c>
    </row>
    <row r="2" spans="1:2" x14ac:dyDescent="0.25">
      <c r="A2" s="3" t="s">
        <v>7</v>
      </c>
      <c r="B2" s="3" t="s">
        <v>72</v>
      </c>
    </row>
    <row r="3" spans="1:2" x14ac:dyDescent="0.25">
      <c r="A3" s="3" t="s">
        <v>10</v>
      </c>
      <c r="B3" s="3" t="s">
        <v>73</v>
      </c>
    </row>
    <row r="4" spans="1:2" x14ac:dyDescent="0.25">
      <c r="A4" s="3" t="s">
        <v>11</v>
      </c>
      <c r="B4" s="3" t="s">
        <v>74</v>
      </c>
    </row>
    <row r="5" spans="1:2" x14ac:dyDescent="0.25">
      <c r="A5" s="3" t="s">
        <v>13</v>
      </c>
      <c r="B5" s="3" t="s">
        <v>75</v>
      </c>
    </row>
    <row r="6" spans="1:2" x14ac:dyDescent="0.25">
      <c r="A6" s="3" t="s">
        <v>18</v>
      </c>
      <c r="B6" s="3" t="s">
        <v>76</v>
      </c>
    </row>
    <row r="7" spans="1:2" x14ac:dyDescent="0.25">
      <c r="A7" s="3" t="s">
        <v>20</v>
      </c>
      <c r="B7" s="3" t="s">
        <v>77</v>
      </c>
    </row>
    <row r="8" spans="1:2" x14ac:dyDescent="0.25">
      <c r="A8" s="3" t="s">
        <v>23</v>
      </c>
      <c r="B8" s="3" t="s">
        <v>78</v>
      </c>
    </row>
    <row r="9" spans="1:2" x14ac:dyDescent="0.25">
      <c r="A9" s="3" t="s">
        <v>26</v>
      </c>
      <c r="B9" s="3" t="s">
        <v>79</v>
      </c>
    </row>
    <row r="10" spans="1:2" x14ac:dyDescent="0.25">
      <c r="A10" s="3" t="s">
        <v>29</v>
      </c>
      <c r="B10" s="3" t="s">
        <v>80</v>
      </c>
    </row>
    <row r="11" spans="1:2" x14ac:dyDescent="0.25">
      <c r="A11" s="3" t="s">
        <v>21</v>
      </c>
      <c r="B11" s="3" t="s">
        <v>81</v>
      </c>
    </row>
    <row r="12" spans="1:2" x14ac:dyDescent="0.25">
      <c r="A12" s="3" t="s">
        <v>33</v>
      </c>
      <c r="B12" s="3" t="s">
        <v>82</v>
      </c>
    </row>
    <row r="13" spans="1:2" x14ac:dyDescent="0.25">
      <c r="A13" s="3" t="s">
        <v>35</v>
      </c>
      <c r="B13" s="3" t="s">
        <v>83</v>
      </c>
    </row>
    <row r="14" spans="1:2" x14ac:dyDescent="0.25">
      <c r="A14" s="3" t="s">
        <v>38</v>
      </c>
      <c r="B14" s="3" t="s">
        <v>84</v>
      </c>
    </row>
    <row r="15" spans="1:2" x14ac:dyDescent="0.25">
      <c r="A15" s="3" t="s">
        <v>40</v>
      </c>
      <c r="B15" s="3" t="s">
        <v>85</v>
      </c>
    </row>
    <row r="16" spans="1:2" x14ac:dyDescent="0.25">
      <c r="A16" s="3" t="s">
        <v>24</v>
      </c>
      <c r="B16" s="3" t="s">
        <v>86</v>
      </c>
    </row>
    <row r="17" spans="1:2" x14ac:dyDescent="0.25">
      <c r="A17" s="3" t="s">
        <v>43</v>
      </c>
      <c r="B17" s="3" t="s">
        <v>87</v>
      </c>
    </row>
    <row r="18" spans="1:2" x14ac:dyDescent="0.25">
      <c r="A18" s="3" t="s">
        <v>44</v>
      </c>
      <c r="B18" s="3" t="s">
        <v>88</v>
      </c>
    </row>
    <row r="19" spans="1:2" x14ac:dyDescent="0.25">
      <c r="A19" s="3" t="s">
        <v>45</v>
      </c>
      <c r="B19" s="3" t="s">
        <v>89</v>
      </c>
    </row>
    <row r="20" spans="1:2" x14ac:dyDescent="0.25">
      <c r="A20" s="3" t="s">
        <v>47</v>
      </c>
      <c r="B20" s="3" t="s">
        <v>90</v>
      </c>
    </row>
    <row r="21" spans="1:2" ht="15.75" customHeight="1" x14ac:dyDescent="0.25">
      <c r="A21" s="3" t="s">
        <v>27</v>
      </c>
      <c r="B21" s="3" t="s">
        <v>91</v>
      </c>
    </row>
    <row r="22" spans="1:2" x14ac:dyDescent="0.25">
      <c r="A22" s="3" t="s">
        <v>23</v>
      </c>
      <c r="B22" s="3" t="s">
        <v>78</v>
      </c>
    </row>
    <row r="23" spans="1:2" x14ac:dyDescent="0.25">
      <c r="A23" s="3" t="s">
        <v>26</v>
      </c>
      <c r="B23" s="3" t="s">
        <v>79</v>
      </c>
    </row>
    <row r="24" spans="1:2" x14ac:dyDescent="0.25">
      <c r="A24" s="3" t="s">
        <v>29</v>
      </c>
      <c r="B24" s="3" t="s">
        <v>80</v>
      </c>
    </row>
    <row r="25" spans="1:2" ht="15.75" customHeight="1" x14ac:dyDescent="0.25">
      <c r="A25" s="3" t="s">
        <v>51</v>
      </c>
      <c r="B25" s="3" t="s">
        <v>92</v>
      </c>
    </row>
    <row r="26" spans="1:2" ht="15.75" customHeight="1" x14ac:dyDescent="0.25">
      <c r="A26" s="3" t="s">
        <v>53</v>
      </c>
      <c r="B26" s="3" t="s">
        <v>93</v>
      </c>
    </row>
    <row r="27" spans="1:2" ht="15.75" customHeight="1" x14ac:dyDescent="0.25">
      <c r="A27" s="3" t="s">
        <v>48</v>
      </c>
      <c r="B27" s="3" t="s">
        <v>94</v>
      </c>
    </row>
    <row r="28" spans="1:2" ht="15.75" customHeight="1" x14ac:dyDescent="0.25">
      <c r="A28" s="3" t="s">
        <v>55</v>
      </c>
      <c r="B28" s="3" t="s">
        <v>95</v>
      </c>
    </row>
    <row r="29" spans="1:2" ht="15.75" customHeight="1" x14ac:dyDescent="0.25">
      <c r="A29" s="3" t="s">
        <v>30</v>
      </c>
      <c r="B29" s="3" t="s">
        <v>96</v>
      </c>
    </row>
    <row r="30" spans="1:2" ht="15.75" customHeight="1" x14ac:dyDescent="0.25">
      <c r="A30" s="3" t="s">
        <v>56</v>
      </c>
      <c r="B30" s="3" t="s">
        <v>97</v>
      </c>
    </row>
    <row r="31" spans="1:2" ht="15.75" customHeight="1" x14ac:dyDescent="0.25">
      <c r="A31" s="3" t="s">
        <v>58</v>
      </c>
      <c r="B31" s="3" t="s">
        <v>98</v>
      </c>
    </row>
    <row r="32" spans="1:2" ht="15.75" customHeight="1" x14ac:dyDescent="0.25">
      <c r="A32" s="3" t="s">
        <v>49</v>
      </c>
      <c r="B32" s="3" t="s">
        <v>99</v>
      </c>
    </row>
    <row r="33" spans="1:2" ht="15.75" customHeight="1" x14ac:dyDescent="0.25">
      <c r="A33" s="3" t="s">
        <v>59</v>
      </c>
      <c r="B33" s="3" t="s">
        <v>100</v>
      </c>
    </row>
    <row r="34" spans="1:2" ht="15.75" customHeight="1" x14ac:dyDescent="0.25">
      <c r="A34" s="3" t="s">
        <v>32</v>
      </c>
      <c r="B34" s="3" t="s">
        <v>101</v>
      </c>
    </row>
    <row r="35" spans="1:2" ht="15.75" customHeight="1" x14ac:dyDescent="0.25">
      <c r="A35" s="3" t="s">
        <v>62</v>
      </c>
      <c r="B35" s="3" t="s">
        <v>102</v>
      </c>
    </row>
    <row r="36" spans="1:2" ht="15.75" customHeight="1" x14ac:dyDescent="0.25">
      <c r="A36" s="3" t="s">
        <v>63</v>
      </c>
      <c r="B36" s="3" t="s">
        <v>103</v>
      </c>
    </row>
    <row r="37" spans="1:2" ht="15.75" customHeight="1" x14ac:dyDescent="0.25">
      <c r="A37" s="3" t="s">
        <v>42</v>
      </c>
      <c r="B37" s="3" t="s">
        <v>104</v>
      </c>
    </row>
    <row r="38" spans="1:2" ht="15.75" customHeight="1" x14ac:dyDescent="0.25">
      <c r="A38" s="3" t="s">
        <v>60</v>
      </c>
      <c r="B38" s="3" t="s">
        <v>105</v>
      </c>
    </row>
    <row r="39" spans="1:2" ht="15.75" customHeight="1" x14ac:dyDescent="0.25">
      <c r="A39" s="3" t="s">
        <v>34</v>
      </c>
      <c r="B39" s="3" t="s">
        <v>106</v>
      </c>
    </row>
    <row r="40" spans="1:2" ht="15.75" customHeight="1" x14ac:dyDescent="0.25">
      <c r="A40" s="3" t="s">
        <v>66</v>
      </c>
      <c r="B40" s="3" t="s">
        <v>107</v>
      </c>
    </row>
    <row r="41" spans="1:2" ht="15.75" customHeight="1" x14ac:dyDescent="0.25">
      <c r="A41" s="3" t="s">
        <v>67</v>
      </c>
      <c r="B41" s="3" t="s">
        <v>108</v>
      </c>
    </row>
    <row r="42" spans="1:2" ht="15.75" customHeight="1" x14ac:dyDescent="0.25">
      <c r="A42" s="3" t="s">
        <v>50</v>
      </c>
      <c r="B42" s="3" t="s">
        <v>109</v>
      </c>
    </row>
    <row r="43" spans="1:2" ht="15.75" customHeight="1" x14ac:dyDescent="0.25">
      <c r="A43" s="3" t="s">
        <v>61</v>
      </c>
      <c r="B43" s="3" t="s">
        <v>110</v>
      </c>
    </row>
    <row r="44" spans="1:2" ht="15.75" customHeight="1" x14ac:dyDescent="0.25">
      <c r="A44" s="3" t="s">
        <v>36</v>
      </c>
      <c r="B44" s="3" t="s">
        <v>111</v>
      </c>
    </row>
    <row r="45" spans="1:2" ht="15.75" customHeight="1" x14ac:dyDescent="0.25">
      <c r="A45" s="3" t="s">
        <v>68</v>
      </c>
      <c r="B45" s="3" t="s">
        <v>112</v>
      </c>
    </row>
    <row r="46" spans="1:2" ht="15.75" customHeight="1" x14ac:dyDescent="0.25">
      <c r="A46" s="3" t="s">
        <v>57</v>
      </c>
      <c r="B46" s="3" t="s">
        <v>113</v>
      </c>
    </row>
    <row r="47" spans="1:2" ht="15.75" customHeight="1" x14ac:dyDescent="0.25">
      <c r="A47" s="3" t="s">
        <v>52</v>
      </c>
      <c r="B47" s="3" t="s">
        <v>114</v>
      </c>
    </row>
    <row r="48" spans="1:2" ht="15.75" customHeight="1" x14ac:dyDescent="0.25">
      <c r="A48" s="3" t="s">
        <v>49</v>
      </c>
      <c r="B48" s="3" t="s">
        <v>99</v>
      </c>
    </row>
    <row r="49" spans="1:2" ht="15.75" customHeight="1" x14ac:dyDescent="0.25">
      <c r="A49" s="3" t="s">
        <v>59</v>
      </c>
      <c r="B49" s="3" t="s">
        <v>100</v>
      </c>
    </row>
    <row r="50" spans="1:2" ht="15.75" customHeight="1" x14ac:dyDescent="0.25">
      <c r="A50" s="3" t="s">
        <v>32</v>
      </c>
      <c r="B50" s="3" t="s">
        <v>101</v>
      </c>
    </row>
    <row r="51" spans="1:2" ht="15.75" customHeight="1" x14ac:dyDescent="0.25">
      <c r="A51" s="3" t="s">
        <v>62</v>
      </c>
      <c r="B51" s="3" t="s">
        <v>102</v>
      </c>
    </row>
    <row r="52" spans="1:2" ht="15.75" customHeight="1" x14ac:dyDescent="0.25">
      <c r="A52" s="3" t="s">
        <v>64</v>
      </c>
      <c r="B52" s="3" t="s">
        <v>115</v>
      </c>
    </row>
    <row r="53" spans="1:2" ht="15.75" customHeight="1" x14ac:dyDescent="0.25">
      <c r="A53" s="3" t="s">
        <v>39</v>
      </c>
      <c r="B53" s="3" t="s">
        <v>116</v>
      </c>
    </row>
    <row r="54" spans="1:2" ht="15.75" customHeight="1" x14ac:dyDescent="0.25">
      <c r="A54" s="3" t="s">
        <v>69</v>
      </c>
      <c r="B54" s="3" t="s">
        <v>117</v>
      </c>
    </row>
    <row r="55" spans="1:2" ht="15.75" customHeight="1" x14ac:dyDescent="0.25">
      <c r="A55" s="3" t="s">
        <v>70</v>
      </c>
      <c r="B55" s="3" t="s">
        <v>118</v>
      </c>
    </row>
    <row r="56" spans="1:2" ht="15.75" customHeight="1" x14ac:dyDescent="0.25">
      <c r="A56" s="3" t="s">
        <v>54</v>
      </c>
      <c r="B56" s="3" t="s">
        <v>119</v>
      </c>
    </row>
    <row r="57" spans="1:2" ht="15.75" customHeight="1" x14ac:dyDescent="0.25">
      <c r="A57" s="3" t="s">
        <v>65</v>
      </c>
      <c r="B57" s="3" t="s">
        <v>120</v>
      </c>
    </row>
    <row r="58" spans="1:2" ht="15.75" customHeight="1" x14ac:dyDescent="0.25">
      <c r="A58" s="3" t="s">
        <v>41</v>
      </c>
      <c r="B58" s="3" t="s">
        <v>121</v>
      </c>
    </row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2" workbookViewId="0">
      <selection activeCell="A2" sqref="A2"/>
    </sheetView>
  </sheetViews>
  <sheetFormatPr defaultColWidth="14.42578125" defaultRowHeight="15" customHeight="1" x14ac:dyDescent="0.25"/>
  <cols>
    <col min="1" max="1" width="23" customWidth="1"/>
    <col min="2" max="2" width="17.42578125" customWidth="1"/>
    <col min="3" max="3" width="8.85546875" customWidth="1"/>
    <col min="4" max="4" width="12.140625" bestFit="1" customWidth="1"/>
    <col min="5" max="5" width="6.5703125" bestFit="1" customWidth="1"/>
    <col min="6" max="26" width="8.85546875" customWidth="1"/>
  </cols>
  <sheetData>
    <row r="1" spans="1:5" x14ac:dyDescent="0.25">
      <c r="A1" s="2" t="s">
        <v>0</v>
      </c>
      <c r="B1" s="2" t="s">
        <v>16</v>
      </c>
      <c r="D1" s="57" t="s">
        <v>122</v>
      </c>
      <c r="E1" s="58"/>
    </row>
    <row r="2" spans="1:5" x14ac:dyDescent="0.25">
      <c r="A2" s="11" t="s">
        <v>7</v>
      </c>
      <c r="B2" s="11" t="s">
        <v>28</v>
      </c>
      <c r="D2" s="10" t="s">
        <v>123</v>
      </c>
      <c r="E2" s="10" t="s">
        <v>124</v>
      </c>
    </row>
    <row r="3" spans="1:5" x14ac:dyDescent="0.25">
      <c r="A3" s="11" t="s">
        <v>10</v>
      </c>
      <c r="B3" s="11" t="s">
        <v>31</v>
      </c>
      <c r="D3" s="11" t="s">
        <v>28</v>
      </c>
      <c r="E3" s="3" t="s">
        <v>125</v>
      </c>
    </row>
    <row r="4" spans="1:5" x14ac:dyDescent="0.25">
      <c r="A4" s="11" t="s">
        <v>11</v>
      </c>
      <c r="B4" s="11" t="s">
        <v>22</v>
      </c>
      <c r="D4" s="11" t="s">
        <v>31</v>
      </c>
      <c r="E4" s="3" t="s">
        <v>126</v>
      </c>
    </row>
    <row r="5" spans="1:5" x14ac:dyDescent="0.25">
      <c r="A5" s="11" t="s">
        <v>13</v>
      </c>
      <c r="B5" s="11" t="s">
        <v>25</v>
      </c>
      <c r="D5" s="11" t="s">
        <v>22</v>
      </c>
      <c r="E5" s="3" t="s">
        <v>127</v>
      </c>
    </row>
    <row r="6" spans="1:5" x14ac:dyDescent="0.25">
      <c r="A6" s="11" t="s">
        <v>18</v>
      </c>
      <c r="B6" s="11" t="s">
        <v>19</v>
      </c>
      <c r="D6" s="11" t="s">
        <v>25</v>
      </c>
      <c r="E6" s="3" t="s">
        <v>128</v>
      </c>
    </row>
    <row r="7" spans="1:5" x14ac:dyDescent="0.25">
      <c r="A7" s="11" t="s">
        <v>20</v>
      </c>
      <c r="B7" s="11" t="s">
        <v>28</v>
      </c>
      <c r="D7" s="11" t="s">
        <v>19</v>
      </c>
      <c r="E7" s="3" t="s">
        <v>129</v>
      </c>
    </row>
    <row r="8" spans="1:5" x14ac:dyDescent="0.25">
      <c r="A8" s="11" t="s">
        <v>23</v>
      </c>
      <c r="B8" s="11" t="s">
        <v>31</v>
      </c>
      <c r="D8" s="1"/>
      <c r="E8" s="1"/>
    </row>
    <row r="9" spans="1:5" x14ac:dyDescent="0.25">
      <c r="A9" s="11" t="s">
        <v>26</v>
      </c>
      <c r="B9" s="11" t="s">
        <v>22</v>
      </c>
      <c r="D9" s="1"/>
      <c r="E9" s="1"/>
    </row>
    <row r="10" spans="1:5" x14ac:dyDescent="0.25">
      <c r="A10" s="11" t="s">
        <v>29</v>
      </c>
      <c r="B10" s="11" t="s">
        <v>25</v>
      </c>
    </row>
    <row r="11" spans="1:5" x14ac:dyDescent="0.25">
      <c r="A11" s="11" t="s">
        <v>21</v>
      </c>
      <c r="B11" s="11" t="s">
        <v>19</v>
      </c>
    </row>
    <row r="12" spans="1:5" x14ac:dyDescent="0.25">
      <c r="A12" s="11" t="s">
        <v>33</v>
      </c>
      <c r="B12" s="11" t="s">
        <v>28</v>
      </c>
    </row>
    <row r="13" spans="1:5" x14ac:dyDescent="0.25">
      <c r="A13" s="11" t="s">
        <v>35</v>
      </c>
      <c r="B13" s="11" t="s">
        <v>31</v>
      </c>
    </row>
    <row r="14" spans="1:5" x14ac:dyDescent="0.25">
      <c r="A14" s="11" t="s">
        <v>38</v>
      </c>
      <c r="B14" s="11" t="s">
        <v>22</v>
      </c>
    </row>
    <row r="15" spans="1:5" x14ac:dyDescent="0.25">
      <c r="A15" s="11" t="s">
        <v>40</v>
      </c>
      <c r="B15" s="11" t="s">
        <v>25</v>
      </c>
    </row>
    <row r="16" spans="1:5" x14ac:dyDescent="0.25">
      <c r="A16" s="11" t="s">
        <v>24</v>
      </c>
      <c r="B16" s="11" t="s">
        <v>19</v>
      </c>
    </row>
    <row r="17" spans="1:2" x14ac:dyDescent="0.25">
      <c r="A17" s="11" t="s">
        <v>43</v>
      </c>
      <c r="B17" s="11" t="s">
        <v>28</v>
      </c>
    </row>
    <row r="18" spans="1:2" x14ac:dyDescent="0.25">
      <c r="A18" s="11" t="s">
        <v>44</v>
      </c>
      <c r="B18" s="11" t="s">
        <v>31</v>
      </c>
    </row>
    <row r="19" spans="1:2" x14ac:dyDescent="0.25">
      <c r="A19" s="11" t="s">
        <v>45</v>
      </c>
      <c r="B19" s="11" t="s">
        <v>22</v>
      </c>
    </row>
    <row r="20" spans="1:2" x14ac:dyDescent="0.25">
      <c r="A20" s="11" t="s">
        <v>47</v>
      </c>
      <c r="B20" s="11" t="s">
        <v>25</v>
      </c>
    </row>
    <row r="21" spans="1:2" ht="15.75" customHeight="1" x14ac:dyDescent="0.25">
      <c r="A21" s="11" t="s">
        <v>27</v>
      </c>
      <c r="B21" s="11" t="s">
        <v>19</v>
      </c>
    </row>
    <row r="22" spans="1:2" ht="15.75" customHeight="1" x14ac:dyDescent="0.25">
      <c r="A22" s="11" t="s">
        <v>51</v>
      </c>
      <c r="B22" s="11" t="s">
        <v>28</v>
      </c>
    </row>
    <row r="23" spans="1:2" ht="15.75" customHeight="1" x14ac:dyDescent="0.25">
      <c r="A23" s="11" t="s">
        <v>53</v>
      </c>
      <c r="B23" s="11" t="s">
        <v>31</v>
      </c>
    </row>
    <row r="24" spans="1:2" ht="15.75" customHeight="1" x14ac:dyDescent="0.25">
      <c r="A24" s="11" t="s">
        <v>48</v>
      </c>
      <c r="B24" s="11" t="s">
        <v>22</v>
      </c>
    </row>
    <row r="25" spans="1:2" ht="15.75" customHeight="1" x14ac:dyDescent="0.25">
      <c r="A25" s="11" t="s">
        <v>55</v>
      </c>
      <c r="B25" s="11" t="s">
        <v>25</v>
      </c>
    </row>
    <row r="26" spans="1:2" ht="15.75" customHeight="1" x14ac:dyDescent="0.25">
      <c r="A26" s="11" t="s">
        <v>30</v>
      </c>
      <c r="B26" s="11" t="s">
        <v>19</v>
      </c>
    </row>
    <row r="27" spans="1:2" ht="15.75" customHeight="1" x14ac:dyDescent="0.25">
      <c r="A27" s="11" t="s">
        <v>56</v>
      </c>
      <c r="B27" s="11" t="s">
        <v>28</v>
      </c>
    </row>
    <row r="28" spans="1:2" ht="15.75" customHeight="1" x14ac:dyDescent="0.25">
      <c r="A28" s="11" t="s">
        <v>58</v>
      </c>
      <c r="B28" s="11" t="s">
        <v>31</v>
      </c>
    </row>
    <row r="29" spans="1:2" ht="15.75" customHeight="1" x14ac:dyDescent="0.25">
      <c r="A29" s="11" t="s">
        <v>49</v>
      </c>
      <c r="B29" s="11" t="s">
        <v>22</v>
      </c>
    </row>
    <row r="30" spans="1:2" ht="15.75" customHeight="1" x14ac:dyDescent="0.25">
      <c r="A30" s="11" t="s">
        <v>59</v>
      </c>
      <c r="B30" s="11" t="s">
        <v>25</v>
      </c>
    </row>
    <row r="31" spans="1:2" ht="15.75" customHeight="1" x14ac:dyDescent="0.25">
      <c r="A31" s="11" t="s">
        <v>32</v>
      </c>
      <c r="B31" s="11" t="s">
        <v>19</v>
      </c>
    </row>
    <row r="32" spans="1:2" ht="15.75" customHeight="1" x14ac:dyDescent="0.25">
      <c r="A32" s="11" t="s">
        <v>62</v>
      </c>
      <c r="B32" s="11" t="s">
        <v>28</v>
      </c>
    </row>
    <row r="33" spans="1:2" ht="15.75" customHeight="1" x14ac:dyDescent="0.25">
      <c r="A33" s="11" t="s">
        <v>63</v>
      </c>
      <c r="B33" s="11" t="s">
        <v>31</v>
      </c>
    </row>
    <row r="34" spans="1:2" ht="15.75" customHeight="1" x14ac:dyDescent="0.25">
      <c r="A34" s="11" t="s">
        <v>42</v>
      </c>
      <c r="B34" s="11" t="s">
        <v>22</v>
      </c>
    </row>
    <row r="35" spans="1:2" ht="15.75" customHeight="1" x14ac:dyDescent="0.25">
      <c r="A35" s="11" t="s">
        <v>60</v>
      </c>
      <c r="B35" s="11" t="s">
        <v>25</v>
      </c>
    </row>
    <row r="36" spans="1:2" ht="15.75" customHeight="1" x14ac:dyDescent="0.25">
      <c r="A36" s="11" t="s">
        <v>34</v>
      </c>
      <c r="B36" s="11" t="s">
        <v>19</v>
      </c>
    </row>
    <row r="37" spans="1:2" ht="15.75" customHeight="1" x14ac:dyDescent="0.25">
      <c r="A37" s="11" t="s">
        <v>66</v>
      </c>
      <c r="B37" s="11" t="s">
        <v>28</v>
      </c>
    </row>
    <row r="38" spans="1:2" ht="15.75" customHeight="1" x14ac:dyDescent="0.25">
      <c r="A38" s="11" t="s">
        <v>67</v>
      </c>
      <c r="B38" s="11" t="s">
        <v>31</v>
      </c>
    </row>
    <row r="39" spans="1:2" ht="15.75" customHeight="1" x14ac:dyDescent="0.25">
      <c r="A39" s="11" t="s">
        <v>50</v>
      </c>
      <c r="B39" s="11" t="s">
        <v>22</v>
      </c>
    </row>
    <row r="40" spans="1:2" ht="15.75" customHeight="1" x14ac:dyDescent="0.25">
      <c r="A40" s="11" t="s">
        <v>61</v>
      </c>
      <c r="B40" s="11" t="s">
        <v>25</v>
      </c>
    </row>
    <row r="41" spans="1:2" ht="15.75" customHeight="1" x14ac:dyDescent="0.25">
      <c r="A41" s="11" t="s">
        <v>36</v>
      </c>
      <c r="B41" s="11" t="s">
        <v>19</v>
      </c>
    </row>
    <row r="42" spans="1:2" ht="15.75" customHeight="1" x14ac:dyDescent="0.25">
      <c r="A42" s="11" t="s">
        <v>68</v>
      </c>
      <c r="B42" s="11" t="s">
        <v>28</v>
      </c>
    </row>
    <row r="43" spans="1:2" ht="15.75" customHeight="1" x14ac:dyDescent="0.25">
      <c r="A43" s="11" t="s">
        <v>57</v>
      </c>
      <c r="B43" s="11" t="s">
        <v>31</v>
      </c>
    </row>
    <row r="44" spans="1:2" ht="15.75" customHeight="1" x14ac:dyDescent="0.25">
      <c r="A44" s="11" t="s">
        <v>52</v>
      </c>
      <c r="B44" s="11" t="s">
        <v>22</v>
      </c>
    </row>
    <row r="45" spans="1:2" ht="15.75" customHeight="1" x14ac:dyDescent="0.25">
      <c r="A45" s="11" t="s">
        <v>64</v>
      </c>
      <c r="B45" s="11" t="s">
        <v>25</v>
      </c>
    </row>
    <row r="46" spans="1:2" ht="15.75" customHeight="1" x14ac:dyDescent="0.25">
      <c r="A46" s="11" t="s">
        <v>39</v>
      </c>
      <c r="B46" s="11" t="s">
        <v>19</v>
      </c>
    </row>
    <row r="47" spans="1:2" ht="15.75" customHeight="1" x14ac:dyDescent="0.25">
      <c r="A47" s="11" t="s">
        <v>69</v>
      </c>
      <c r="B47" s="11" t="s">
        <v>28</v>
      </c>
    </row>
    <row r="48" spans="1:2" ht="15.75" customHeight="1" x14ac:dyDescent="0.25">
      <c r="A48" s="11" t="s">
        <v>70</v>
      </c>
      <c r="B48" s="11" t="s">
        <v>31</v>
      </c>
    </row>
    <row r="49" spans="1:2" ht="15.75" customHeight="1" x14ac:dyDescent="0.25">
      <c r="A49" s="11" t="s">
        <v>54</v>
      </c>
      <c r="B49" s="11" t="s">
        <v>22</v>
      </c>
    </row>
    <row r="50" spans="1:2" ht="15.75" customHeight="1" x14ac:dyDescent="0.25">
      <c r="A50" s="11" t="s">
        <v>65</v>
      </c>
      <c r="B50" s="11" t="s">
        <v>25</v>
      </c>
    </row>
    <row r="51" spans="1:2" ht="15.75" customHeight="1" x14ac:dyDescent="0.25">
      <c r="A51" s="11" t="s">
        <v>41</v>
      </c>
      <c r="B51" s="11" t="s">
        <v>19</v>
      </c>
    </row>
    <row r="52" spans="1:2" ht="15.75" customHeight="1" x14ac:dyDescent="0.25"/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:E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>
      <pane ySplit="1" topLeftCell="A20" activePane="bottomLeft" state="frozen"/>
      <selection pane="bottomLeft" sqref="A1:E1"/>
    </sheetView>
  </sheetViews>
  <sheetFormatPr defaultColWidth="14.42578125" defaultRowHeight="15" customHeight="1" x14ac:dyDescent="0.25"/>
  <cols>
    <col min="1" max="1" width="12.85546875" customWidth="1"/>
    <col min="2" max="2" width="11.42578125" customWidth="1"/>
    <col min="3" max="3" width="11.5703125" customWidth="1"/>
    <col min="4" max="4" width="13.42578125" customWidth="1"/>
    <col min="5" max="5" width="11.5703125" bestFit="1" customWidth="1"/>
    <col min="6" max="6" width="11.28515625" bestFit="1" customWidth="1"/>
    <col min="7" max="7" width="8.85546875" bestFit="1" customWidth="1"/>
    <col min="8" max="8" width="17.28515625" bestFit="1" customWidth="1"/>
    <col min="9" max="9" width="19.7109375" bestFit="1" customWidth="1"/>
    <col min="10" max="10" width="9.140625" bestFit="1" customWidth="1"/>
    <col min="11" max="12" width="13.42578125" bestFit="1" customWidth="1"/>
    <col min="13" max="13" width="11.85546875" bestFit="1" customWidth="1"/>
    <col min="14" max="14" width="29.140625" bestFit="1" customWidth="1"/>
    <col min="15" max="16" width="11.85546875" bestFit="1" customWidth="1"/>
    <col min="17" max="17" width="10.85546875" bestFit="1" customWidth="1"/>
    <col min="18" max="27" width="11.85546875" bestFit="1" customWidth="1"/>
    <col min="28" max="28" width="10.85546875" bestFit="1" customWidth="1"/>
    <col min="29" max="38" width="11.85546875" bestFit="1" customWidth="1"/>
    <col min="39" max="39" width="10.85546875" bestFit="1" customWidth="1"/>
    <col min="40" max="49" width="11.85546875" bestFit="1" customWidth="1"/>
    <col min="50" max="50" width="10.85546875" bestFit="1" customWidth="1"/>
    <col min="51" max="51" width="11.85546875" bestFit="1" customWidth="1"/>
    <col min="52" max="55" width="10.85546875" bestFit="1" customWidth="1"/>
    <col min="56" max="56" width="11.28515625" bestFit="1" customWidth="1"/>
    <col min="57" max="65" width="11.85546875" bestFit="1" customWidth="1"/>
    <col min="66" max="66" width="10.85546875" bestFit="1" customWidth="1"/>
    <col min="67" max="75" width="11.85546875" bestFit="1" customWidth="1"/>
    <col min="76" max="76" width="10.85546875" bestFit="1" customWidth="1"/>
    <col min="77" max="86" width="11.85546875" bestFit="1" customWidth="1"/>
    <col min="87" max="87" width="10.85546875" bestFit="1" customWidth="1"/>
    <col min="88" max="96" width="11.85546875" bestFit="1" customWidth="1"/>
    <col min="97" max="97" width="10.85546875" bestFit="1" customWidth="1"/>
    <col min="98" max="98" width="11.85546875" bestFit="1" customWidth="1"/>
    <col min="99" max="102" width="10.85546875" bestFit="1" customWidth="1"/>
    <col min="103" max="103" width="12.7109375" bestFit="1" customWidth="1"/>
    <col min="104" max="104" width="11.28515625" bestFit="1" customWidth="1"/>
  </cols>
  <sheetData>
    <row r="1" spans="1:14" ht="36" customHeight="1" x14ac:dyDescent="0.25">
      <c r="A1" s="9" t="s">
        <v>0</v>
      </c>
      <c r="B1" s="6" t="s">
        <v>130</v>
      </c>
      <c r="C1" s="6" t="s">
        <v>131</v>
      </c>
      <c r="D1" s="39" t="s">
        <v>132</v>
      </c>
      <c r="E1" s="40" t="s">
        <v>133</v>
      </c>
    </row>
    <row r="2" spans="1:14" x14ac:dyDescent="0.25">
      <c r="A2" s="5" t="s">
        <v>7</v>
      </c>
      <c r="B2" s="4">
        <v>45474</v>
      </c>
      <c r="C2" s="3" t="s">
        <v>134</v>
      </c>
      <c r="D2" s="44" t="str">
        <f>IF(C2="Yes","Present","Absent")</f>
        <v>Present</v>
      </c>
      <c r="E2">
        <f t="shared" ref="E2:E65" si="0">IF(D2="Present",1,0)</f>
        <v>1</v>
      </c>
    </row>
    <row r="3" spans="1:14" x14ac:dyDescent="0.25">
      <c r="A3" s="5" t="s">
        <v>10</v>
      </c>
      <c r="B3" s="4">
        <v>45474</v>
      </c>
      <c r="C3" s="3" t="s">
        <v>135</v>
      </c>
      <c r="D3" s="44" t="str">
        <f t="shared" ref="D3:D66" si="1">IF(C3="Yes","Present","Absent")</f>
        <v>Absent</v>
      </c>
      <c r="E3">
        <f t="shared" si="0"/>
        <v>0</v>
      </c>
    </row>
    <row r="4" spans="1:14" x14ac:dyDescent="0.25">
      <c r="A4" s="5" t="s">
        <v>11</v>
      </c>
      <c r="B4" s="4">
        <v>45474</v>
      </c>
      <c r="C4" s="3" t="s">
        <v>134</v>
      </c>
      <c r="D4" s="44" t="str">
        <f t="shared" si="1"/>
        <v>Present</v>
      </c>
      <c r="E4">
        <f t="shared" si="0"/>
        <v>1</v>
      </c>
      <c r="H4" s="22" t="s">
        <v>136</v>
      </c>
      <c r="I4" s="22" t="s">
        <v>132</v>
      </c>
      <c r="J4" s="42"/>
    </row>
    <row r="5" spans="1:14" x14ac:dyDescent="0.25">
      <c r="A5" s="5" t="s">
        <v>13</v>
      </c>
      <c r="B5" s="4">
        <v>45474</v>
      </c>
      <c r="C5" s="3" t="s">
        <v>135</v>
      </c>
      <c r="D5" s="44" t="str">
        <f t="shared" si="1"/>
        <v>Absent</v>
      </c>
      <c r="E5">
        <f t="shared" si="0"/>
        <v>0</v>
      </c>
      <c r="H5" s="22" t="s">
        <v>130</v>
      </c>
      <c r="I5" s="42" t="s">
        <v>137</v>
      </c>
      <c r="J5" s="42" t="s">
        <v>138</v>
      </c>
    </row>
    <row r="6" spans="1:14" x14ac:dyDescent="0.25">
      <c r="A6" s="5" t="s">
        <v>18</v>
      </c>
      <c r="B6" s="4">
        <v>45474</v>
      </c>
      <c r="C6" s="3" t="s">
        <v>134</v>
      </c>
      <c r="D6" s="44" t="str">
        <f t="shared" si="1"/>
        <v>Present</v>
      </c>
      <c r="E6">
        <f t="shared" si="0"/>
        <v>1</v>
      </c>
      <c r="H6" s="23">
        <v>45474</v>
      </c>
      <c r="I6" s="42">
        <v>25</v>
      </c>
      <c r="J6" s="42">
        <v>25</v>
      </c>
    </row>
    <row r="7" spans="1:14" x14ac:dyDescent="0.25">
      <c r="A7" s="5" t="s">
        <v>20</v>
      </c>
      <c r="B7" s="4">
        <v>45474</v>
      </c>
      <c r="C7" s="3" t="s">
        <v>135</v>
      </c>
      <c r="D7" s="44" t="str">
        <f t="shared" si="1"/>
        <v>Absent</v>
      </c>
      <c r="E7">
        <f t="shared" si="0"/>
        <v>0</v>
      </c>
      <c r="H7" s="23">
        <v>45475</v>
      </c>
      <c r="I7" s="42">
        <v>25</v>
      </c>
      <c r="J7" s="42">
        <v>25</v>
      </c>
    </row>
    <row r="8" spans="1:14" x14ac:dyDescent="0.25">
      <c r="A8" s="5" t="s">
        <v>23</v>
      </c>
      <c r="B8" s="4">
        <v>45474</v>
      </c>
      <c r="C8" s="3" t="s">
        <v>134</v>
      </c>
      <c r="D8" s="44" t="str">
        <f t="shared" si="1"/>
        <v>Present</v>
      </c>
      <c r="E8">
        <f t="shared" si="0"/>
        <v>1</v>
      </c>
      <c r="H8" s="23">
        <v>45476</v>
      </c>
      <c r="I8" s="42">
        <v>24</v>
      </c>
      <c r="J8" s="42">
        <v>24</v>
      </c>
      <c r="N8" s="43"/>
    </row>
    <row r="9" spans="1:14" x14ac:dyDescent="0.25">
      <c r="A9" s="5" t="s">
        <v>26</v>
      </c>
      <c r="B9" s="4">
        <v>45474</v>
      </c>
      <c r="C9" s="3" t="s">
        <v>135</v>
      </c>
      <c r="D9" s="44" t="str">
        <f t="shared" si="1"/>
        <v>Absent</v>
      </c>
      <c r="E9">
        <f t="shared" si="0"/>
        <v>0</v>
      </c>
      <c r="H9" s="23">
        <v>45477</v>
      </c>
      <c r="I9" s="42">
        <v>30</v>
      </c>
      <c r="J9" s="42">
        <v>30</v>
      </c>
    </row>
    <row r="10" spans="1:14" x14ac:dyDescent="0.25">
      <c r="A10" s="5" t="s">
        <v>29</v>
      </c>
      <c r="B10" s="4">
        <v>45474</v>
      </c>
      <c r="C10" s="3" t="s">
        <v>134</v>
      </c>
      <c r="D10" s="44" t="str">
        <f t="shared" si="1"/>
        <v>Present</v>
      </c>
      <c r="E10">
        <f t="shared" si="0"/>
        <v>1</v>
      </c>
      <c r="H10" s="23">
        <v>45478</v>
      </c>
      <c r="I10" s="42">
        <v>23</v>
      </c>
      <c r="J10" s="42">
        <v>23</v>
      </c>
    </row>
    <row r="11" spans="1:14" x14ac:dyDescent="0.25">
      <c r="A11" s="5" t="s">
        <v>21</v>
      </c>
      <c r="B11" s="4">
        <v>45474</v>
      </c>
      <c r="C11" s="3" t="s">
        <v>135</v>
      </c>
      <c r="D11" s="44" t="str">
        <f t="shared" si="1"/>
        <v>Absent</v>
      </c>
      <c r="E11">
        <f t="shared" si="0"/>
        <v>0</v>
      </c>
    </row>
    <row r="12" spans="1:14" x14ac:dyDescent="0.25">
      <c r="A12" s="5" t="s">
        <v>33</v>
      </c>
      <c r="B12" s="4">
        <v>45474</v>
      </c>
      <c r="C12" s="3" t="s">
        <v>134</v>
      </c>
      <c r="D12" s="44" t="str">
        <f t="shared" si="1"/>
        <v>Present</v>
      </c>
      <c r="E12">
        <f t="shared" si="0"/>
        <v>1</v>
      </c>
    </row>
    <row r="13" spans="1:14" x14ac:dyDescent="0.25">
      <c r="A13" s="5" t="s">
        <v>35</v>
      </c>
      <c r="B13" s="4">
        <v>45474</v>
      </c>
      <c r="C13" s="3" t="s">
        <v>135</v>
      </c>
      <c r="D13" s="44" t="str">
        <f t="shared" si="1"/>
        <v>Absent</v>
      </c>
      <c r="E13">
        <f t="shared" si="0"/>
        <v>0</v>
      </c>
      <c r="H13" s="59" t="s">
        <v>139</v>
      </c>
      <c r="I13" s="52"/>
      <c r="J13" s="52"/>
      <c r="K13" s="52"/>
    </row>
    <row r="14" spans="1:14" x14ac:dyDescent="0.25">
      <c r="A14" s="5" t="s">
        <v>38</v>
      </c>
      <c r="B14" s="4">
        <v>45474</v>
      </c>
      <c r="C14" s="3" t="s">
        <v>134</v>
      </c>
      <c r="D14" s="44" t="str">
        <f t="shared" si="1"/>
        <v>Present</v>
      </c>
      <c r="E14">
        <f t="shared" si="0"/>
        <v>1</v>
      </c>
      <c r="H14" s="13" t="s">
        <v>130</v>
      </c>
      <c r="I14" s="13" t="s">
        <v>137</v>
      </c>
      <c r="J14" s="13" t="s">
        <v>140</v>
      </c>
      <c r="K14" s="13" t="s">
        <v>15</v>
      </c>
    </row>
    <row r="15" spans="1:14" x14ac:dyDescent="0.25">
      <c r="A15" s="5" t="s">
        <v>40</v>
      </c>
      <c r="B15" s="4">
        <v>45474</v>
      </c>
      <c r="C15" s="3" t="s">
        <v>135</v>
      </c>
      <c r="D15" s="44" t="str">
        <f t="shared" si="1"/>
        <v>Absent</v>
      </c>
      <c r="E15">
        <f t="shared" si="0"/>
        <v>0</v>
      </c>
      <c r="H15" s="14">
        <v>45474</v>
      </c>
      <c r="I15" s="15">
        <v>25</v>
      </c>
      <c r="J15" s="15">
        <v>50</v>
      </c>
      <c r="K15" s="12">
        <f>I15/J15</f>
        <v>0.5</v>
      </c>
    </row>
    <row r="16" spans="1:14" x14ac:dyDescent="0.25">
      <c r="A16" s="5" t="s">
        <v>24</v>
      </c>
      <c r="B16" s="4">
        <v>45474</v>
      </c>
      <c r="C16" s="3" t="s">
        <v>134</v>
      </c>
      <c r="D16" s="44" t="str">
        <f t="shared" si="1"/>
        <v>Present</v>
      </c>
      <c r="E16">
        <f t="shared" si="0"/>
        <v>1</v>
      </c>
      <c r="H16" s="14">
        <v>45475</v>
      </c>
      <c r="I16" s="15">
        <v>25</v>
      </c>
      <c r="J16" s="15">
        <v>50</v>
      </c>
      <c r="K16" s="12">
        <f>I16/J16</f>
        <v>0.5</v>
      </c>
    </row>
    <row r="17" spans="1:11" x14ac:dyDescent="0.25">
      <c r="A17" s="5" t="s">
        <v>43</v>
      </c>
      <c r="B17" s="4">
        <v>45474</v>
      </c>
      <c r="C17" s="3" t="s">
        <v>135</v>
      </c>
      <c r="D17" s="44" t="str">
        <f t="shared" si="1"/>
        <v>Absent</v>
      </c>
      <c r="E17">
        <f t="shared" si="0"/>
        <v>0</v>
      </c>
      <c r="H17" s="14">
        <v>45476</v>
      </c>
      <c r="I17" s="15">
        <v>24</v>
      </c>
      <c r="J17" s="15">
        <v>50</v>
      </c>
      <c r="K17" s="12">
        <f>I17/J17</f>
        <v>0.48</v>
      </c>
    </row>
    <row r="18" spans="1:11" x14ac:dyDescent="0.25">
      <c r="A18" s="5" t="s">
        <v>44</v>
      </c>
      <c r="B18" s="4">
        <v>45474</v>
      </c>
      <c r="C18" s="3" t="s">
        <v>134</v>
      </c>
      <c r="D18" s="44" t="str">
        <f t="shared" si="1"/>
        <v>Present</v>
      </c>
      <c r="E18">
        <f t="shared" si="0"/>
        <v>1</v>
      </c>
      <c r="H18" s="19">
        <v>45477</v>
      </c>
      <c r="I18" s="20">
        <v>30</v>
      </c>
      <c r="J18" s="20">
        <v>50</v>
      </c>
      <c r="K18" s="21">
        <f>I18/J18</f>
        <v>0.6</v>
      </c>
    </row>
    <row r="19" spans="1:11" x14ac:dyDescent="0.25">
      <c r="A19" s="5" t="s">
        <v>45</v>
      </c>
      <c r="B19" s="4">
        <v>45474</v>
      </c>
      <c r="C19" s="3" t="s">
        <v>135</v>
      </c>
      <c r="D19" s="44" t="str">
        <f t="shared" si="1"/>
        <v>Absent</v>
      </c>
      <c r="E19">
        <f t="shared" si="0"/>
        <v>0</v>
      </c>
      <c r="H19" s="16">
        <v>45478</v>
      </c>
      <c r="I19" s="17">
        <v>23</v>
      </c>
      <c r="J19" s="17">
        <v>50</v>
      </c>
      <c r="K19" s="18">
        <f>I19/J19</f>
        <v>0.46</v>
      </c>
    </row>
    <row r="20" spans="1:11" x14ac:dyDescent="0.25">
      <c r="A20" s="5" t="s">
        <v>47</v>
      </c>
      <c r="B20" s="4">
        <v>45474</v>
      </c>
      <c r="C20" s="3" t="s">
        <v>134</v>
      </c>
      <c r="D20" s="44" t="str">
        <f t="shared" si="1"/>
        <v>Present</v>
      </c>
      <c r="E20">
        <f t="shared" si="0"/>
        <v>1</v>
      </c>
    </row>
    <row r="21" spans="1:11" ht="15.75" customHeight="1" x14ac:dyDescent="0.25">
      <c r="A21" s="5" t="s">
        <v>27</v>
      </c>
      <c r="B21" s="4">
        <v>45474</v>
      </c>
      <c r="C21" s="3" t="s">
        <v>135</v>
      </c>
      <c r="D21" s="44" t="str">
        <f t="shared" si="1"/>
        <v>Absent</v>
      </c>
      <c r="E21">
        <f t="shared" si="0"/>
        <v>0</v>
      </c>
    </row>
    <row r="22" spans="1:11" ht="15.75" customHeight="1" x14ac:dyDescent="0.25">
      <c r="A22" s="5" t="s">
        <v>51</v>
      </c>
      <c r="B22" s="4">
        <v>45474</v>
      </c>
      <c r="C22" s="3" t="s">
        <v>134</v>
      </c>
      <c r="D22" s="44" t="str">
        <f t="shared" si="1"/>
        <v>Present</v>
      </c>
      <c r="E22">
        <f t="shared" si="0"/>
        <v>1</v>
      </c>
    </row>
    <row r="23" spans="1:11" ht="15.75" customHeight="1" x14ac:dyDescent="0.25">
      <c r="A23" s="5" t="s">
        <v>53</v>
      </c>
      <c r="B23" s="4">
        <v>45474</v>
      </c>
      <c r="C23" s="3" t="s">
        <v>135</v>
      </c>
      <c r="D23" s="44" t="str">
        <f t="shared" si="1"/>
        <v>Absent</v>
      </c>
      <c r="E23">
        <f t="shared" si="0"/>
        <v>0</v>
      </c>
    </row>
    <row r="24" spans="1:11" ht="15.75" customHeight="1" x14ac:dyDescent="0.25">
      <c r="A24" s="5" t="s">
        <v>48</v>
      </c>
      <c r="B24" s="4">
        <v>45474</v>
      </c>
      <c r="C24" s="3" t="s">
        <v>134</v>
      </c>
      <c r="D24" s="44" t="str">
        <f t="shared" si="1"/>
        <v>Present</v>
      </c>
      <c r="E24">
        <f t="shared" si="0"/>
        <v>1</v>
      </c>
    </row>
    <row r="25" spans="1:11" ht="15.75" customHeight="1" x14ac:dyDescent="0.25">
      <c r="A25" s="5" t="s">
        <v>55</v>
      </c>
      <c r="B25" s="4">
        <v>45474</v>
      </c>
      <c r="C25" s="3" t="s">
        <v>135</v>
      </c>
      <c r="D25" s="44" t="str">
        <f t="shared" si="1"/>
        <v>Absent</v>
      </c>
      <c r="E25">
        <f t="shared" si="0"/>
        <v>0</v>
      </c>
    </row>
    <row r="26" spans="1:11" ht="15.75" customHeight="1" x14ac:dyDescent="0.25">
      <c r="A26" s="5" t="s">
        <v>30</v>
      </c>
      <c r="B26" s="4">
        <v>45474</v>
      </c>
      <c r="C26" s="3" t="s">
        <v>134</v>
      </c>
      <c r="D26" s="44" t="str">
        <f t="shared" si="1"/>
        <v>Present</v>
      </c>
      <c r="E26">
        <f t="shared" si="0"/>
        <v>1</v>
      </c>
    </row>
    <row r="27" spans="1:11" ht="15.75" customHeight="1" x14ac:dyDescent="0.25">
      <c r="A27" s="5" t="s">
        <v>56</v>
      </c>
      <c r="B27" s="4">
        <v>45474</v>
      </c>
      <c r="C27" s="3" t="s">
        <v>135</v>
      </c>
      <c r="D27" s="44" t="str">
        <f t="shared" si="1"/>
        <v>Absent</v>
      </c>
      <c r="E27">
        <f t="shared" si="0"/>
        <v>0</v>
      </c>
    </row>
    <row r="28" spans="1:11" ht="15.75" customHeight="1" x14ac:dyDescent="0.25">
      <c r="A28" s="5" t="s">
        <v>58</v>
      </c>
      <c r="B28" s="4">
        <v>45474</v>
      </c>
      <c r="C28" s="3" t="s">
        <v>134</v>
      </c>
      <c r="D28" s="44" t="str">
        <f t="shared" si="1"/>
        <v>Present</v>
      </c>
      <c r="E28">
        <f t="shared" si="0"/>
        <v>1</v>
      </c>
    </row>
    <row r="29" spans="1:11" ht="15.75" customHeight="1" x14ac:dyDescent="0.25">
      <c r="A29" s="5" t="s">
        <v>49</v>
      </c>
      <c r="B29" s="4">
        <v>45474</v>
      </c>
      <c r="C29" s="3" t="s">
        <v>135</v>
      </c>
      <c r="D29" s="44" t="str">
        <f t="shared" si="1"/>
        <v>Absent</v>
      </c>
      <c r="E29">
        <f t="shared" si="0"/>
        <v>0</v>
      </c>
    </row>
    <row r="30" spans="1:11" ht="15.75" customHeight="1" x14ac:dyDescent="0.25">
      <c r="A30" s="5" t="s">
        <v>59</v>
      </c>
      <c r="B30" s="4">
        <v>45474</v>
      </c>
      <c r="C30" s="3" t="s">
        <v>134</v>
      </c>
      <c r="D30" s="44" t="str">
        <f t="shared" si="1"/>
        <v>Present</v>
      </c>
      <c r="E30">
        <f t="shared" si="0"/>
        <v>1</v>
      </c>
    </row>
    <row r="31" spans="1:11" ht="15.75" customHeight="1" x14ac:dyDescent="0.25">
      <c r="A31" s="5" t="s">
        <v>32</v>
      </c>
      <c r="B31" s="4">
        <v>45474</v>
      </c>
      <c r="C31" s="3" t="s">
        <v>135</v>
      </c>
      <c r="D31" s="44" t="str">
        <f t="shared" si="1"/>
        <v>Absent</v>
      </c>
      <c r="E31">
        <f t="shared" si="0"/>
        <v>0</v>
      </c>
    </row>
    <row r="32" spans="1:11" ht="15.75" customHeight="1" x14ac:dyDescent="0.25">
      <c r="A32" s="5" t="s">
        <v>62</v>
      </c>
      <c r="B32" s="4">
        <v>45474</v>
      </c>
      <c r="C32" s="3" t="s">
        <v>134</v>
      </c>
      <c r="D32" s="44" t="str">
        <f t="shared" si="1"/>
        <v>Present</v>
      </c>
      <c r="E32">
        <f t="shared" si="0"/>
        <v>1</v>
      </c>
    </row>
    <row r="33" spans="1:5" ht="15.75" customHeight="1" x14ac:dyDescent="0.25">
      <c r="A33" s="5" t="s">
        <v>63</v>
      </c>
      <c r="B33" s="4">
        <v>45474</v>
      </c>
      <c r="C33" s="3" t="s">
        <v>135</v>
      </c>
      <c r="D33" s="44" t="str">
        <f t="shared" si="1"/>
        <v>Absent</v>
      </c>
      <c r="E33">
        <f t="shared" si="0"/>
        <v>0</v>
      </c>
    </row>
    <row r="34" spans="1:5" ht="15.75" customHeight="1" x14ac:dyDescent="0.25">
      <c r="A34" s="5" t="s">
        <v>42</v>
      </c>
      <c r="B34" s="4">
        <v>45474</v>
      </c>
      <c r="C34" s="3" t="s">
        <v>134</v>
      </c>
      <c r="D34" s="44" t="str">
        <f t="shared" si="1"/>
        <v>Present</v>
      </c>
      <c r="E34">
        <f t="shared" si="0"/>
        <v>1</v>
      </c>
    </row>
    <row r="35" spans="1:5" ht="15.75" customHeight="1" x14ac:dyDescent="0.25">
      <c r="A35" s="5" t="s">
        <v>60</v>
      </c>
      <c r="B35" s="4">
        <v>45474</v>
      </c>
      <c r="C35" s="3" t="s">
        <v>135</v>
      </c>
      <c r="D35" s="44" t="str">
        <f t="shared" si="1"/>
        <v>Absent</v>
      </c>
      <c r="E35">
        <f t="shared" si="0"/>
        <v>0</v>
      </c>
    </row>
    <row r="36" spans="1:5" ht="15.75" customHeight="1" x14ac:dyDescent="0.25">
      <c r="A36" s="5" t="s">
        <v>34</v>
      </c>
      <c r="B36" s="4">
        <v>45474</v>
      </c>
      <c r="C36" s="3" t="s">
        <v>134</v>
      </c>
      <c r="D36" s="44" t="str">
        <f t="shared" si="1"/>
        <v>Present</v>
      </c>
      <c r="E36">
        <f t="shared" si="0"/>
        <v>1</v>
      </c>
    </row>
    <row r="37" spans="1:5" ht="15.75" customHeight="1" x14ac:dyDescent="0.25">
      <c r="A37" s="5" t="s">
        <v>66</v>
      </c>
      <c r="B37" s="4">
        <v>45474</v>
      </c>
      <c r="C37" s="3" t="s">
        <v>135</v>
      </c>
      <c r="D37" s="44" t="str">
        <f t="shared" si="1"/>
        <v>Absent</v>
      </c>
      <c r="E37">
        <f t="shared" si="0"/>
        <v>0</v>
      </c>
    </row>
    <row r="38" spans="1:5" ht="15.75" customHeight="1" x14ac:dyDescent="0.25">
      <c r="A38" s="5" t="s">
        <v>67</v>
      </c>
      <c r="B38" s="4">
        <v>45474</v>
      </c>
      <c r="C38" s="3" t="s">
        <v>134</v>
      </c>
      <c r="D38" s="44" t="str">
        <f t="shared" si="1"/>
        <v>Present</v>
      </c>
      <c r="E38">
        <f t="shared" si="0"/>
        <v>1</v>
      </c>
    </row>
    <row r="39" spans="1:5" ht="15.75" customHeight="1" x14ac:dyDescent="0.25">
      <c r="A39" s="5" t="s">
        <v>50</v>
      </c>
      <c r="B39" s="4">
        <v>45474</v>
      </c>
      <c r="C39" s="3" t="s">
        <v>135</v>
      </c>
      <c r="D39" s="44" t="str">
        <f t="shared" si="1"/>
        <v>Absent</v>
      </c>
      <c r="E39">
        <f t="shared" si="0"/>
        <v>0</v>
      </c>
    </row>
    <row r="40" spans="1:5" ht="15.75" customHeight="1" x14ac:dyDescent="0.25">
      <c r="A40" s="5" t="s">
        <v>61</v>
      </c>
      <c r="B40" s="4">
        <v>45474</v>
      </c>
      <c r="C40" s="3" t="s">
        <v>134</v>
      </c>
      <c r="D40" s="44" t="str">
        <f t="shared" si="1"/>
        <v>Present</v>
      </c>
      <c r="E40">
        <f t="shared" si="0"/>
        <v>1</v>
      </c>
    </row>
    <row r="41" spans="1:5" ht="15.75" customHeight="1" x14ac:dyDescent="0.25">
      <c r="A41" s="5" t="s">
        <v>36</v>
      </c>
      <c r="B41" s="4">
        <v>45474</v>
      </c>
      <c r="C41" s="3" t="s">
        <v>135</v>
      </c>
      <c r="D41" s="44" t="str">
        <f t="shared" si="1"/>
        <v>Absent</v>
      </c>
      <c r="E41">
        <f t="shared" si="0"/>
        <v>0</v>
      </c>
    </row>
    <row r="42" spans="1:5" ht="15.75" customHeight="1" x14ac:dyDescent="0.25">
      <c r="A42" s="5" t="s">
        <v>68</v>
      </c>
      <c r="B42" s="4">
        <v>45474</v>
      </c>
      <c r="C42" s="3" t="s">
        <v>134</v>
      </c>
      <c r="D42" s="44" t="str">
        <f t="shared" si="1"/>
        <v>Present</v>
      </c>
      <c r="E42">
        <f t="shared" si="0"/>
        <v>1</v>
      </c>
    </row>
    <row r="43" spans="1:5" ht="15.75" customHeight="1" x14ac:dyDescent="0.25">
      <c r="A43" s="5" t="s">
        <v>57</v>
      </c>
      <c r="B43" s="4">
        <v>45474</v>
      </c>
      <c r="C43" s="3" t="s">
        <v>135</v>
      </c>
      <c r="D43" s="44" t="str">
        <f t="shared" si="1"/>
        <v>Absent</v>
      </c>
      <c r="E43">
        <f t="shared" si="0"/>
        <v>0</v>
      </c>
    </row>
    <row r="44" spans="1:5" ht="15.75" customHeight="1" x14ac:dyDescent="0.25">
      <c r="A44" s="5" t="s">
        <v>52</v>
      </c>
      <c r="B44" s="4">
        <v>45474</v>
      </c>
      <c r="C44" s="3" t="s">
        <v>134</v>
      </c>
      <c r="D44" s="44" t="str">
        <f t="shared" si="1"/>
        <v>Present</v>
      </c>
      <c r="E44">
        <f t="shared" si="0"/>
        <v>1</v>
      </c>
    </row>
    <row r="45" spans="1:5" ht="15.75" customHeight="1" x14ac:dyDescent="0.25">
      <c r="A45" s="5" t="s">
        <v>64</v>
      </c>
      <c r="B45" s="4">
        <v>45474</v>
      </c>
      <c r="C45" s="3" t="s">
        <v>135</v>
      </c>
      <c r="D45" s="44" t="str">
        <f t="shared" si="1"/>
        <v>Absent</v>
      </c>
      <c r="E45">
        <f t="shared" si="0"/>
        <v>0</v>
      </c>
    </row>
    <row r="46" spans="1:5" ht="15.75" customHeight="1" x14ac:dyDescent="0.25">
      <c r="A46" s="5" t="s">
        <v>39</v>
      </c>
      <c r="B46" s="4">
        <v>45474</v>
      </c>
      <c r="C46" s="3" t="s">
        <v>134</v>
      </c>
      <c r="D46" s="44" t="str">
        <f t="shared" si="1"/>
        <v>Present</v>
      </c>
      <c r="E46">
        <f t="shared" si="0"/>
        <v>1</v>
      </c>
    </row>
    <row r="47" spans="1:5" ht="15.75" customHeight="1" x14ac:dyDescent="0.25">
      <c r="A47" s="5" t="s">
        <v>69</v>
      </c>
      <c r="B47" s="4">
        <v>45474</v>
      </c>
      <c r="C47" s="3" t="s">
        <v>135</v>
      </c>
      <c r="D47" s="44" t="str">
        <f t="shared" si="1"/>
        <v>Absent</v>
      </c>
      <c r="E47">
        <f t="shared" si="0"/>
        <v>0</v>
      </c>
    </row>
    <row r="48" spans="1:5" ht="15.75" customHeight="1" x14ac:dyDescent="0.25">
      <c r="A48" s="5" t="s">
        <v>70</v>
      </c>
      <c r="B48" s="4">
        <v>45474</v>
      </c>
      <c r="C48" s="3" t="s">
        <v>134</v>
      </c>
      <c r="D48" s="44" t="str">
        <f t="shared" si="1"/>
        <v>Present</v>
      </c>
      <c r="E48">
        <f t="shared" si="0"/>
        <v>1</v>
      </c>
    </row>
    <row r="49" spans="1:5" ht="15.75" customHeight="1" x14ac:dyDescent="0.25">
      <c r="A49" s="5" t="s">
        <v>54</v>
      </c>
      <c r="B49" s="4">
        <v>45474</v>
      </c>
      <c r="C49" s="3" t="s">
        <v>135</v>
      </c>
      <c r="D49" s="44" t="str">
        <f t="shared" si="1"/>
        <v>Absent</v>
      </c>
      <c r="E49">
        <f t="shared" si="0"/>
        <v>0</v>
      </c>
    </row>
    <row r="50" spans="1:5" ht="15.75" customHeight="1" x14ac:dyDescent="0.25">
      <c r="A50" s="5" t="s">
        <v>65</v>
      </c>
      <c r="B50" s="4">
        <v>45474</v>
      </c>
      <c r="C50" s="3" t="s">
        <v>134</v>
      </c>
      <c r="D50" s="44" t="str">
        <f t="shared" si="1"/>
        <v>Present</v>
      </c>
      <c r="E50">
        <f t="shared" si="0"/>
        <v>1</v>
      </c>
    </row>
    <row r="51" spans="1:5" ht="15.75" customHeight="1" x14ac:dyDescent="0.25">
      <c r="A51" s="5" t="s">
        <v>41</v>
      </c>
      <c r="B51" s="4">
        <v>45474</v>
      </c>
      <c r="C51" s="3" t="s">
        <v>135</v>
      </c>
      <c r="D51" s="44" t="str">
        <f t="shared" si="1"/>
        <v>Absent</v>
      </c>
      <c r="E51">
        <f t="shared" si="0"/>
        <v>0</v>
      </c>
    </row>
    <row r="52" spans="1:5" ht="15.75" customHeight="1" x14ac:dyDescent="0.25">
      <c r="A52" s="5" t="s">
        <v>7</v>
      </c>
      <c r="B52" s="4">
        <v>45475</v>
      </c>
      <c r="C52" s="49" t="s">
        <v>135</v>
      </c>
      <c r="D52" s="44" t="str">
        <f t="shared" si="1"/>
        <v>Absent</v>
      </c>
      <c r="E52">
        <f t="shared" si="0"/>
        <v>0</v>
      </c>
    </row>
    <row r="53" spans="1:5" ht="15.75" customHeight="1" x14ac:dyDescent="0.25">
      <c r="A53" s="5" t="s">
        <v>10</v>
      </c>
      <c r="B53" s="4">
        <v>45475</v>
      </c>
      <c r="C53" s="49" t="s">
        <v>134</v>
      </c>
      <c r="D53" s="44" t="str">
        <f t="shared" si="1"/>
        <v>Present</v>
      </c>
      <c r="E53">
        <f t="shared" si="0"/>
        <v>1</v>
      </c>
    </row>
    <row r="54" spans="1:5" ht="15.75" customHeight="1" x14ac:dyDescent="0.25">
      <c r="A54" s="5" t="s">
        <v>11</v>
      </c>
      <c r="B54" s="4">
        <v>45475</v>
      </c>
      <c r="C54" s="49" t="s">
        <v>135</v>
      </c>
      <c r="D54" s="44" t="str">
        <f t="shared" si="1"/>
        <v>Absent</v>
      </c>
      <c r="E54">
        <f t="shared" si="0"/>
        <v>0</v>
      </c>
    </row>
    <row r="55" spans="1:5" ht="15.75" customHeight="1" x14ac:dyDescent="0.25">
      <c r="A55" s="5" t="s">
        <v>13</v>
      </c>
      <c r="B55" s="4">
        <v>45475</v>
      </c>
      <c r="C55" s="49" t="s">
        <v>135</v>
      </c>
      <c r="D55" s="44" t="str">
        <f t="shared" si="1"/>
        <v>Absent</v>
      </c>
      <c r="E55">
        <f t="shared" si="0"/>
        <v>0</v>
      </c>
    </row>
    <row r="56" spans="1:5" ht="15.75" customHeight="1" x14ac:dyDescent="0.25">
      <c r="A56" s="5" t="s">
        <v>18</v>
      </c>
      <c r="B56" s="4">
        <v>45475</v>
      </c>
      <c r="C56" s="49" t="s">
        <v>135</v>
      </c>
      <c r="D56" s="44" t="str">
        <f t="shared" si="1"/>
        <v>Absent</v>
      </c>
      <c r="E56">
        <f t="shared" si="0"/>
        <v>0</v>
      </c>
    </row>
    <row r="57" spans="1:5" ht="15.75" customHeight="1" x14ac:dyDescent="0.25">
      <c r="A57" s="5" t="s">
        <v>20</v>
      </c>
      <c r="B57" s="4">
        <v>45475</v>
      </c>
      <c r="C57" s="49" t="s">
        <v>135</v>
      </c>
      <c r="D57" s="44" t="str">
        <f t="shared" si="1"/>
        <v>Absent</v>
      </c>
      <c r="E57">
        <f t="shared" si="0"/>
        <v>0</v>
      </c>
    </row>
    <row r="58" spans="1:5" ht="15.75" customHeight="1" x14ac:dyDescent="0.25">
      <c r="A58" s="5" t="s">
        <v>23</v>
      </c>
      <c r="B58" s="4">
        <v>45475</v>
      </c>
      <c r="C58" s="49" t="s">
        <v>135</v>
      </c>
      <c r="D58" s="44" t="str">
        <f t="shared" si="1"/>
        <v>Absent</v>
      </c>
      <c r="E58">
        <f t="shared" si="0"/>
        <v>0</v>
      </c>
    </row>
    <row r="59" spans="1:5" ht="15.75" customHeight="1" x14ac:dyDescent="0.25">
      <c r="A59" s="5" t="s">
        <v>26</v>
      </c>
      <c r="B59" s="4">
        <v>45475</v>
      </c>
      <c r="C59" s="49" t="s">
        <v>134</v>
      </c>
      <c r="D59" s="44" t="str">
        <f t="shared" si="1"/>
        <v>Present</v>
      </c>
      <c r="E59">
        <f t="shared" si="0"/>
        <v>1</v>
      </c>
    </row>
    <row r="60" spans="1:5" ht="15.75" customHeight="1" x14ac:dyDescent="0.25">
      <c r="A60" s="5" t="s">
        <v>29</v>
      </c>
      <c r="B60" s="4">
        <v>45475</v>
      </c>
      <c r="C60" s="49" t="s">
        <v>134</v>
      </c>
      <c r="D60" s="44" t="str">
        <f t="shared" si="1"/>
        <v>Present</v>
      </c>
      <c r="E60">
        <f t="shared" si="0"/>
        <v>1</v>
      </c>
    </row>
    <row r="61" spans="1:5" ht="15.75" customHeight="1" x14ac:dyDescent="0.25">
      <c r="A61" s="5" t="s">
        <v>21</v>
      </c>
      <c r="B61" s="4">
        <v>45475</v>
      </c>
      <c r="C61" s="49" t="s">
        <v>134</v>
      </c>
      <c r="D61" s="44" t="str">
        <f t="shared" si="1"/>
        <v>Present</v>
      </c>
      <c r="E61">
        <f t="shared" si="0"/>
        <v>1</v>
      </c>
    </row>
    <row r="62" spans="1:5" ht="15.75" customHeight="1" x14ac:dyDescent="0.25">
      <c r="A62" s="5" t="s">
        <v>33</v>
      </c>
      <c r="B62" s="4">
        <v>45475</v>
      </c>
      <c r="C62" s="49" t="s">
        <v>135</v>
      </c>
      <c r="D62" s="44" t="str">
        <f t="shared" si="1"/>
        <v>Absent</v>
      </c>
      <c r="E62">
        <f t="shared" si="0"/>
        <v>0</v>
      </c>
    </row>
    <row r="63" spans="1:5" ht="15.75" customHeight="1" x14ac:dyDescent="0.25">
      <c r="A63" s="5" t="s">
        <v>35</v>
      </c>
      <c r="B63" s="4">
        <v>45475</v>
      </c>
      <c r="C63" s="49" t="s">
        <v>135</v>
      </c>
      <c r="D63" s="44" t="str">
        <f t="shared" si="1"/>
        <v>Absent</v>
      </c>
      <c r="E63">
        <f t="shared" si="0"/>
        <v>0</v>
      </c>
    </row>
    <row r="64" spans="1:5" ht="15.75" customHeight="1" x14ac:dyDescent="0.25">
      <c r="A64" s="5" t="s">
        <v>38</v>
      </c>
      <c r="B64" s="4">
        <v>45475</v>
      </c>
      <c r="C64" s="49" t="s">
        <v>134</v>
      </c>
      <c r="D64" s="44" t="str">
        <f t="shared" si="1"/>
        <v>Present</v>
      </c>
      <c r="E64">
        <f t="shared" si="0"/>
        <v>1</v>
      </c>
    </row>
    <row r="65" spans="1:5" ht="15.75" customHeight="1" x14ac:dyDescent="0.25">
      <c r="A65" s="5" t="s">
        <v>40</v>
      </c>
      <c r="B65" s="4">
        <v>45475</v>
      </c>
      <c r="C65" s="49" t="s">
        <v>134</v>
      </c>
      <c r="D65" s="44" t="str">
        <f t="shared" si="1"/>
        <v>Present</v>
      </c>
      <c r="E65">
        <f t="shared" si="0"/>
        <v>1</v>
      </c>
    </row>
    <row r="66" spans="1:5" ht="15.75" customHeight="1" x14ac:dyDescent="0.25">
      <c r="A66" s="5" t="s">
        <v>24</v>
      </c>
      <c r="B66" s="4">
        <v>45475</v>
      </c>
      <c r="C66" s="49" t="s">
        <v>134</v>
      </c>
      <c r="D66" s="44" t="str">
        <f t="shared" si="1"/>
        <v>Present</v>
      </c>
      <c r="E66">
        <f t="shared" ref="E66:E129" si="2">IF(D66="Present",1,0)</f>
        <v>1</v>
      </c>
    </row>
    <row r="67" spans="1:5" ht="15.75" customHeight="1" x14ac:dyDescent="0.25">
      <c r="A67" s="5" t="s">
        <v>43</v>
      </c>
      <c r="B67" s="4">
        <v>45475</v>
      </c>
      <c r="C67" s="49" t="s">
        <v>135</v>
      </c>
      <c r="D67" s="44" t="str">
        <f t="shared" ref="D67:D130" si="3">IF(C67="Yes","Present","Absent")</f>
        <v>Absent</v>
      </c>
      <c r="E67">
        <f t="shared" si="2"/>
        <v>0</v>
      </c>
    </row>
    <row r="68" spans="1:5" ht="15.75" customHeight="1" x14ac:dyDescent="0.25">
      <c r="A68" s="5" t="s">
        <v>44</v>
      </c>
      <c r="B68" s="4">
        <v>45475</v>
      </c>
      <c r="C68" s="49" t="s">
        <v>135</v>
      </c>
      <c r="D68" s="44" t="str">
        <f t="shared" si="3"/>
        <v>Absent</v>
      </c>
      <c r="E68">
        <f t="shared" si="2"/>
        <v>0</v>
      </c>
    </row>
    <row r="69" spans="1:5" ht="15.75" customHeight="1" x14ac:dyDescent="0.25">
      <c r="A69" s="5" t="s">
        <v>45</v>
      </c>
      <c r="B69" s="4">
        <v>45475</v>
      </c>
      <c r="C69" s="49" t="s">
        <v>134</v>
      </c>
      <c r="D69" s="44" t="str">
        <f t="shared" si="3"/>
        <v>Present</v>
      </c>
      <c r="E69">
        <f t="shared" si="2"/>
        <v>1</v>
      </c>
    </row>
    <row r="70" spans="1:5" ht="15.75" customHeight="1" x14ac:dyDescent="0.25">
      <c r="A70" s="5" t="s">
        <v>47</v>
      </c>
      <c r="B70" s="4">
        <v>45475</v>
      </c>
      <c r="C70" s="49" t="s">
        <v>134</v>
      </c>
      <c r="D70" s="44" t="str">
        <f t="shared" si="3"/>
        <v>Present</v>
      </c>
      <c r="E70">
        <f t="shared" si="2"/>
        <v>1</v>
      </c>
    </row>
    <row r="71" spans="1:5" ht="15.75" customHeight="1" x14ac:dyDescent="0.25">
      <c r="A71" s="5" t="s">
        <v>27</v>
      </c>
      <c r="B71" s="4">
        <v>45475</v>
      </c>
      <c r="C71" s="49" t="s">
        <v>135</v>
      </c>
      <c r="D71" s="44" t="str">
        <f t="shared" si="3"/>
        <v>Absent</v>
      </c>
      <c r="E71">
        <f t="shared" si="2"/>
        <v>0</v>
      </c>
    </row>
    <row r="72" spans="1:5" ht="15.75" customHeight="1" x14ac:dyDescent="0.25">
      <c r="A72" s="5" t="s">
        <v>51</v>
      </c>
      <c r="B72" s="4">
        <v>45475</v>
      </c>
      <c r="C72" s="49" t="s">
        <v>135</v>
      </c>
      <c r="D72" s="44" t="str">
        <f t="shared" si="3"/>
        <v>Absent</v>
      </c>
      <c r="E72">
        <f t="shared" si="2"/>
        <v>0</v>
      </c>
    </row>
    <row r="73" spans="1:5" ht="15.75" customHeight="1" x14ac:dyDescent="0.25">
      <c r="A73" s="5" t="s">
        <v>53</v>
      </c>
      <c r="B73" s="4">
        <v>45475</v>
      </c>
      <c r="C73" s="49" t="s">
        <v>134</v>
      </c>
      <c r="D73" s="44" t="str">
        <f t="shared" si="3"/>
        <v>Present</v>
      </c>
      <c r="E73">
        <f t="shared" si="2"/>
        <v>1</v>
      </c>
    </row>
    <row r="74" spans="1:5" ht="15.75" customHeight="1" x14ac:dyDescent="0.25">
      <c r="A74" s="5" t="s">
        <v>48</v>
      </c>
      <c r="B74" s="4">
        <v>45475</v>
      </c>
      <c r="C74" s="49" t="s">
        <v>134</v>
      </c>
      <c r="D74" s="44" t="str">
        <f t="shared" si="3"/>
        <v>Present</v>
      </c>
      <c r="E74">
        <f t="shared" si="2"/>
        <v>1</v>
      </c>
    </row>
    <row r="75" spans="1:5" ht="15.75" customHeight="1" x14ac:dyDescent="0.25">
      <c r="A75" s="5" t="s">
        <v>55</v>
      </c>
      <c r="B75" s="4">
        <v>45475</v>
      </c>
      <c r="C75" s="49" t="s">
        <v>134</v>
      </c>
      <c r="D75" s="44" t="str">
        <f t="shared" si="3"/>
        <v>Present</v>
      </c>
      <c r="E75">
        <f t="shared" si="2"/>
        <v>1</v>
      </c>
    </row>
    <row r="76" spans="1:5" ht="15.75" customHeight="1" x14ac:dyDescent="0.25">
      <c r="A76" s="5" t="s">
        <v>30</v>
      </c>
      <c r="B76" s="4">
        <v>45475</v>
      </c>
      <c r="C76" s="49" t="s">
        <v>135</v>
      </c>
      <c r="D76" s="44" t="str">
        <f t="shared" si="3"/>
        <v>Absent</v>
      </c>
      <c r="E76">
        <f t="shared" si="2"/>
        <v>0</v>
      </c>
    </row>
    <row r="77" spans="1:5" ht="15.75" customHeight="1" x14ac:dyDescent="0.25">
      <c r="A77" s="5" t="s">
        <v>56</v>
      </c>
      <c r="B77" s="4">
        <v>45475</v>
      </c>
      <c r="C77" s="49" t="s">
        <v>134</v>
      </c>
      <c r="D77" s="44" t="str">
        <f t="shared" si="3"/>
        <v>Present</v>
      </c>
      <c r="E77">
        <f t="shared" si="2"/>
        <v>1</v>
      </c>
    </row>
    <row r="78" spans="1:5" ht="15.75" customHeight="1" x14ac:dyDescent="0.25">
      <c r="A78" s="5" t="s">
        <v>58</v>
      </c>
      <c r="B78" s="4">
        <v>45475</v>
      </c>
      <c r="C78" s="49" t="s">
        <v>134</v>
      </c>
      <c r="D78" s="44" t="str">
        <f t="shared" si="3"/>
        <v>Present</v>
      </c>
      <c r="E78">
        <f t="shared" si="2"/>
        <v>1</v>
      </c>
    </row>
    <row r="79" spans="1:5" ht="15.75" customHeight="1" x14ac:dyDescent="0.25">
      <c r="A79" s="5" t="s">
        <v>49</v>
      </c>
      <c r="B79" s="4">
        <v>45475</v>
      </c>
      <c r="C79" s="49" t="s">
        <v>135</v>
      </c>
      <c r="D79" s="44" t="str">
        <f t="shared" si="3"/>
        <v>Absent</v>
      </c>
      <c r="E79">
        <f t="shared" si="2"/>
        <v>0</v>
      </c>
    </row>
    <row r="80" spans="1:5" ht="15.75" customHeight="1" x14ac:dyDescent="0.25">
      <c r="A80" s="5" t="s">
        <v>59</v>
      </c>
      <c r="B80" s="4">
        <v>45475</v>
      </c>
      <c r="C80" s="49" t="s">
        <v>135</v>
      </c>
      <c r="D80" s="44" t="str">
        <f t="shared" si="3"/>
        <v>Absent</v>
      </c>
      <c r="E80">
        <f t="shared" si="2"/>
        <v>0</v>
      </c>
    </row>
    <row r="81" spans="1:5" ht="15.75" customHeight="1" x14ac:dyDescent="0.25">
      <c r="A81" s="5" t="s">
        <v>32</v>
      </c>
      <c r="B81" s="4">
        <v>45475</v>
      </c>
      <c r="C81" s="49" t="s">
        <v>134</v>
      </c>
      <c r="D81" s="44" t="str">
        <f t="shared" si="3"/>
        <v>Present</v>
      </c>
      <c r="E81">
        <f t="shared" si="2"/>
        <v>1</v>
      </c>
    </row>
    <row r="82" spans="1:5" ht="15.75" customHeight="1" x14ac:dyDescent="0.25">
      <c r="A82" s="5" t="s">
        <v>62</v>
      </c>
      <c r="B82" s="4">
        <v>45475</v>
      </c>
      <c r="C82" s="49" t="s">
        <v>135</v>
      </c>
      <c r="D82" s="44" t="str">
        <f t="shared" si="3"/>
        <v>Absent</v>
      </c>
      <c r="E82">
        <f t="shared" si="2"/>
        <v>0</v>
      </c>
    </row>
    <row r="83" spans="1:5" ht="15.75" customHeight="1" x14ac:dyDescent="0.25">
      <c r="A83" s="5" t="s">
        <v>63</v>
      </c>
      <c r="B83" s="4">
        <v>45475</v>
      </c>
      <c r="C83" s="49" t="s">
        <v>135</v>
      </c>
      <c r="D83" s="44" t="str">
        <f t="shared" si="3"/>
        <v>Absent</v>
      </c>
      <c r="E83">
        <f t="shared" si="2"/>
        <v>0</v>
      </c>
    </row>
    <row r="84" spans="1:5" ht="15.75" customHeight="1" x14ac:dyDescent="0.25">
      <c r="A84" s="5" t="s">
        <v>42</v>
      </c>
      <c r="B84" s="4">
        <v>45475</v>
      </c>
      <c r="C84" s="49" t="s">
        <v>134</v>
      </c>
      <c r="D84" s="44" t="str">
        <f t="shared" si="3"/>
        <v>Present</v>
      </c>
      <c r="E84">
        <f t="shared" si="2"/>
        <v>1</v>
      </c>
    </row>
    <row r="85" spans="1:5" ht="15.75" customHeight="1" x14ac:dyDescent="0.25">
      <c r="A85" s="5" t="s">
        <v>60</v>
      </c>
      <c r="B85" s="4">
        <v>45475</v>
      </c>
      <c r="C85" s="49" t="s">
        <v>135</v>
      </c>
      <c r="D85" s="44" t="str">
        <f t="shared" si="3"/>
        <v>Absent</v>
      </c>
      <c r="E85">
        <f t="shared" si="2"/>
        <v>0</v>
      </c>
    </row>
    <row r="86" spans="1:5" ht="15.75" customHeight="1" x14ac:dyDescent="0.25">
      <c r="A86" s="5" t="s">
        <v>34</v>
      </c>
      <c r="B86" s="4">
        <v>45475</v>
      </c>
      <c r="C86" s="49" t="s">
        <v>134</v>
      </c>
      <c r="D86" s="44" t="str">
        <f t="shared" si="3"/>
        <v>Present</v>
      </c>
      <c r="E86">
        <f t="shared" si="2"/>
        <v>1</v>
      </c>
    </row>
    <row r="87" spans="1:5" ht="15.75" customHeight="1" x14ac:dyDescent="0.25">
      <c r="A87" s="5" t="s">
        <v>66</v>
      </c>
      <c r="B87" s="4">
        <v>45475</v>
      </c>
      <c r="C87" s="49" t="s">
        <v>134</v>
      </c>
      <c r="D87" s="44" t="str">
        <f t="shared" si="3"/>
        <v>Present</v>
      </c>
      <c r="E87">
        <f t="shared" si="2"/>
        <v>1</v>
      </c>
    </row>
    <row r="88" spans="1:5" ht="15.75" customHeight="1" x14ac:dyDescent="0.25">
      <c r="A88" s="5" t="s">
        <v>67</v>
      </c>
      <c r="B88" s="4">
        <v>45475</v>
      </c>
      <c r="C88" s="49" t="s">
        <v>134</v>
      </c>
      <c r="D88" s="44" t="str">
        <f t="shared" si="3"/>
        <v>Present</v>
      </c>
      <c r="E88">
        <f t="shared" si="2"/>
        <v>1</v>
      </c>
    </row>
    <row r="89" spans="1:5" ht="15.75" customHeight="1" x14ac:dyDescent="0.25">
      <c r="A89" s="5" t="s">
        <v>50</v>
      </c>
      <c r="B89" s="4">
        <v>45475</v>
      </c>
      <c r="C89" s="49" t="s">
        <v>134</v>
      </c>
      <c r="D89" s="44" t="str">
        <f t="shared" si="3"/>
        <v>Present</v>
      </c>
      <c r="E89">
        <f t="shared" si="2"/>
        <v>1</v>
      </c>
    </row>
    <row r="90" spans="1:5" ht="15.75" customHeight="1" x14ac:dyDescent="0.25">
      <c r="A90" s="5" t="s">
        <v>61</v>
      </c>
      <c r="B90" s="4">
        <v>45475</v>
      </c>
      <c r="C90" s="49" t="s">
        <v>134</v>
      </c>
      <c r="D90" s="44" t="str">
        <f t="shared" si="3"/>
        <v>Present</v>
      </c>
      <c r="E90">
        <f t="shared" si="2"/>
        <v>1</v>
      </c>
    </row>
    <row r="91" spans="1:5" ht="15.75" customHeight="1" x14ac:dyDescent="0.25">
      <c r="A91" s="5" t="s">
        <v>36</v>
      </c>
      <c r="B91" s="4">
        <v>45475</v>
      </c>
      <c r="C91" s="49" t="s">
        <v>135</v>
      </c>
      <c r="D91" s="44" t="str">
        <f t="shared" si="3"/>
        <v>Absent</v>
      </c>
      <c r="E91">
        <f t="shared" si="2"/>
        <v>0</v>
      </c>
    </row>
    <row r="92" spans="1:5" ht="15.75" customHeight="1" x14ac:dyDescent="0.25">
      <c r="A92" s="5" t="s">
        <v>68</v>
      </c>
      <c r="B92" s="4">
        <v>45475</v>
      </c>
      <c r="C92" s="49" t="s">
        <v>135</v>
      </c>
      <c r="D92" s="44" t="str">
        <f t="shared" si="3"/>
        <v>Absent</v>
      </c>
      <c r="E92">
        <f t="shared" si="2"/>
        <v>0</v>
      </c>
    </row>
    <row r="93" spans="1:5" ht="15.75" customHeight="1" x14ac:dyDescent="0.25">
      <c r="A93" s="5" t="s">
        <v>57</v>
      </c>
      <c r="B93" s="4">
        <v>45475</v>
      </c>
      <c r="C93" s="49" t="s">
        <v>135</v>
      </c>
      <c r="D93" s="44" t="str">
        <f t="shared" si="3"/>
        <v>Absent</v>
      </c>
      <c r="E93">
        <f t="shared" si="2"/>
        <v>0</v>
      </c>
    </row>
    <row r="94" spans="1:5" ht="15.75" customHeight="1" x14ac:dyDescent="0.25">
      <c r="A94" s="5" t="s">
        <v>52</v>
      </c>
      <c r="B94" s="4">
        <v>45475</v>
      </c>
      <c r="C94" s="49" t="s">
        <v>134</v>
      </c>
      <c r="D94" s="44" t="str">
        <f t="shared" si="3"/>
        <v>Present</v>
      </c>
      <c r="E94">
        <f t="shared" si="2"/>
        <v>1</v>
      </c>
    </row>
    <row r="95" spans="1:5" ht="15.75" customHeight="1" x14ac:dyDescent="0.25">
      <c r="A95" s="5" t="s">
        <v>64</v>
      </c>
      <c r="B95" s="4">
        <v>45475</v>
      </c>
      <c r="C95" s="49" t="s">
        <v>134</v>
      </c>
      <c r="D95" s="44" t="str">
        <f t="shared" si="3"/>
        <v>Present</v>
      </c>
      <c r="E95">
        <f t="shared" si="2"/>
        <v>1</v>
      </c>
    </row>
    <row r="96" spans="1:5" ht="15.75" customHeight="1" x14ac:dyDescent="0.25">
      <c r="A96" s="5" t="s">
        <v>39</v>
      </c>
      <c r="B96" s="4">
        <v>45475</v>
      </c>
      <c r="C96" s="49" t="s">
        <v>135</v>
      </c>
      <c r="D96" s="44" t="str">
        <f t="shared" si="3"/>
        <v>Absent</v>
      </c>
      <c r="E96">
        <f t="shared" si="2"/>
        <v>0</v>
      </c>
    </row>
    <row r="97" spans="1:5" ht="15.75" customHeight="1" x14ac:dyDescent="0.25">
      <c r="A97" s="5" t="s">
        <v>69</v>
      </c>
      <c r="B97" s="4">
        <v>45475</v>
      </c>
      <c r="C97" s="49" t="s">
        <v>134</v>
      </c>
      <c r="D97" s="44" t="str">
        <f t="shared" si="3"/>
        <v>Present</v>
      </c>
      <c r="E97">
        <f t="shared" si="2"/>
        <v>1</v>
      </c>
    </row>
    <row r="98" spans="1:5" ht="15.75" customHeight="1" x14ac:dyDescent="0.25">
      <c r="A98" s="5" t="s">
        <v>70</v>
      </c>
      <c r="B98" s="4">
        <v>45475</v>
      </c>
      <c r="C98" s="49" t="s">
        <v>134</v>
      </c>
      <c r="D98" s="44" t="str">
        <f t="shared" si="3"/>
        <v>Present</v>
      </c>
      <c r="E98">
        <f t="shared" si="2"/>
        <v>1</v>
      </c>
    </row>
    <row r="99" spans="1:5" ht="15.75" customHeight="1" x14ac:dyDescent="0.25">
      <c r="A99" s="5" t="s">
        <v>54</v>
      </c>
      <c r="B99" s="4">
        <v>45475</v>
      </c>
      <c r="C99" s="49" t="s">
        <v>135</v>
      </c>
      <c r="D99" s="44" t="str">
        <f t="shared" si="3"/>
        <v>Absent</v>
      </c>
      <c r="E99">
        <f t="shared" si="2"/>
        <v>0</v>
      </c>
    </row>
    <row r="100" spans="1:5" ht="15.75" customHeight="1" x14ac:dyDescent="0.25">
      <c r="A100" s="5" t="s">
        <v>65</v>
      </c>
      <c r="B100" s="4">
        <v>45475</v>
      </c>
      <c r="C100" s="49" t="s">
        <v>135</v>
      </c>
      <c r="D100" s="44" t="str">
        <f t="shared" si="3"/>
        <v>Absent</v>
      </c>
      <c r="E100">
        <f t="shared" si="2"/>
        <v>0</v>
      </c>
    </row>
    <row r="101" spans="1:5" ht="15.75" customHeight="1" x14ac:dyDescent="0.25">
      <c r="A101" s="5" t="s">
        <v>41</v>
      </c>
      <c r="B101" s="4">
        <v>45475</v>
      </c>
      <c r="C101" s="49" t="s">
        <v>135</v>
      </c>
      <c r="D101" s="44" t="str">
        <f t="shared" si="3"/>
        <v>Absent</v>
      </c>
      <c r="E101">
        <f t="shared" si="2"/>
        <v>0</v>
      </c>
    </row>
    <row r="102" spans="1:5" ht="15.75" customHeight="1" x14ac:dyDescent="0.25">
      <c r="A102" s="5" t="s">
        <v>7</v>
      </c>
      <c r="B102" s="4">
        <v>45476</v>
      </c>
      <c r="C102" s="49" t="s">
        <v>135</v>
      </c>
      <c r="D102" s="44" t="str">
        <f t="shared" si="3"/>
        <v>Absent</v>
      </c>
      <c r="E102">
        <f t="shared" si="2"/>
        <v>0</v>
      </c>
    </row>
    <row r="103" spans="1:5" ht="15.75" customHeight="1" x14ac:dyDescent="0.25">
      <c r="A103" s="5" t="s">
        <v>10</v>
      </c>
      <c r="B103" s="4">
        <v>45476</v>
      </c>
      <c r="C103" s="49" t="s">
        <v>134</v>
      </c>
      <c r="D103" s="44" t="str">
        <f t="shared" si="3"/>
        <v>Present</v>
      </c>
      <c r="E103">
        <f t="shared" si="2"/>
        <v>1</v>
      </c>
    </row>
    <row r="104" spans="1:5" ht="15.75" customHeight="1" x14ac:dyDescent="0.25">
      <c r="A104" s="5" t="s">
        <v>11</v>
      </c>
      <c r="B104" s="4">
        <v>45476</v>
      </c>
      <c r="C104" s="49" t="s">
        <v>134</v>
      </c>
      <c r="D104" s="44" t="str">
        <f t="shared" si="3"/>
        <v>Present</v>
      </c>
      <c r="E104">
        <f t="shared" si="2"/>
        <v>1</v>
      </c>
    </row>
    <row r="105" spans="1:5" ht="15.75" customHeight="1" x14ac:dyDescent="0.25">
      <c r="A105" s="5" t="s">
        <v>13</v>
      </c>
      <c r="B105" s="4">
        <v>45476</v>
      </c>
      <c r="C105" s="49" t="s">
        <v>134</v>
      </c>
      <c r="D105" s="44" t="str">
        <f t="shared" si="3"/>
        <v>Present</v>
      </c>
      <c r="E105">
        <f t="shared" si="2"/>
        <v>1</v>
      </c>
    </row>
    <row r="106" spans="1:5" ht="15.75" customHeight="1" x14ac:dyDescent="0.25">
      <c r="A106" s="5" t="s">
        <v>18</v>
      </c>
      <c r="B106" s="4">
        <v>45476</v>
      </c>
      <c r="C106" s="49" t="s">
        <v>134</v>
      </c>
      <c r="D106" s="44" t="str">
        <f t="shared" si="3"/>
        <v>Present</v>
      </c>
      <c r="E106">
        <f t="shared" si="2"/>
        <v>1</v>
      </c>
    </row>
    <row r="107" spans="1:5" ht="15.75" customHeight="1" x14ac:dyDescent="0.25">
      <c r="A107" s="5" t="s">
        <v>20</v>
      </c>
      <c r="B107" s="4">
        <v>45476</v>
      </c>
      <c r="C107" s="49" t="s">
        <v>134</v>
      </c>
      <c r="D107" s="44" t="str">
        <f t="shared" si="3"/>
        <v>Present</v>
      </c>
      <c r="E107">
        <f t="shared" si="2"/>
        <v>1</v>
      </c>
    </row>
    <row r="108" spans="1:5" ht="15.75" customHeight="1" x14ac:dyDescent="0.25">
      <c r="A108" s="5" t="s">
        <v>23</v>
      </c>
      <c r="B108" s="4">
        <v>45476</v>
      </c>
      <c r="C108" s="49" t="s">
        <v>134</v>
      </c>
      <c r="D108" s="44" t="str">
        <f t="shared" si="3"/>
        <v>Present</v>
      </c>
      <c r="E108">
        <f t="shared" si="2"/>
        <v>1</v>
      </c>
    </row>
    <row r="109" spans="1:5" ht="15.75" customHeight="1" x14ac:dyDescent="0.25">
      <c r="A109" s="5" t="s">
        <v>26</v>
      </c>
      <c r="B109" s="4">
        <v>45476</v>
      </c>
      <c r="C109" s="49" t="s">
        <v>134</v>
      </c>
      <c r="D109" s="44" t="str">
        <f t="shared" si="3"/>
        <v>Present</v>
      </c>
      <c r="E109">
        <f t="shared" si="2"/>
        <v>1</v>
      </c>
    </row>
    <row r="110" spans="1:5" ht="15.75" customHeight="1" x14ac:dyDescent="0.25">
      <c r="A110" s="5" t="s">
        <v>29</v>
      </c>
      <c r="B110" s="4">
        <v>45476</v>
      </c>
      <c r="C110" s="49" t="s">
        <v>134</v>
      </c>
      <c r="D110" s="44" t="str">
        <f t="shared" si="3"/>
        <v>Present</v>
      </c>
      <c r="E110">
        <f t="shared" si="2"/>
        <v>1</v>
      </c>
    </row>
    <row r="111" spans="1:5" ht="15.75" customHeight="1" x14ac:dyDescent="0.25">
      <c r="A111" s="5" t="s">
        <v>21</v>
      </c>
      <c r="B111" s="4">
        <v>45476</v>
      </c>
      <c r="C111" s="49" t="s">
        <v>134</v>
      </c>
      <c r="D111" s="44" t="str">
        <f t="shared" si="3"/>
        <v>Present</v>
      </c>
      <c r="E111">
        <f t="shared" si="2"/>
        <v>1</v>
      </c>
    </row>
    <row r="112" spans="1:5" ht="15.75" customHeight="1" x14ac:dyDescent="0.25">
      <c r="A112" s="5" t="s">
        <v>33</v>
      </c>
      <c r="B112" s="4">
        <v>45476</v>
      </c>
      <c r="C112" s="49" t="s">
        <v>134</v>
      </c>
      <c r="D112" s="44" t="str">
        <f t="shared" si="3"/>
        <v>Present</v>
      </c>
      <c r="E112">
        <f t="shared" si="2"/>
        <v>1</v>
      </c>
    </row>
    <row r="113" spans="1:5" ht="15.75" customHeight="1" x14ac:dyDescent="0.25">
      <c r="A113" s="5" t="s">
        <v>35</v>
      </c>
      <c r="B113" s="4">
        <v>45476</v>
      </c>
      <c r="C113" s="49" t="s">
        <v>135</v>
      </c>
      <c r="D113" s="44" t="str">
        <f t="shared" si="3"/>
        <v>Absent</v>
      </c>
      <c r="E113">
        <f t="shared" si="2"/>
        <v>0</v>
      </c>
    </row>
    <row r="114" spans="1:5" ht="15.75" customHeight="1" x14ac:dyDescent="0.25">
      <c r="A114" s="5" t="s">
        <v>38</v>
      </c>
      <c r="B114" s="4">
        <v>45476</v>
      </c>
      <c r="C114" s="49" t="s">
        <v>135</v>
      </c>
      <c r="D114" s="44" t="str">
        <f t="shared" si="3"/>
        <v>Absent</v>
      </c>
      <c r="E114">
        <f t="shared" si="2"/>
        <v>0</v>
      </c>
    </row>
    <row r="115" spans="1:5" ht="15.75" customHeight="1" x14ac:dyDescent="0.25">
      <c r="A115" s="5" t="s">
        <v>40</v>
      </c>
      <c r="B115" s="4">
        <v>45476</v>
      </c>
      <c r="C115" s="49" t="s">
        <v>135</v>
      </c>
      <c r="D115" s="44" t="str">
        <f t="shared" si="3"/>
        <v>Absent</v>
      </c>
      <c r="E115">
        <f t="shared" si="2"/>
        <v>0</v>
      </c>
    </row>
    <row r="116" spans="1:5" ht="15.75" customHeight="1" x14ac:dyDescent="0.25">
      <c r="A116" s="5" t="s">
        <v>24</v>
      </c>
      <c r="B116" s="4">
        <v>45476</v>
      </c>
      <c r="C116" s="49" t="s">
        <v>135</v>
      </c>
      <c r="D116" s="44" t="str">
        <f t="shared" si="3"/>
        <v>Absent</v>
      </c>
      <c r="E116">
        <f t="shared" si="2"/>
        <v>0</v>
      </c>
    </row>
    <row r="117" spans="1:5" ht="15.75" customHeight="1" x14ac:dyDescent="0.25">
      <c r="A117" s="5" t="s">
        <v>43</v>
      </c>
      <c r="B117" s="4">
        <v>45476</v>
      </c>
      <c r="C117" s="49" t="s">
        <v>135</v>
      </c>
      <c r="D117" s="44" t="str">
        <f t="shared" si="3"/>
        <v>Absent</v>
      </c>
      <c r="E117">
        <f t="shared" si="2"/>
        <v>0</v>
      </c>
    </row>
    <row r="118" spans="1:5" ht="15.75" customHeight="1" x14ac:dyDescent="0.25">
      <c r="A118" s="5" t="s">
        <v>44</v>
      </c>
      <c r="B118" s="4">
        <v>45476</v>
      </c>
      <c r="C118" s="49" t="s">
        <v>134</v>
      </c>
      <c r="D118" s="44" t="str">
        <f t="shared" si="3"/>
        <v>Present</v>
      </c>
      <c r="E118">
        <f t="shared" si="2"/>
        <v>1</v>
      </c>
    </row>
    <row r="119" spans="1:5" ht="15.75" customHeight="1" x14ac:dyDescent="0.25">
      <c r="A119" s="5" t="s">
        <v>45</v>
      </c>
      <c r="B119" s="4">
        <v>45476</v>
      </c>
      <c r="C119" s="49" t="s">
        <v>134</v>
      </c>
      <c r="D119" s="44" t="str">
        <f t="shared" si="3"/>
        <v>Present</v>
      </c>
      <c r="E119">
        <f t="shared" si="2"/>
        <v>1</v>
      </c>
    </row>
    <row r="120" spans="1:5" ht="15.75" customHeight="1" x14ac:dyDescent="0.25">
      <c r="A120" s="5" t="s">
        <v>47</v>
      </c>
      <c r="B120" s="4">
        <v>45476</v>
      </c>
      <c r="C120" s="49" t="s">
        <v>134</v>
      </c>
      <c r="D120" s="44" t="str">
        <f t="shared" si="3"/>
        <v>Present</v>
      </c>
      <c r="E120">
        <f t="shared" si="2"/>
        <v>1</v>
      </c>
    </row>
    <row r="121" spans="1:5" ht="15.75" customHeight="1" x14ac:dyDescent="0.25">
      <c r="A121" s="5" t="s">
        <v>27</v>
      </c>
      <c r="B121" s="4">
        <v>45476</v>
      </c>
      <c r="C121" s="49" t="s">
        <v>135</v>
      </c>
      <c r="D121" s="44" t="str">
        <f t="shared" si="3"/>
        <v>Absent</v>
      </c>
      <c r="E121">
        <f t="shared" si="2"/>
        <v>0</v>
      </c>
    </row>
    <row r="122" spans="1:5" ht="15.75" customHeight="1" x14ac:dyDescent="0.25">
      <c r="A122" s="5" t="s">
        <v>51</v>
      </c>
      <c r="B122" s="4">
        <v>45476</v>
      </c>
      <c r="C122" s="49" t="s">
        <v>134</v>
      </c>
      <c r="D122" s="44" t="str">
        <f t="shared" si="3"/>
        <v>Present</v>
      </c>
      <c r="E122">
        <f t="shared" si="2"/>
        <v>1</v>
      </c>
    </row>
    <row r="123" spans="1:5" ht="15.75" customHeight="1" x14ac:dyDescent="0.25">
      <c r="A123" s="5" t="s">
        <v>53</v>
      </c>
      <c r="B123" s="4">
        <v>45476</v>
      </c>
      <c r="C123" s="49" t="s">
        <v>135</v>
      </c>
      <c r="D123" s="44" t="str">
        <f t="shared" si="3"/>
        <v>Absent</v>
      </c>
      <c r="E123">
        <f t="shared" si="2"/>
        <v>0</v>
      </c>
    </row>
    <row r="124" spans="1:5" ht="15.75" customHeight="1" x14ac:dyDescent="0.25">
      <c r="A124" s="5" t="s">
        <v>48</v>
      </c>
      <c r="B124" s="4">
        <v>45476</v>
      </c>
      <c r="C124" s="49" t="s">
        <v>135</v>
      </c>
      <c r="D124" s="44" t="str">
        <f t="shared" si="3"/>
        <v>Absent</v>
      </c>
      <c r="E124">
        <f t="shared" si="2"/>
        <v>0</v>
      </c>
    </row>
    <row r="125" spans="1:5" ht="15.75" customHeight="1" x14ac:dyDescent="0.25">
      <c r="A125" s="5" t="s">
        <v>55</v>
      </c>
      <c r="B125" s="4">
        <v>45476</v>
      </c>
      <c r="C125" s="49" t="s">
        <v>134</v>
      </c>
      <c r="D125" s="44" t="str">
        <f t="shared" si="3"/>
        <v>Present</v>
      </c>
      <c r="E125">
        <f t="shared" si="2"/>
        <v>1</v>
      </c>
    </row>
    <row r="126" spans="1:5" ht="15.75" customHeight="1" x14ac:dyDescent="0.25">
      <c r="A126" s="5" t="s">
        <v>30</v>
      </c>
      <c r="B126" s="4">
        <v>45476</v>
      </c>
      <c r="C126" s="49" t="s">
        <v>135</v>
      </c>
      <c r="D126" s="44" t="str">
        <f t="shared" si="3"/>
        <v>Absent</v>
      </c>
      <c r="E126">
        <f t="shared" si="2"/>
        <v>0</v>
      </c>
    </row>
    <row r="127" spans="1:5" ht="15.75" customHeight="1" x14ac:dyDescent="0.25">
      <c r="A127" s="5" t="s">
        <v>56</v>
      </c>
      <c r="B127" s="4">
        <v>45476</v>
      </c>
      <c r="C127" s="49" t="s">
        <v>135</v>
      </c>
      <c r="D127" s="44" t="str">
        <f t="shared" si="3"/>
        <v>Absent</v>
      </c>
      <c r="E127">
        <f t="shared" si="2"/>
        <v>0</v>
      </c>
    </row>
    <row r="128" spans="1:5" ht="15.75" customHeight="1" x14ac:dyDescent="0.25">
      <c r="A128" s="5" t="s">
        <v>58</v>
      </c>
      <c r="B128" s="4">
        <v>45476</v>
      </c>
      <c r="C128" s="49" t="s">
        <v>135</v>
      </c>
      <c r="D128" s="44" t="str">
        <f t="shared" si="3"/>
        <v>Absent</v>
      </c>
      <c r="E128">
        <f t="shared" si="2"/>
        <v>0</v>
      </c>
    </row>
    <row r="129" spans="1:5" ht="15.75" customHeight="1" x14ac:dyDescent="0.25">
      <c r="A129" s="5" t="s">
        <v>49</v>
      </c>
      <c r="B129" s="4">
        <v>45476</v>
      </c>
      <c r="C129" s="49" t="s">
        <v>135</v>
      </c>
      <c r="D129" s="44" t="str">
        <f t="shared" si="3"/>
        <v>Absent</v>
      </c>
      <c r="E129">
        <f t="shared" si="2"/>
        <v>0</v>
      </c>
    </row>
    <row r="130" spans="1:5" ht="15.75" customHeight="1" x14ac:dyDescent="0.25">
      <c r="A130" s="5" t="s">
        <v>59</v>
      </c>
      <c r="B130" s="4">
        <v>45476</v>
      </c>
      <c r="C130" s="49" t="s">
        <v>135</v>
      </c>
      <c r="D130" s="44" t="str">
        <f t="shared" si="3"/>
        <v>Absent</v>
      </c>
      <c r="E130">
        <f t="shared" ref="E130:E193" si="4">IF(D130="Present",1,0)</f>
        <v>0</v>
      </c>
    </row>
    <row r="131" spans="1:5" ht="15.75" customHeight="1" x14ac:dyDescent="0.25">
      <c r="A131" s="5" t="s">
        <v>32</v>
      </c>
      <c r="B131" s="4">
        <v>45476</v>
      </c>
      <c r="C131" s="49" t="s">
        <v>134</v>
      </c>
      <c r="D131" s="44" t="str">
        <f t="shared" ref="D131:D194" si="5">IF(C131="Yes","Present","Absent")</f>
        <v>Present</v>
      </c>
      <c r="E131">
        <f t="shared" si="4"/>
        <v>1</v>
      </c>
    </row>
    <row r="132" spans="1:5" ht="15.75" customHeight="1" x14ac:dyDescent="0.25">
      <c r="A132" s="5" t="s">
        <v>62</v>
      </c>
      <c r="B132" s="4">
        <v>45476</v>
      </c>
      <c r="C132" s="49" t="s">
        <v>135</v>
      </c>
      <c r="D132" s="44" t="str">
        <f t="shared" si="5"/>
        <v>Absent</v>
      </c>
      <c r="E132">
        <f t="shared" si="4"/>
        <v>0</v>
      </c>
    </row>
    <row r="133" spans="1:5" ht="15.75" customHeight="1" x14ac:dyDescent="0.25">
      <c r="A133" s="5" t="s">
        <v>63</v>
      </c>
      <c r="B133" s="4">
        <v>45476</v>
      </c>
      <c r="C133" s="49" t="s">
        <v>135</v>
      </c>
      <c r="D133" s="44" t="str">
        <f t="shared" si="5"/>
        <v>Absent</v>
      </c>
      <c r="E133">
        <f t="shared" si="4"/>
        <v>0</v>
      </c>
    </row>
    <row r="134" spans="1:5" ht="15.75" customHeight="1" x14ac:dyDescent="0.25">
      <c r="A134" s="5" t="s">
        <v>42</v>
      </c>
      <c r="B134" s="4">
        <v>45476</v>
      </c>
      <c r="C134" s="49" t="s">
        <v>134</v>
      </c>
      <c r="D134" s="44" t="str">
        <f t="shared" si="5"/>
        <v>Present</v>
      </c>
      <c r="E134">
        <f t="shared" si="4"/>
        <v>1</v>
      </c>
    </row>
    <row r="135" spans="1:5" ht="15.75" customHeight="1" x14ac:dyDescent="0.25">
      <c r="A135" s="5" t="s">
        <v>60</v>
      </c>
      <c r="B135" s="4">
        <v>45476</v>
      </c>
      <c r="C135" s="49" t="s">
        <v>134</v>
      </c>
      <c r="D135" s="44" t="str">
        <f t="shared" si="5"/>
        <v>Present</v>
      </c>
      <c r="E135">
        <f t="shared" si="4"/>
        <v>1</v>
      </c>
    </row>
    <row r="136" spans="1:5" ht="15.75" customHeight="1" x14ac:dyDescent="0.25">
      <c r="A136" s="5" t="s">
        <v>34</v>
      </c>
      <c r="B136" s="4">
        <v>45476</v>
      </c>
      <c r="C136" s="49" t="s">
        <v>135</v>
      </c>
      <c r="D136" s="44" t="str">
        <f t="shared" si="5"/>
        <v>Absent</v>
      </c>
      <c r="E136">
        <f t="shared" si="4"/>
        <v>0</v>
      </c>
    </row>
    <row r="137" spans="1:5" ht="15.75" customHeight="1" x14ac:dyDescent="0.25">
      <c r="A137" s="5" t="s">
        <v>66</v>
      </c>
      <c r="B137" s="4">
        <v>45476</v>
      </c>
      <c r="C137" s="49" t="s">
        <v>134</v>
      </c>
      <c r="D137" s="44" t="str">
        <f t="shared" si="5"/>
        <v>Present</v>
      </c>
      <c r="E137">
        <f t="shared" si="4"/>
        <v>1</v>
      </c>
    </row>
    <row r="138" spans="1:5" ht="15.75" customHeight="1" x14ac:dyDescent="0.25">
      <c r="A138" s="5" t="s">
        <v>67</v>
      </c>
      <c r="B138" s="4">
        <v>45476</v>
      </c>
      <c r="C138" s="49" t="s">
        <v>134</v>
      </c>
      <c r="D138" s="44" t="str">
        <f t="shared" si="5"/>
        <v>Present</v>
      </c>
      <c r="E138">
        <f t="shared" si="4"/>
        <v>1</v>
      </c>
    </row>
    <row r="139" spans="1:5" ht="15.75" customHeight="1" x14ac:dyDescent="0.25">
      <c r="A139" s="5" t="s">
        <v>50</v>
      </c>
      <c r="B139" s="4">
        <v>45476</v>
      </c>
      <c r="C139" s="49" t="s">
        <v>135</v>
      </c>
      <c r="D139" s="44" t="str">
        <f t="shared" si="5"/>
        <v>Absent</v>
      </c>
      <c r="E139">
        <f t="shared" si="4"/>
        <v>0</v>
      </c>
    </row>
    <row r="140" spans="1:5" ht="15.75" customHeight="1" x14ac:dyDescent="0.25">
      <c r="A140" s="5" t="s">
        <v>61</v>
      </c>
      <c r="B140" s="4">
        <v>45476</v>
      </c>
      <c r="C140" s="49" t="s">
        <v>134</v>
      </c>
      <c r="D140" s="44" t="str">
        <f t="shared" si="5"/>
        <v>Present</v>
      </c>
      <c r="E140">
        <f t="shared" si="4"/>
        <v>1</v>
      </c>
    </row>
    <row r="141" spans="1:5" ht="15.75" customHeight="1" x14ac:dyDescent="0.25">
      <c r="A141" s="5" t="s">
        <v>36</v>
      </c>
      <c r="B141" s="4">
        <v>45476</v>
      </c>
      <c r="C141" s="49" t="s">
        <v>135</v>
      </c>
      <c r="D141" s="44" t="str">
        <f t="shared" si="5"/>
        <v>Absent</v>
      </c>
      <c r="E141">
        <f t="shared" si="4"/>
        <v>0</v>
      </c>
    </row>
    <row r="142" spans="1:5" ht="15.75" customHeight="1" x14ac:dyDescent="0.25">
      <c r="A142" s="5" t="s">
        <v>68</v>
      </c>
      <c r="B142" s="4">
        <v>45476</v>
      </c>
      <c r="C142" s="49" t="s">
        <v>134</v>
      </c>
      <c r="D142" s="44" t="str">
        <f t="shared" si="5"/>
        <v>Present</v>
      </c>
      <c r="E142">
        <f t="shared" si="4"/>
        <v>1</v>
      </c>
    </row>
    <row r="143" spans="1:5" ht="15.75" customHeight="1" x14ac:dyDescent="0.25">
      <c r="A143" s="5" t="s">
        <v>57</v>
      </c>
      <c r="B143" s="4">
        <v>45476</v>
      </c>
      <c r="C143" s="49" t="s">
        <v>135</v>
      </c>
      <c r="D143" s="44" t="str">
        <f t="shared" si="5"/>
        <v>Absent</v>
      </c>
      <c r="E143">
        <f t="shared" si="4"/>
        <v>0</v>
      </c>
    </row>
    <row r="144" spans="1:5" ht="15.75" customHeight="1" x14ac:dyDescent="0.25">
      <c r="A144" s="5" t="s">
        <v>52</v>
      </c>
      <c r="B144" s="4">
        <v>45476</v>
      </c>
      <c r="C144" s="49" t="s">
        <v>135</v>
      </c>
      <c r="D144" s="44" t="str">
        <f t="shared" si="5"/>
        <v>Absent</v>
      </c>
      <c r="E144">
        <f t="shared" si="4"/>
        <v>0</v>
      </c>
    </row>
    <row r="145" spans="1:5" ht="15.75" customHeight="1" x14ac:dyDescent="0.25">
      <c r="A145" s="5" t="s">
        <v>64</v>
      </c>
      <c r="B145" s="4">
        <v>45476</v>
      </c>
      <c r="C145" s="49" t="s">
        <v>135</v>
      </c>
      <c r="D145" s="44" t="str">
        <f t="shared" si="5"/>
        <v>Absent</v>
      </c>
      <c r="E145">
        <f t="shared" si="4"/>
        <v>0</v>
      </c>
    </row>
    <row r="146" spans="1:5" ht="15.75" customHeight="1" x14ac:dyDescent="0.25">
      <c r="A146" s="5" t="s">
        <v>39</v>
      </c>
      <c r="B146" s="4">
        <v>45476</v>
      </c>
      <c r="C146" s="49" t="s">
        <v>135</v>
      </c>
      <c r="D146" s="44" t="str">
        <f t="shared" si="5"/>
        <v>Absent</v>
      </c>
      <c r="E146">
        <f t="shared" si="4"/>
        <v>0</v>
      </c>
    </row>
    <row r="147" spans="1:5" ht="15.75" customHeight="1" x14ac:dyDescent="0.25">
      <c r="A147" s="5" t="s">
        <v>69</v>
      </c>
      <c r="B147" s="4">
        <v>45476</v>
      </c>
      <c r="C147" s="49" t="s">
        <v>134</v>
      </c>
      <c r="D147" s="44" t="str">
        <f t="shared" si="5"/>
        <v>Present</v>
      </c>
      <c r="E147">
        <f t="shared" si="4"/>
        <v>1</v>
      </c>
    </row>
    <row r="148" spans="1:5" ht="15.75" customHeight="1" x14ac:dyDescent="0.25">
      <c r="A148" s="5" t="s">
        <v>70</v>
      </c>
      <c r="B148" s="4">
        <v>45476</v>
      </c>
      <c r="C148" s="49" t="s">
        <v>134</v>
      </c>
      <c r="D148" s="44" t="str">
        <f t="shared" si="5"/>
        <v>Present</v>
      </c>
      <c r="E148">
        <f t="shared" si="4"/>
        <v>1</v>
      </c>
    </row>
    <row r="149" spans="1:5" ht="15.75" customHeight="1" x14ac:dyDescent="0.25">
      <c r="A149" s="5" t="s">
        <v>54</v>
      </c>
      <c r="B149" s="4">
        <v>45476</v>
      </c>
      <c r="C149" s="49" t="s">
        <v>135</v>
      </c>
      <c r="D149" s="44" t="str">
        <f t="shared" si="5"/>
        <v>Absent</v>
      </c>
      <c r="E149">
        <f t="shared" si="4"/>
        <v>0</v>
      </c>
    </row>
    <row r="150" spans="1:5" ht="15.75" customHeight="1" x14ac:dyDescent="0.25">
      <c r="A150" s="5" t="s">
        <v>65</v>
      </c>
      <c r="B150" s="4">
        <v>45476</v>
      </c>
      <c r="C150" s="49" t="s">
        <v>135</v>
      </c>
      <c r="D150" s="44" t="str">
        <f t="shared" si="5"/>
        <v>Absent</v>
      </c>
      <c r="E150">
        <f t="shared" si="4"/>
        <v>0</v>
      </c>
    </row>
    <row r="151" spans="1:5" ht="15.75" customHeight="1" x14ac:dyDescent="0.25">
      <c r="A151" s="5" t="s">
        <v>41</v>
      </c>
      <c r="B151" s="4">
        <v>45476</v>
      </c>
      <c r="C151" s="49" t="s">
        <v>135</v>
      </c>
      <c r="D151" s="44" t="str">
        <f t="shared" si="5"/>
        <v>Absent</v>
      </c>
      <c r="E151">
        <f t="shared" si="4"/>
        <v>0</v>
      </c>
    </row>
    <row r="152" spans="1:5" ht="15.75" customHeight="1" x14ac:dyDescent="0.25">
      <c r="A152" s="5" t="s">
        <v>7</v>
      </c>
      <c r="B152" s="4">
        <v>45477</v>
      </c>
      <c r="C152" s="49" t="s">
        <v>134</v>
      </c>
      <c r="D152" s="44" t="str">
        <f t="shared" si="5"/>
        <v>Present</v>
      </c>
      <c r="E152">
        <f t="shared" si="4"/>
        <v>1</v>
      </c>
    </row>
    <row r="153" spans="1:5" ht="15.75" customHeight="1" x14ac:dyDescent="0.25">
      <c r="A153" s="5" t="s">
        <v>10</v>
      </c>
      <c r="B153" s="4">
        <v>45477</v>
      </c>
      <c r="C153" s="49" t="s">
        <v>134</v>
      </c>
      <c r="D153" s="44" t="str">
        <f t="shared" si="5"/>
        <v>Present</v>
      </c>
      <c r="E153">
        <f t="shared" si="4"/>
        <v>1</v>
      </c>
    </row>
    <row r="154" spans="1:5" ht="15.75" customHeight="1" x14ac:dyDescent="0.25">
      <c r="A154" s="5" t="s">
        <v>11</v>
      </c>
      <c r="B154" s="4">
        <v>45477</v>
      </c>
      <c r="C154" s="49" t="s">
        <v>135</v>
      </c>
      <c r="D154" s="44" t="str">
        <f t="shared" si="5"/>
        <v>Absent</v>
      </c>
      <c r="E154">
        <f t="shared" si="4"/>
        <v>0</v>
      </c>
    </row>
    <row r="155" spans="1:5" ht="15.75" customHeight="1" x14ac:dyDescent="0.25">
      <c r="A155" s="5" t="s">
        <v>13</v>
      </c>
      <c r="B155" s="4">
        <v>45477</v>
      </c>
      <c r="C155" s="49" t="s">
        <v>134</v>
      </c>
      <c r="D155" s="44" t="str">
        <f t="shared" si="5"/>
        <v>Present</v>
      </c>
      <c r="E155">
        <f t="shared" si="4"/>
        <v>1</v>
      </c>
    </row>
    <row r="156" spans="1:5" ht="15.75" customHeight="1" x14ac:dyDescent="0.25">
      <c r="A156" s="5" t="s">
        <v>18</v>
      </c>
      <c r="B156" s="4">
        <v>45477</v>
      </c>
      <c r="C156" s="49" t="s">
        <v>134</v>
      </c>
      <c r="D156" s="44" t="str">
        <f t="shared" si="5"/>
        <v>Present</v>
      </c>
      <c r="E156">
        <f t="shared" si="4"/>
        <v>1</v>
      </c>
    </row>
    <row r="157" spans="1:5" ht="15.75" customHeight="1" x14ac:dyDescent="0.25">
      <c r="A157" s="5" t="s">
        <v>20</v>
      </c>
      <c r="B157" s="4">
        <v>45477</v>
      </c>
      <c r="C157" s="49" t="s">
        <v>134</v>
      </c>
      <c r="D157" s="44" t="str">
        <f t="shared" si="5"/>
        <v>Present</v>
      </c>
      <c r="E157">
        <f t="shared" si="4"/>
        <v>1</v>
      </c>
    </row>
    <row r="158" spans="1:5" ht="15.75" customHeight="1" x14ac:dyDescent="0.25">
      <c r="A158" s="5" t="s">
        <v>23</v>
      </c>
      <c r="B158" s="4">
        <v>45477</v>
      </c>
      <c r="C158" s="49" t="s">
        <v>134</v>
      </c>
      <c r="D158" s="44" t="str">
        <f t="shared" si="5"/>
        <v>Present</v>
      </c>
      <c r="E158">
        <f t="shared" si="4"/>
        <v>1</v>
      </c>
    </row>
    <row r="159" spans="1:5" ht="15.75" customHeight="1" x14ac:dyDescent="0.25">
      <c r="A159" s="5" t="s">
        <v>26</v>
      </c>
      <c r="B159" s="4">
        <v>45477</v>
      </c>
      <c r="C159" s="49" t="s">
        <v>134</v>
      </c>
      <c r="D159" s="44" t="str">
        <f t="shared" si="5"/>
        <v>Present</v>
      </c>
      <c r="E159">
        <f t="shared" si="4"/>
        <v>1</v>
      </c>
    </row>
    <row r="160" spans="1:5" ht="15.75" customHeight="1" x14ac:dyDescent="0.25">
      <c r="A160" s="5" t="s">
        <v>29</v>
      </c>
      <c r="B160" s="4">
        <v>45477</v>
      </c>
      <c r="C160" s="49" t="s">
        <v>134</v>
      </c>
      <c r="D160" s="44" t="str">
        <f t="shared" si="5"/>
        <v>Present</v>
      </c>
      <c r="E160">
        <f t="shared" si="4"/>
        <v>1</v>
      </c>
    </row>
    <row r="161" spans="1:5" ht="15.75" customHeight="1" x14ac:dyDescent="0.25">
      <c r="A161" s="5" t="s">
        <v>21</v>
      </c>
      <c r="B161" s="4">
        <v>45477</v>
      </c>
      <c r="C161" s="49" t="s">
        <v>135</v>
      </c>
      <c r="D161" s="44" t="str">
        <f t="shared" si="5"/>
        <v>Absent</v>
      </c>
      <c r="E161">
        <f t="shared" si="4"/>
        <v>0</v>
      </c>
    </row>
    <row r="162" spans="1:5" ht="15.75" customHeight="1" x14ac:dyDescent="0.25">
      <c r="A162" s="5" t="s">
        <v>33</v>
      </c>
      <c r="B162" s="4">
        <v>45477</v>
      </c>
      <c r="C162" s="49" t="s">
        <v>134</v>
      </c>
      <c r="D162" s="44" t="str">
        <f t="shared" si="5"/>
        <v>Present</v>
      </c>
      <c r="E162">
        <f t="shared" si="4"/>
        <v>1</v>
      </c>
    </row>
    <row r="163" spans="1:5" ht="15.75" customHeight="1" x14ac:dyDescent="0.25">
      <c r="A163" s="5" t="s">
        <v>35</v>
      </c>
      <c r="B163" s="4">
        <v>45477</v>
      </c>
      <c r="C163" s="49" t="s">
        <v>135</v>
      </c>
      <c r="D163" s="44" t="str">
        <f t="shared" si="5"/>
        <v>Absent</v>
      </c>
      <c r="E163">
        <f t="shared" si="4"/>
        <v>0</v>
      </c>
    </row>
    <row r="164" spans="1:5" ht="15.75" customHeight="1" x14ac:dyDescent="0.25">
      <c r="A164" s="5" t="s">
        <v>38</v>
      </c>
      <c r="B164" s="4">
        <v>45477</v>
      </c>
      <c r="C164" s="49" t="s">
        <v>135</v>
      </c>
      <c r="D164" s="44" t="str">
        <f t="shared" si="5"/>
        <v>Absent</v>
      </c>
      <c r="E164">
        <f t="shared" si="4"/>
        <v>0</v>
      </c>
    </row>
    <row r="165" spans="1:5" ht="15.75" customHeight="1" x14ac:dyDescent="0.25">
      <c r="A165" s="5" t="s">
        <v>40</v>
      </c>
      <c r="B165" s="4">
        <v>45477</v>
      </c>
      <c r="C165" s="49" t="s">
        <v>134</v>
      </c>
      <c r="D165" s="44" t="str">
        <f t="shared" si="5"/>
        <v>Present</v>
      </c>
      <c r="E165">
        <f t="shared" si="4"/>
        <v>1</v>
      </c>
    </row>
    <row r="166" spans="1:5" ht="15.75" customHeight="1" x14ac:dyDescent="0.25">
      <c r="A166" s="5" t="s">
        <v>24</v>
      </c>
      <c r="B166" s="4">
        <v>45477</v>
      </c>
      <c r="C166" s="49" t="s">
        <v>134</v>
      </c>
      <c r="D166" s="44" t="str">
        <f t="shared" si="5"/>
        <v>Present</v>
      </c>
      <c r="E166">
        <f t="shared" si="4"/>
        <v>1</v>
      </c>
    </row>
    <row r="167" spans="1:5" ht="15.75" customHeight="1" x14ac:dyDescent="0.25">
      <c r="A167" s="5" t="s">
        <v>43</v>
      </c>
      <c r="B167" s="4">
        <v>45477</v>
      </c>
      <c r="C167" s="49" t="s">
        <v>134</v>
      </c>
      <c r="D167" s="44" t="str">
        <f t="shared" si="5"/>
        <v>Present</v>
      </c>
      <c r="E167">
        <f t="shared" si="4"/>
        <v>1</v>
      </c>
    </row>
    <row r="168" spans="1:5" ht="15.75" customHeight="1" x14ac:dyDescent="0.25">
      <c r="A168" s="5" t="s">
        <v>44</v>
      </c>
      <c r="B168" s="4">
        <v>45477</v>
      </c>
      <c r="C168" s="49" t="s">
        <v>135</v>
      </c>
      <c r="D168" s="44" t="str">
        <f t="shared" si="5"/>
        <v>Absent</v>
      </c>
      <c r="E168">
        <f t="shared" si="4"/>
        <v>0</v>
      </c>
    </row>
    <row r="169" spans="1:5" ht="15.75" customHeight="1" x14ac:dyDescent="0.25">
      <c r="A169" s="5" t="s">
        <v>45</v>
      </c>
      <c r="B169" s="4">
        <v>45477</v>
      </c>
      <c r="C169" s="49" t="s">
        <v>135</v>
      </c>
      <c r="D169" s="44" t="str">
        <f t="shared" si="5"/>
        <v>Absent</v>
      </c>
      <c r="E169">
        <f t="shared" si="4"/>
        <v>0</v>
      </c>
    </row>
    <row r="170" spans="1:5" ht="15.75" customHeight="1" x14ac:dyDescent="0.25">
      <c r="A170" s="5" t="s">
        <v>47</v>
      </c>
      <c r="B170" s="4">
        <v>45477</v>
      </c>
      <c r="C170" s="49" t="s">
        <v>135</v>
      </c>
      <c r="D170" s="44" t="str">
        <f t="shared" si="5"/>
        <v>Absent</v>
      </c>
      <c r="E170">
        <f t="shared" si="4"/>
        <v>0</v>
      </c>
    </row>
    <row r="171" spans="1:5" ht="15.75" customHeight="1" x14ac:dyDescent="0.25">
      <c r="A171" s="5" t="s">
        <v>27</v>
      </c>
      <c r="B171" s="4">
        <v>45477</v>
      </c>
      <c r="C171" s="49" t="s">
        <v>134</v>
      </c>
      <c r="D171" s="44" t="str">
        <f t="shared" si="5"/>
        <v>Present</v>
      </c>
      <c r="E171">
        <f t="shared" si="4"/>
        <v>1</v>
      </c>
    </row>
    <row r="172" spans="1:5" ht="15.75" customHeight="1" x14ac:dyDescent="0.25">
      <c r="A172" s="5" t="s">
        <v>51</v>
      </c>
      <c r="B172" s="4">
        <v>45477</v>
      </c>
      <c r="C172" s="49" t="s">
        <v>135</v>
      </c>
      <c r="D172" s="44" t="str">
        <f t="shared" si="5"/>
        <v>Absent</v>
      </c>
      <c r="E172">
        <f t="shared" si="4"/>
        <v>0</v>
      </c>
    </row>
    <row r="173" spans="1:5" ht="15.75" customHeight="1" x14ac:dyDescent="0.25">
      <c r="A173" s="5" t="s">
        <v>53</v>
      </c>
      <c r="B173" s="4">
        <v>45477</v>
      </c>
      <c r="C173" s="49" t="s">
        <v>135</v>
      </c>
      <c r="D173" s="44" t="str">
        <f t="shared" si="5"/>
        <v>Absent</v>
      </c>
      <c r="E173">
        <f t="shared" si="4"/>
        <v>0</v>
      </c>
    </row>
    <row r="174" spans="1:5" ht="15.75" customHeight="1" x14ac:dyDescent="0.25">
      <c r="A174" s="5" t="s">
        <v>48</v>
      </c>
      <c r="B174" s="4">
        <v>45477</v>
      </c>
      <c r="C174" s="49" t="s">
        <v>134</v>
      </c>
      <c r="D174" s="44" t="str">
        <f t="shared" si="5"/>
        <v>Present</v>
      </c>
      <c r="E174">
        <f t="shared" si="4"/>
        <v>1</v>
      </c>
    </row>
    <row r="175" spans="1:5" ht="15.75" customHeight="1" x14ac:dyDescent="0.25">
      <c r="A175" s="5" t="s">
        <v>55</v>
      </c>
      <c r="B175" s="4">
        <v>45477</v>
      </c>
      <c r="C175" s="49" t="s">
        <v>135</v>
      </c>
      <c r="D175" s="44" t="str">
        <f t="shared" si="5"/>
        <v>Absent</v>
      </c>
      <c r="E175">
        <f t="shared" si="4"/>
        <v>0</v>
      </c>
    </row>
    <row r="176" spans="1:5" ht="15.75" customHeight="1" x14ac:dyDescent="0.25">
      <c r="A176" s="5" t="s">
        <v>30</v>
      </c>
      <c r="B176" s="4">
        <v>45477</v>
      </c>
      <c r="C176" s="49" t="s">
        <v>134</v>
      </c>
      <c r="D176" s="44" t="str">
        <f t="shared" si="5"/>
        <v>Present</v>
      </c>
      <c r="E176">
        <f t="shared" si="4"/>
        <v>1</v>
      </c>
    </row>
    <row r="177" spans="1:5" ht="15.75" customHeight="1" x14ac:dyDescent="0.25">
      <c r="A177" s="5" t="s">
        <v>56</v>
      </c>
      <c r="B177" s="4">
        <v>45477</v>
      </c>
      <c r="C177" s="49" t="s">
        <v>135</v>
      </c>
      <c r="D177" s="44" t="str">
        <f t="shared" si="5"/>
        <v>Absent</v>
      </c>
      <c r="E177">
        <f t="shared" si="4"/>
        <v>0</v>
      </c>
    </row>
    <row r="178" spans="1:5" ht="15.75" customHeight="1" x14ac:dyDescent="0.25">
      <c r="A178" s="5" t="s">
        <v>58</v>
      </c>
      <c r="B178" s="4">
        <v>45477</v>
      </c>
      <c r="C178" s="49" t="s">
        <v>134</v>
      </c>
      <c r="D178" s="44" t="str">
        <f t="shared" si="5"/>
        <v>Present</v>
      </c>
      <c r="E178">
        <f t="shared" si="4"/>
        <v>1</v>
      </c>
    </row>
    <row r="179" spans="1:5" ht="15.75" customHeight="1" x14ac:dyDescent="0.25">
      <c r="A179" s="5" t="s">
        <v>49</v>
      </c>
      <c r="B179" s="4">
        <v>45477</v>
      </c>
      <c r="C179" s="49" t="s">
        <v>135</v>
      </c>
      <c r="D179" s="44" t="str">
        <f t="shared" si="5"/>
        <v>Absent</v>
      </c>
      <c r="E179">
        <f t="shared" si="4"/>
        <v>0</v>
      </c>
    </row>
    <row r="180" spans="1:5" ht="15.75" customHeight="1" x14ac:dyDescent="0.25">
      <c r="A180" s="5" t="s">
        <v>59</v>
      </c>
      <c r="B180" s="4">
        <v>45477</v>
      </c>
      <c r="C180" s="49" t="s">
        <v>134</v>
      </c>
      <c r="D180" s="44" t="str">
        <f t="shared" si="5"/>
        <v>Present</v>
      </c>
      <c r="E180">
        <f t="shared" si="4"/>
        <v>1</v>
      </c>
    </row>
    <row r="181" spans="1:5" ht="15.75" customHeight="1" x14ac:dyDescent="0.25">
      <c r="A181" s="5" t="s">
        <v>32</v>
      </c>
      <c r="B181" s="4">
        <v>45477</v>
      </c>
      <c r="C181" s="49" t="s">
        <v>134</v>
      </c>
      <c r="D181" s="44" t="str">
        <f t="shared" si="5"/>
        <v>Present</v>
      </c>
      <c r="E181">
        <f t="shared" si="4"/>
        <v>1</v>
      </c>
    </row>
    <row r="182" spans="1:5" ht="15.75" customHeight="1" x14ac:dyDescent="0.25">
      <c r="A182" s="5" t="s">
        <v>62</v>
      </c>
      <c r="B182" s="4">
        <v>45477</v>
      </c>
      <c r="C182" s="49" t="s">
        <v>134</v>
      </c>
      <c r="D182" s="44" t="str">
        <f t="shared" si="5"/>
        <v>Present</v>
      </c>
      <c r="E182">
        <f t="shared" si="4"/>
        <v>1</v>
      </c>
    </row>
    <row r="183" spans="1:5" ht="15.75" customHeight="1" x14ac:dyDescent="0.25">
      <c r="A183" s="5" t="s">
        <v>63</v>
      </c>
      <c r="B183" s="4">
        <v>45477</v>
      </c>
      <c r="C183" s="49" t="s">
        <v>134</v>
      </c>
      <c r="D183" s="44" t="str">
        <f t="shared" si="5"/>
        <v>Present</v>
      </c>
      <c r="E183">
        <f t="shared" si="4"/>
        <v>1</v>
      </c>
    </row>
    <row r="184" spans="1:5" ht="15.75" customHeight="1" x14ac:dyDescent="0.25">
      <c r="A184" s="5" t="s">
        <v>42</v>
      </c>
      <c r="B184" s="4">
        <v>45477</v>
      </c>
      <c r="C184" s="49" t="s">
        <v>134</v>
      </c>
      <c r="D184" s="44" t="str">
        <f t="shared" si="5"/>
        <v>Present</v>
      </c>
      <c r="E184">
        <f t="shared" si="4"/>
        <v>1</v>
      </c>
    </row>
    <row r="185" spans="1:5" ht="15.75" customHeight="1" x14ac:dyDescent="0.25">
      <c r="A185" s="5" t="s">
        <v>60</v>
      </c>
      <c r="B185" s="4">
        <v>45477</v>
      </c>
      <c r="C185" s="49" t="s">
        <v>134</v>
      </c>
      <c r="D185" s="44" t="str">
        <f t="shared" si="5"/>
        <v>Present</v>
      </c>
      <c r="E185">
        <f t="shared" si="4"/>
        <v>1</v>
      </c>
    </row>
    <row r="186" spans="1:5" ht="15.75" customHeight="1" x14ac:dyDescent="0.25">
      <c r="A186" s="5" t="s">
        <v>34</v>
      </c>
      <c r="B186" s="4">
        <v>45477</v>
      </c>
      <c r="C186" s="49" t="s">
        <v>135</v>
      </c>
      <c r="D186" s="44" t="str">
        <f t="shared" si="5"/>
        <v>Absent</v>
      </c>
      <c r="E186">
        <f t="shared" si="4"/>
        <v>0</v>
      </c>
    </row>
    <row r="187" spans="1:5" ht="15.75" customHeight="1" x14ac:dyDescent="0.25">
      <c r="A187" s="5" t="s">
        <v>66</v>
      </c>
      <c r="B187" s="4">
        <v>45477</v>
      </c>
      <c r="C187" s="49" t="s">
        <v>134</v>
      </c>
      <c r="D187" s="44" t="str">
        <f t="shared" si="5"/>
        <v>Present</v>
      </c>
      <c r="E187">
        <f t="shared" si="4"/>
        <v>1</v>
      </c>
    </row>
    <row r="188" spans="1:5" ht="15.75" customHeight="1" x14ac:dyDescent="0.25">
      <c r="A188" s="5" t="s">
        <v>67</v>
      </c>
      <c r="B188" s="4">
        <v>45477</v>
      </c>
      <c r="C188" s="49" t="s">
        <v>135</v>
      </c>
      <c r="D188" s="44" t="str">
        <f t="shared" si="5"/>
        <v>Absent</v>
      </c>
      <c r="E188">
        <f t="shared" si="4"/>
        <v>0</v>
      </c>
    </row>
    <row r="189" spans="1:5" ht="15.75" customHeight="1" x14ac:dyDescent="0.25">
      <c r="A189" s="5" t="s">
        <v>50</v>
      </c>
      <c r="B189" s="4">
        <v>45477</v>
      </c>
      <c r="C189" s="49" t="s">
        <v>134</v>
      </c>
      <c r="D189" s="44" t="str">
        <f t="shared" si="5"/>
        <v>Present</v>
      </c>
      <c r="E189">
        <f t="shared" si="4"/>
        <v>1</v>
      </c>
    </row>
    <row r="190" spans="1:5" ht="15.75" customHeight="1" x14ac:dyDescent="0.25">
      <c r="A190" s="5" t="s">
        <v>61</v>
      </c>
      <c r="B190" s="4">
        <v>45477</v>
      </c>
      <c r="C190" s="49" t="s">
        <v>135</v>
      </c>
      <c r="D190" s="44" t="str">
        <f t="shared" si="5"/>
        <v>Absent</v>
      </c>
      <c r="E190">
        <f t="shared" si="4"/>
        <v>0</v>
      </c>
    </row>
    <row r="191" spans="1:5" ht="15.75" customHeight="1" x14ac:dyDescent="0.25">
      <c r="A191" s="5" t="s">
        <v>36</v>
      </c>
      <c r="B191" s="4">
        <v>45477</v>
      </c>
      <c r="C191" s="49" t="s">
        <v>134</v>
      </c>
      <c r="D191" s="44" t="str">
        <f t="shared" si="5"/>
        <v>Present</v>
      </c>
      <c r="E191">
        <f t="shared" si="4"/>
        <v>1</v>
      </c>
    </row>
    <row r="192" spans="1:5" ht="15.75" customHeight="1" x14ac:dyDescent="0.25">
      <c r="A192" s="5" t="s">
        <v>68</v>
      </c>
      <c r="B192" s="4">
        <v>45477</v>
      </c>
      <c r="C192" s="49" t="s">
        <v>134</v>
      </c>
      <c r="D192" s="44" t="str">
        <f t="shared" si="5"/>
        <v>Present</v>
      </c>
      <c r="E192">
        <f t="shared" si="4"/>
        <v>1</v>
      </c>
    </row>
    <row r="193" spans="1:5" ht="15.75" customHeight="1" x14ac:dyDescent="0.25">
      <c r="A193" s="5" t="s">
        <v>57</v>
      </c>
      <c r="B193" s="4">
        <v>45477</v>
      </c>
      <c r="C193" s="49" t="s">
        <v>134</v>
      </c>
      <c r="D193" s="44" t="str">
        <f t="shared" si="5"/>
        <v>Present</v>
      </c>
      <c r="E193">
        <f t="shared" si="4"/>
        <v>1</v>
      </c>
    </row>
    <row r="194" spans="1:5" ht="15.75" customHeight="1" x14ac:dyDescent="0.25">
      <c r="A194" s="5" t="s">
        <v>52</v>
      </c>
      <c r="B194" s="4">
        <v>45477</v>
      </c>
      <c r="C194" s="49" t="s">
        <v>135</v>
      </c>
      <c r="D194" s="44" t="str">
        <f t="shared" si="5"/>
        <v>Absent</v>
      </c>
      <c r="E194">
        <f t="shared" ref="E194:E251" si="6">IF(D194="Present",1,0)</f>
        <v>0</v>
      </c>
    </row>
    <row r="195" spans="1:5" ht="15.75" customHeight="1" x14ac:dyDescent="0.25">
      <c r="A195" s="5" t="s">
        <v>64</v>
      </c>
      <c r="B195" s="4">
        <v>45477</v>
      </c>
      <c r="C195" s="49" t="s">
        <v>134</v>
      </c>
      <c r="D195" s="44" t="str">
        <f t="shared" ref="D195:D251" si="7">IF(C195="Yes","Present","Absent")</f>
        <v>Present</v>
      </c>
      <c r="E195">
        <f t="shared" si="6"/>
        <v>1</v>
      </c>
    </row>
    <row r="196" spans="1:5" ht="15.75" customHeight="1" x14ac:dyDescent="0.25">
      <c r="A196" s="5" t="s">
        <v>39</v>
      </c>
      <c r="B196" s="4">
        <v>45477</v>
      </c>
      <c r="C196" s="49" t="s">
        <v>134</v>
      </c>
      <c r="D196" s="44" t="str">
        <f t="shared" si="7"/>
        <v>Present</v>
      </c>
      <c r="E196">
        <f t="shared" si="6"/>
        <v>1</v>
      </c>
    </row>
    <row r="197" spans="1:5" ht="15.75" customHeight="1" x14ac:dyDescent="0.25">
      <c r="A197" s="5" t="s">
        <v>69</v>
      </c>
      <c r="B197" s="4">
        <v>45477</v>
      </c>
      <c r="C197" s="49" t="s">
        <v>135</v>
      </c>
      <c r="D197" s="44" t="str">
        <f t="shared" si="7"/>
        <v>Absent</v>
      </c>
      <c r="E197">
        <f t="shared" si="6"/>
        <v>0</v>
      </c>
    </row>
    <row r="198" spans="1:5" ht="15.75" customHeight="1" x14ac:dyDescent="0.25">
      <c r="A198" s="5" t="s">
        <v>70</v>
      </c>
      <c r="B198" s="4">
        <v>45477</v>
      </c>
      <c r="C198" s="49" t="s">
        <v>135</v>
      </c>
      <c r="D198" s="44" t="str">
        <f t="shared" si="7"/>
        <v>Absent</v>
      </c>
      <c r="E198">
        <f t="shared" si="6"/>
        <v>0</v>
      </c>
    </row>
    <row r="199" spans="1:5" ht="15.75" customHeight="1" x14ac:dyDescent="0.25">
      <c r="A199" s="5" t="s">
        <v>54</v>
      </c>
      <c r="B199" s="4">
        <v>45477</v>
      </c>
      <c r="C199" s="49" t="s">
        <v>135</v>
      </c>
      <c r="D199" s="44" t="str">
        <f t="shared" si="7"/>
        <v>Absent</v>
      </c>
      <c r="E199">
        <f t="shared" si="6"/>
        <v>0</v>
      </c>
    </row>
    <row r="200" spans="1:5" ht="15.75" customHeight="1" x14ac:dyDescent="0.25">
      <c r="A200" s="5" t="s">
        <v>65</v>
      </c>
      <c r="B200" s="4">
        <v>45477</v>
      </c>
      <c r="C200" s="49" t="s">
        <v>135</v>
      </c>
      <c r="D200" s="44" t="str">
        <f t="shared" si="7"/>
        <v>Absent</v>
      </c>
      <c r="E200">
        <f t="shared" si="6"/>
        <v>0</v>
      </c>
    </row>
    <row r="201" spans="1:5" ht="15.75" customHeight="1" x14ac:dyDescent="0.25">
      <c r="A201" s="5" t="s">
        <v>41</v>
      </c>
      <c r="B201" s="4">
        <v>45477</v>
      </c>
      <c r="C201" s="49" t="s">
        <v>134</v>
      </c>
      <c r="D201" s="44" t="str">
        <f t="shared" si="7"/>
        <v>Present</v>
      </c>
      <c r="E201">
        <f t="shared" si="6"/>
        <v>1</v>
      </c>
    </row>
    <row r="202" spans="1:5" ht="15.75" customHeight="1" x14ac:dyDescent="0.25">
      <c r="A202" s="5" t="s">
        <v>7</v>
      </c>
      <c r="B202" s="4">
        <v>45478</v>
      </c>
      <c r="C202" s="49" t="s">
        <v>135</v>
      </c>
      <c r="D202" s="44" t="str">
        <f t="shared" si="7"/>
        <v>Absent</v>
      </c>
      <c r="E202">
        <f t="shared" si="6"/>
        <v>0</v>
      </c>
    </row>
    <row r="203" spans="1:5" ht="15.75" customHeight="1" x14ac:dyDescent="0.25">
      <c r="A203" s="5" t="s">
        <v>10</v>
      </c>
      <c r="B203" s="4">
        <v>45478</v>
      </c>
      <c r="C203" s="49" t="s">
        <v>135</v>
      </c>
      <c r="D203" s="44" t="str">
        <f t="shared" si="7"/>
        <v>Absent</v>
      </c>
      <c r="E203">
        <f t="shared" si="6"/>
        <v>0</v>
      </c>
    </row>
    <row r="204" spans="1:5" ht="15.75" customHeight="1" x14ac:dyDescent="0.25">
      <c r="A204" s="5" t="s">
        <v>11</v>
      </c>
      <c r="B204" s="4">
        <v>45478</v>
      </c>
      <c r="C204" s="49" t="s">
        <v>135</v>
      </c>
      <c r="D204" s="44" t="str">
        <f t="shared" si="7"/>
        <v>Absent</v>
      </c>
      <c r="E204">
        <f t="shared" si="6"/>
        <v>0</v>
      </c>
    </row>
    <row r="205" spans="1:5" ht="15.75" customHeight="1" x14ac:dyDescent="0.25">
      <c r="A205" s="5" t="s">
        <v>13</v>
      </c>
      <c r="B205" s="4">
        <v>45478</v>
      </c>
      <c r="C205" s="49" t="s">
        <v>135</v>
      </c>
      <c r="D205" s="44" t="str">
        <f t="shared" si="7"/>
        <v>Absent</v>
      </c>
      <c r="E205">
        <f t="shared" si="6"/>
        <v>0</v>
      </c>
    </row>
    <row r="206" spans="1:5" ht="15.75" customHeight="1" x14ac:dyDescent="0.25">
      <c r="A206" s="5" t="s">
        <v>18</v>
      </c>
      <c r="B206" s="4">
        <v>45478</v>
      </c>
      <c r="C206" s="49" t="s">
        <v>135</v>
      </c>
      <c r="D206" s="44" t="str">
        <f t="shared" si="7"/>
        <v>Absent</v>
      </c>
      <c r="E206">
        <f t="shared" si="6"/>
        <v>0</v>
      </c>
    </row>
    <row r="207" spans="1:5" ht="15.75" customHeight="1" x14ac:dyDescent="0.25">
      <c r="A207" s="5" t="s">
        <v>20</v>
      </c>
      <c r="B207" s="4">
        <v>45478</v>
      </c>
      <c r="C207" s="49" t="s">
        <v>134</v>
      </c>
      <c r="D207" s="44" t="str">
        <f t="shared" si="7"/>
        <v>Present</v>
      </c>
      <c r="E207">
        <f t="shared" si="6"/>
        <v>1</v>
      </c>
    </row>
    <row r="208" spans="1:5" ht="15.75" customHeight="1" x14ac:dyDescent="0.25">
      <c r="A208" s="5" t="s">
        <v>23</v>
      </c>
      <c r="B208" s="4">
        <v>45478</v>
      </c>
      <c r="C208" s="49" t="s">
        <v>134</v>
      </c>
      <c r="D208" s="44" t="str">
        <f t="shared" si="7"/>
        <v>Present</v>
      </c>
      <c r="E208">
        <f t="shared" si="6"/>
        <v>1</v>
      </c>
    </row>
    <row r="209" spans="1:5" ht="15.75" customHeight="1" x14ac:dyDescent="0.25">
      <c r="A209" s="5" t="s">
        <v>26</v>
      </c>
      <c r="B209" s="4">
        <v>45478</v>
      </c>
      <c r="C209" s="49" t="s">
        <v>135</v>
      </c>
      <c r="D209" s="44" t="str">
        <f t="shared" si="7"/>
        <v>Absent</v>
      </c>
      <c r="E209">
        <f t="shared" si="6"/>
        <v>0</v>
      </c>
    </row>
    <row r="210" spans="1:5" ht="15.75" customHeight="1" x14ac:dyDescent="0.25">
      <c r="A210" s="5" t="s">
        <v>29</v>
      </c>
      <c r="B210" s="4">
        <v>45478</v>
      </c>
      <c r="C210" s="49" t="s">
        <v>135</v>
      </c>
      <c r="D210" s="44" t="str">
        <f t="shared" si="7"/>
        <v>Absent</v>
      </c>
      <c r="E210">
        <f t="shared" si="6"/>
        <v>0</v>
      </c>
    </row>
    <row r="211" spans="1:5" ht="15.75" customHeight="1" x14ac:dyDescent="0.25">
      <c r="A211" s="5" t="s">
        <v>21</v>
      </c>
      <c r="B211" s="4">
        <v>45478</v>
      </c>
      <c r="C211" s="49" t="s">
        <v>135</v>
      </c>
      <c r="D211" s="44" t="str">
        <f t="shared" si="7"/>
        <v>Absent</v>
      </c>
      <c r="E211">
        <f t="shared" si="6"/>
        <v>0</v>
      </c>
    </row>
    <row r="212" spans="1:5" ht="15.75" customHeight="1" x14ac:dyDescent="0.25">
      <c r="A212" s="5" t="s">
        <v>33</v>
      </c>
      <c r="B212" s="4">
        <v>45478</v>
      </c>
      <c r="C212" s="49" t="s">
        <v>135</v>
      </c>
      <c r="D212" s="44" t="str">
        <f t="shared" si="7"/>
        <v>Absent</v>
      </c>
      <c r="E212">
        <f t="shared" si="6"/>
        <v>0</v>
      </c>
    </row>
    <row r="213" spans="1:5" ht="15.75" customHeight="1" x14ac:dyDescent="0.25">
      <c r="A213" s="5" t="s">
        <v>35</v>
      </c>
      <c r="B213" s="4">
        <v>45478</v>
      </c>
      <c r="C213" s="49" t="s">
        <v>135</v>
      </c>
      <c r="D213" s="44" t="str">
        <f t="shared" si="7"/>
        <v>Absent</v>
      </c>
      <c r="E213">
        <f t="shared" si="6"/>
        <v>0</v>
      </c>
    </row>
    <row r="214" spans="1:5" ht="15.75" customHeight="1" x14ac:dyDescent="0.25">
      <c r="A214" s="5" t="s">
        <v>38</v>
      </c>
      <c r="B214" s="4">
        <v>45478</v>
      </c>
      <c r="C214" s="49" t="s">
        <v>134</v>
      </c>
      <c r="D214" s="44" t="str">
        <f t="shared" si="7"/>
        <v>Present</v>
      </c>
      <c r="E214">
        <f t="shared" si="6"/>
        <v>1</v>
      </c>
    </row>
    <row r="215" spans="1:5" ht="15.75" customHeight="1" x14ac:dyDescent="0.25">
      <c r="A215" s="5" t="s">
        <v>40</v>
      </c>
      <c r="B215" s="4">
        <v>45478</v>
      </c>
      <c r="C215" s="49" t="s">
        <v>134</v>
      </c>
      <c r="D215" s="44" t="str">
        <f t="shared" si="7"/>
        <v>Present</v>
      </c>
      <c r="E215">
        <f t="shared" si="6"/>
        <v>1</v>
      </c>
    </row>
    <row r="216" spans="1:5" ht="15.75" customHeight="1" x14ac:dyDescent="0.25">
      <c r="A216" s="5" t="s">
        <v>24</v>
      </c>
      <c r="B216" s="4">
        <v>45478</v>
      </c>
      <c r="C216" s="49" t="s">
        <v>135</v>
      </c>
      <c r="D216" s="44" t="str">
        <f t="shared" si="7"/>
        <v>Absent</v>
      </c>
      <c r="E216">
        <f t="shared" si="6"/>
        <v>0</v>
      </c>
    </row>
    <row r="217" spans="1:5" ht="15.75" customHeight="1" x14ac:dyDescent="0.25">
      <c r="A217" s="5" t="s">
        <v>43</v>
      </c>
      <c r="B217" s="4">
        <v>45478</v>
      </c>
      <c r="C217" s="49" t="s">
        <v>134</v>
      </c>
      <c r="D217" s="44" t="str">
        <f t="shared" si="7"/>
        <v>Present</v>
      </c>
      <c r="E217">
        <f t="shared" si="6"/>
        <v>1</v>
      </c>
    </row>
    <row r="218" spans="1:5" ht="15.75" customHeight="1" x14ac:dyDescent="0.25">
      <c r="A218" s="5" t="s">
        <v>44</v>
      </c>
      <c r="B218" s="4">
        <v>45478</v>
      </c>
      <c r="C218" s="49" t="s">
        <v>134</v>
      </c>
      <c r="D218" s="44" t="str">
        <f t="shared" si="7"/>
        <v>Present</v>
      </c>
      <c r="E218">
        <f t="shared" si="6"/>
        <v>1</v>
      </c>
    </row>
    <row r="219" spans="1:5" ht="15.75" customHeight="1" x14ac:dyDescent="0.25">
      <c r="A219" s="5" t="s">
        <v>45</v>
      </c>
      <c r="B219" s="4">
        <v>45478</v>
      </c>
      <c r="C219" s="49" t="s">
        <v>134</v>
      </c>
      <c r="D219" s="44" t="str">
        <f t="shared" si="7"/>
        <v>Present</v>
      </c>
      <c r="E219">
        <f t="shared" si="6"/>
        <v>1</v>
      </c>
    </row>
    <row r="220" spans="1:5" ht="15.75" customHeight="1" x14ac:dyDescent="0.25">
      <c r="A220" s="5" t="s">
        <v>47</v>
      </c>
      <c r="B220" s="4">
        <v>45478</v>
      </c>
      <c r="C220" s="49" t="s">
        <v>135</v>
      </c>
      <c r="D220" s="44" t="str">
        <f t="shared" si="7"/>
        <v>Absent</v>
      </c>
      <c r="E220">
        <f t="shared" si="6"/>
        <v>0</v>
      </c>
    </row>
    <row r="221" spans="1:5" ht="15.75" customHeight="1" x14ac:dyDescent="0.25">
      <c r="A221" s="5" t="s">
        <v>27</v>
      </c>
      <c r="B221" s="4">
        <v>45478</v>
      </c>
      <c r="C221" s="49" t="s">
        <v>134</v>
      </c>
      <c r="D221" s="44" t="str">
        <f t="shared" si="7"/>
        <v>Present</v>
      </c>
      <c r="E221">
        <f t="shared" si="6"/>
        <v>1</v>
      </c>
    </row>
    <row r="222" spans="1:5" ht="15.75" customHeight="1" x14ac:dyDescent="0.25">
      <c r="A222" s="5" t="s">
        <v>51</v>
      </c>
      <c r="B222" s="4">
        <v>45478</v>
      </c>
      <c r="C222" s="49" t="s">
        <v>134</v>
      </c>
      <c r="D222" s="44" t="str">
        <f t="shared" si="7"/>
        <v>Present</v>
      </c>
      <c r="E222">
        <f t="shared" si="6"/>
        <v>1</v>
      </c>
    </row>
    <row r="223" spans="1:5" ht="15.75" customHeight="1" x14ac:dyDescent="0.25">
      <c r="A223" s="5" t="s">
        <v>53</v>
      </c>
      <c r="B223" s="4">
        <v>45478</v>
      </c>
      <c r="C223" s="49" t="s">
        <v>135</v>
      </c>
      <c r="D223" s="44" t="str">
        <f t="shared" si="7"/>
        <v>Absent</v>
      </c>
      <c r="E223">
        <f t="shared" si="6"/>
        <v>0</v>
      </c>
    </row>
    <row r="224" spans="1:5" ht="15.75" customHeight="1" x14ac:dyDescent="0.25">
      <c r="A224" s="5" t="s">
        <v>48</v>
      </c>
      <c r="B224" s="4">
        <v>45478</v>
      </c>
      <c r="C224" s="49" t="s">
        <v>135</v>
      </c>
      <c r="D224" s="44" t="str">
        <f t="shared" si="7"/>
        <v>Absent</v>
      </c>
      <c r="E224">
        <f t="shared" si="6"/>
        <v>0</v>
      </c>
    </row>
    <row r="225" spans="1:5" ht="15.75" customHeight="1" x14ac:dyDescent="0.25">
      <c r="A225" s="5" t="s">
        <v>55</v>
      </c>
      <c r="B225" s="4">
        <v>45478</v>
      </c>
      <c r="C225" s="49" t="s">
        <v>135</v>
      </c>
      <c r="D225" s="44" t="str">
        <f t="shared" si="7"/>
        <v>Absent</v>
      </c>
      <c r="E225">
        <f t="shared" si="6"/>
        <v>0</v>
      </c>
    </row>
    <row r="226" spans="1:5" ht="15.75" customHeight="1" x14ac:dyDescent="0.25">
      <c r="A226" s="5" t="s">
        <v>30</v>
      </c>
      <c r="B226" s="4">
        <v>45478</v>
      </c>
      <c r="C226" s="49" t="s">
        <v>135</v>
      </c>
      <c r="D226" s="44" t="str">
        <f t="shared" si="7"/>
        <v>Absent</v>
      </c>
      <c r="E226">
        <f t="shared" si="6"/>
        <v>0</v>
      </c>
    </row>
    <row r="227" spans="1:5" ht="15.75" customHeight="1" x14ac:dyDescent="0.25">
      <c r="A227" s="5" t="s">
        <v>56</v>
      </c>
      <c r="B227" s="4">
        <v>45478</v>
      </c>
      <c r="C227" s="49" t="s">
        <v>134</v>
      </c>
      <c r="D227" s="44" t="str">
        <f t="shared" si="7"/>
        <v>Present</v>
      </c>
      <c r="E227">
        <f t="shared" si="6"/>
        <v>1</v>
      </c>
    </row>
    <row r="228" spans="1:5" ht="15.75" customHeight="1" x14ac:dyDescent="0.25">
      <c r="A228" s="5" t="s">
        <v>58</v>
      </c>
      <c r="B228" s="4">
        <v>45478</v>
      </c>
      <c r="C228" s="49" t="s">
        <v>134</v>
      </c>
      <c r="D228" s="44" t="str">
        <f t="shared" si="7"/>
        <v>Present</v>
      </c>
      <c r="E228">
        <f t="shared" si="6"/>
        <v>1</v>
      </c>
    </row>
    <row r="229" spans="1:5" ht="15.75" customHeight="1" x14ac:dyDescent="0.25">
      <c r="A229" s="5" t="s">
        <v>49</v>
      </c>
      <c r="B229" s="4">
        <v>45478</v>
      </c>
      <c r="C229" s="49" t="s">
        <v>135</v>
      </c>
      <c r="D229" s="44" t="str">
        <f t="shared" si="7"/>
        <v>Absent</v>
      </c>
      <c r="E229">
        <f t="shared" si="6"/>
        <v>0</v>
      </c>
    </row>
    <row r="230" spans="1:5" ht="15.75" customHeight="1" x14ac:dyDescent="0.25">
      <c r="A230" s="5" t="s">
        <v>59</v>
      </c>
      <c r="B230" s="4">
        <v>45478</v>
      </c>
      <c r="C230" s="49" t="s">
        <v>134</v>
      </c>
      <c r="D230" s="44" t="str">
        <f t="shared" si="7"/>
        <v>Present</v>
      </c>
      <c r="E230">
        <f t="shared" si="6"/>
        <v>1</v>
      </c>
    </row>
    <row r="231" spans="1:5" ht="15.75" customHeight="1" x14ac:dyDescent="0.25">
      <c r="A231" s="5" t="s">
        <v>32</v>
      </c>
      <c r="B231" s="4">
        <v>45478</v>
      </c>
      <c r="C231" s="49" t="s">
        <v>134</v>
      </c>
      <c r="D231" s="44" t="str">
        <f t="shared" si="7"/>
        <v>Present</v>
      </c>
      <c r="E231">
        <f t="shared" si="6"/>
        <v>1</v>
      </c>
    </row>
    <row r="232" spans="1:5" ht="15.75" customHeight="1" x14ac:dyDescent="0.25">
      <c r="A232" s="5" t="s">
        <v>62</v>
      </c>
      <c r="B232" s="4">
        <v>45478</v>
      </c>
      <c r="C232" s="49" t="s">
        <v>135</v>
      </c>
      <c r="D232" s="44" t="str">
        <f t="shared" si="7"/>
        <v>Absent</v>
      </c>
      <c r="E232">
        <f t="shared" si="6"/>
        <v>0</v>
      </c>
    </row>
    <row r="233" spans="1:5" ht="15.75" customHeight="1" x14ac:dyDescent="0.25">
      <c r="A233" s="5" t="s">
        <v>63</v>
      </c>
      <c r="B233" s="4">
        <v>45478</v>
      </c>
      <c r="C233" s="49" t="s">
        <v>134</v>
      </c>
      <c r="D233" s="44" t="str">
        <f t="shared" si="7"/>
        <v>Present</v>
      </c>
      <c r="E233">
        <f t="shared" si="6"/>
        <v>1</v>
      </c>
    </row>
    <row r="234" spans="1:5" ht="15.75" customHeight="1" x14ac:dyDescent="0.25">
      <c r="A234" s="5" t="s">
        <v>42</v>
      </c>
      <c r="B234" s="4">
        <v>45478</v>
      </c>
      <c r="C234" s="49" t="s">
        <v>134</v>
      </c>
      <c r="D234" s="44" t="str">
        <f t="shared" si="7"/>
        <v>Present</v>
      </c>
      <c r="E234">
        <f t="shared" si="6"/>
        <v>1</v>
      </c>
    </row>
    <row r="235" spans="1:5" ht="15.75" customHeight="1" x14ac:dyDescent="0.25">
      <c r="A235" s="5" t="s">
        <v>60</v>
      </c>
      <c r="B235" s="4">
        <v>45478</v>
      </c>
      <c r="C235" s="49" t="s">
        <v>135</v>
      </c>
      <c r="D235" s="44" t="str">
        <f t="shared" si="7"/>
        <v>Absent</v>
      </c>
      <c r="E235">
        <f t="shared" si="6"/>
        <v>0</v>
      </c>
    </row>
    <row r="236" spans="1:5" ht="15.75" customHeight="1" x14ac:dyDescent="0.25">
      <c r="A236" s="5" t="s">
        <v>34</v>
      </c>
      <c r="B236" s="4">
        <v>45478</v>
      </c>
      <c r="C236" s="49" t="s">
        <v>134</v>
      </c>
      <c r="D236" s="44" t="str">
        <f t="shared" si="7"/>
        <v>Present</v>
      </c>
      <c r="E236">
        <f t="shared" si="6"/>
        <v>1</v>
      </c>
    </row>
    <row r="237" spans="1:5" ht="15.75" customHeight="1" x14ac:dyDescent="0.25">
      <c r="A237" s="5" t="s">
        <v>66</v>
      </c>
      <c r="B237" s="4">
        <v>45478</v>
      </c>
      <c r="C237" s="49" t="s">
        <v>135</v>
      </c>
      <c r="D237" s="44" t="str">
        <f t="shared" si="7"/>
        <v>Absent</v>
      </c>
      <c r="E237">
        <f t="shared" si="6"/>
        <v>0</v>
      </c>
    </row>
    <row r="238" spans="1:5" ht="15.75" customHeight="1" x14ac:dyDescent="0.25">
      <c r="A238" s="5" t="s">
        <v>67</v>
      </c>
      <c r="B238" s="4">
        <v>45478</v>
      </c>
      <c r="C238" s="49" t="s">
        <v>134</v>
      </c>
      <c r="D238" s="44" t="str">
        <f t="shared" si="7"/>
        <v>Present</v>
      </c>
      <c r="E238">
        <f t="shared" si="6"/>
        <v>1</v>
      </c>
    </row>
    <row r="239" spans="1:5" ht="15.75" customHeight="1" x14ac:dyDescent="0.25">
      <c r="A239" s="5" t="s">
        <v>50</v>
      </c>
      <c r="B239" s="4">
        <v>45478</v>
      </c>
      <c r="C239" s="49" t="s">
        <v>134</v>
      </c>
      <c r="D239" s="44" t="str">
        <f t="shared" si="7"/>
        <v>Present</v>
      </c>
      <c r="E239">
        <f t="shared" si="6"/>
        <v>1</v>
      </c>
    </row>
    <row r="240" spans="1:5" ht="15.75" customHeight="1" x14ac:dyDescent="0.25">
      <c r="A240" s="5" t="s">
        <v>61</v>
      </c>
      <c r="B240" s="4">
        <v>45478</v>
      </c>
      <c r="C240" s="49" t="s">
        <v>134</v>
      </c>
      <c r="D240" s="44" t="str">
        <f t="shared" si="7"/>
        <v>Present</v>
      </c>
      <c r="E240">
        <f t="shared" si="6"/>
        <v>1</v>
      </c>
    </row>
    <row r="241" spans="1:5" ht="15.75" customHeight="1" x14ac:dyDescent="0.25">
      <c r="A241" s="5" t="s">
        <v>36</v>
      </c>
      <c r="B241" s="4">
        <v>45478</v>
      </c>
      <c r="C241" s="49" t="s">
        <v>135</v>
      </c>
      <c r="D241" s="44" t="str">
        <f t="shared" si="7"/>
        <v>Absent</v>
      </c>
      <c r="E241">
        <f t="shared" si="6"/>
        <v>0</v>
      </c>
    </row>
    <row r="242" spans="1:5" ht="15.75" customHeight="1" x14ac:dyDescent="0.25">
      <c r="A242" s="5" t="s">
        <v>68</v>
      </c>
      <c r="B242" s="4">
        <v>45478</v>
      </c>
      <c r="C242" s="49" t="s">
        <v>134</v>
      </c>
      <c r="D242" s="44" t="str">
        <f t="shared" si="7"/>
        <v>Present</v>
      </c>
      <c r="E242">
        <f t="shared" si="6"/>
        <v>1</v>
      </c>
    </row>
    <row r="243" spans="1:5" ht="15.75" customHeight="1" x14ac:dyDescent="0.25">
      <c r="A243" s="5" t="s">
        <v>57</v>
      </c>
      <c r="B243" s="4">
        <v>45478</v>
      </c>
      <c r="C243" s="49" t="s">
        <v>135</v>
      </c>
      <c r="D243" s="44" t="str">
        <f t="shared" si="7"/>
        <v>Absent</v>
      </c>
      <c r="E243">
        <f t="shared" si="6"/>
        <v>0</v>
      </c>
    </row>
    <row r="244" spans="1:5" ht="15.75" customHeight="1" x14ac:dyDescent="0.25">
      <c r="A244" s="5" t="s">
        <v>52</v>
      </c>
      <c r="B244" s="4">
        <v>45478</v>
      </c>
      <c r="C244" s="49" t="s">
        <v>135</v>
      </c>
      <c r="D244" s="44" t="str">
        <f t="shared" si="7"/>
        <v>Absent</v>
      </c>
      <c r="E244">
        <f t="shared" si="6"/>
        <v>0</v>
      </c>
    </row>
    <row r="245" spans="1:5" ht="15.75" customHeight="1" x14ac:dyDescent="0.25">
      <c r="A245" s="5" t="s">
        <v>64</v>
      </c>
      <c r="B245" s="4">
        <v>45478</v>
      </c>
      <c r="C245" s="49" t="s">
        <v>135</v>
      </c>
      <c r="D245" s="44" t="str">
        <f t="shared" si="7"/>
        <v>Absent</v>
      </c>
      <c r="E245">
        <f t="shared" si="6"/>
        <v>0</v>
      </c>
    </row>
    <row r="246" spans="1:5" ht="15.75" customHeight="1" x14ac:dyDescent="0.25">
      <c r="A246" s="5" t="s">
        <v>39</v>
      </c>
      <c r="B246" s="4">
        <v>45478</v>
      </c>
      <c r="C246" s="49" t="s">
        <v>134</v>
      </c>
      <c r="D246" s="44" t="str">
        <f t="shared" si="7"/>
        <v>Present</v>
      </c>
      <c r="E246">
        <f t="shared" si="6"/>
        <v>1</v>
      </c>
    </row>
    <row r="247" spans="1:5" ht="15.75" customHeight="1" x14ac:dyDescent="0.25">
      <c r="A247" s="5" t="s">
        <v>69</v>
      </c>
      <c r="B247" s="4">
        <v>45478</v>
      </c>
      <c r="C247" s="49" t="s">
        <v>135</v>
      </c>
      <c r="D247" s="44" t="str">
        <f t="shared" si="7"/>
        <v>Absent</v>
      </c>
      <c r="E247">
        <f t="shared" si="6"/>
        <v>0</v>
      </c>
    </row>
    <row r="248" spans="1:5" ht="15.75" customHeight="1" x14ac:dyDescent="0.25">
      <c r="A248" s="5" t="s">
        <v>70</v>
      </c>
      <c r="B248" s="4">
        <v>45478</v>
      </c>
      <c r="C248" s="49" t="s">
        <v>134</v>
      </c>
      <c r="D248" s="44" t="str">
        <f t="shared" si="7"/>
        <v>Present</v>
      </c>
      <c r="E248">
        <f t="shared" si="6"/>
        <v>1</v>
      </c>
    </row>
    <row r="249" spans="1:5" ht="15.75" customHeight="1" x14ac:dyDescent="0.25">
      <c r="A249" s="5" t="s">
        <v>54</v>
      </c>
      <c r="B249" s="4">
        <v>45478</v>
      </c>
      <c r="C249" s="49" t="s">
        <v>135</v>
      </c>
      <c r="D249" s="44" t="str">
        <f t="shared" si="7"/>
        <v>Absent</v>
      </c>
      <c r="E249">
        <f t="shared" si="6"/>
        <v>0</v>
      </c>
    </row>
    <row r="250" spans="1:5" ht="15.75" customHeight="1" x14ac:dyDescent="0.25">
      <c r="A250" s="5" t="s">
        <v>65</v>
      </c>
      <c r="B250" s="4">
        <v>45478</v>
      </c>
      <c r="C250" s="49" t="s">
        <v>134</v>
      </c>
      <c r="D250" s="44" t="str">
        <f t="shared" si="7"/>
        <v>Present</v>
      </c>
      <c r="E250">
        <f t="shared" si="6"/>
        <v>1</v>
      </c>
    </row>
    <row r="251" spans="1:5" ht="15.75" customHeight="1" x14ac:dyDescent="0.25">
      <c r="A251" s="7" t="s">
        <v>41</v>
      </c>
      <c r="B251" s="8">
        <v>45478</v>
      </c>
      <c r="C251" s="41" t="s">
        <v>135</v>
      </c>
      <c r="D251" s="45" t="str">
        <f t="shared" si="7"/>
        <v>Absent</v>
      </c>
      <c r="E251">
        <f t="shared" si="6"/>
        <v>0</v>
      </c>
    </row>
    <row r="252" spans="1:5" ht="15.75" customHeight="1" x14ac:dyDescent="0.25"/>
    <row r="253" spans="1:5" ht="15.75" customHeight="1" x14ac:dyDescent="0.25"/>
    <row r="254" spans="1:5" ht="15.75" customHeight="1" x14ac:dyDescent="0.25"/>
    <row r="255" spans="1:5" ht="15.75" customHeight="1" x14ac:dyDescent="0.25"/>
    <row r="256" spans="1: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H13:K13"/>
  </mergeCells>
  <conditionalFormatting sqref="D2:D251">
    <cfRule type="cellIs" dxfId="561" priority="3" operator="equal">
      <formula>"Present"</formula>
    </cfRule>
    <cfRule type="cellIs" dxfId="560" priority="4" operator="equal">
      <formula>"Absent"</formula>
    </cfRule>
  </conditionalFormatting>
  <pageMargins left="0.7" right="0.7" top="0.75" bottom="0.75" header="0" footer="0"/>
  <pageSetup orientation="landscape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 Tracker</vt:lpstr>
      <vt:lpstr>List1_ContactInfo</vt:lpstr>
      <vt:lpstr>List2_Department</vt:lpstr>
      <vt:lpstr>List3_Details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Sriram P</cp:lastModifiedBy>
  <cp:revision/>
  <dcterms:created xsi:type="dcterms:W3CDTF">2024-10-06T13:38:35Z</dcterms:created>
  <dcterms:modified xsi:type="dcterms:W3CDTF">2025-07-15T15:42:30Z</dcterms:modified>
  <cp:category/>
  <cp:contentStatus/>
</cp:coreProperties>
</file>